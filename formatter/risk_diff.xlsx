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formatter\"/>
    </mc:Choice>
  </mc:AlternateContent>
  <xr:revisionPtr revIDLastSave="0" documentId="13_ncr:1_{B7B1630A-C22A-499C-8ADD-C904AAA776A0}" xr6:coauthVersionLast="47" xr6:coauthVersionMax="47" xr10:uidLastSave="{00000000-0000-0000-0000-000000000000}"/>
  <bookViews>
    <workbookView xWindow="16785" yWindow="-16680" windowWidth="44655" windowHeight="21285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1" l="1"/>
  <c r="AB27" i="1"/>
  <c r="AC27" i="1"/>
  <c r="AD27" i="1"/>
  <c r="AE27" i="1"/>
  <c r="AF27" i="1"/>
  <c r="AG27" i="1"/>
  <c r="AH27" i="1"/>
  <c r="AI27" i="1"/>
  <c r="AA28" i="1"/>
  <c r="AB28" i="1"/>
  <c r="AC28" i="1"/>
  <c r="AD28" i="1"/>
  <c r="AE28" i="1"/>
  <c r="AF28" i="1"/>
  <c r="AG28" i="1"/>
  <c r="AH28" i="1"/>
  <c r="AI28" i="1"/>
  <c r="AA29" i="1"/>
  <c r="AB29" i="1"/>
  <c r="AC29" i="1"/>
  <c r="AD29" i="1"/>
  <c r="AE29" i="1"/>
  <c r="AF29" i="1"/>
  <c r="AG29" i="1"/>
  <c r="AH29" i="1"/>
  <c r="AI29" i="1"/>
  <c r="AA30" i="1"/>
  <c r="AB30" i="1"/>
  <c r="AC30" i="1"/>
  <c r="AD30" i="1"/>
  <c r="AE30" i="1"/>
  <c r="AF30" i="1"/>
  <c r="AG30" i="1"/>
  <c r="AH30" i="1"/>
  <c r="AI30" i="1"/>
  <c r="AA31" i="1"/>
  <c r="AB31" i="1"/>
  <c r="AC31" i="1"/>
  <c r="AD31" i="1"/>
  <c r="AE31" i="1"/>
  <c r="AF31" i="1"/>
  <c r="AG31" i="1"/>
  <c r="AH31" i="1"/>
  <c r="AI31" i="1"/>
  <c r="AA32" i="1"/>
  <c r="AB32" i="1"/>
  <c r="AC32" i="1"/>
  <c r="AD32" i="1"/>
  <c r="AE32" i="1"/>
  <c r="AF32" i="1"/>
  <c r="AG32" i="1"/>
  <c r="AH32" i="1"/>
  <c r="AI32" i="1"/>
  <c r="AA33" i="1"/>
  <c r="AB33" i="1"/>
  <c r="AC33" i="1"/>
  <c r="AD33" i="1"/>
  <c r="AE33" i="1"/>
  <c r="AF33" i="1"/>
  <c r="AG33" i="1"/>
  <c r="AH33" i="1"/>
  <c r="AI33" i="1"/>
  <c r="AA34" i="1"/>
  <c r="AB34" i="1"/>
  <c r="AC34" i="1"/>
  <c r="AD34" i="1"/>
  <c r="AE34" i="1"/>
  <c r="AF34" i="1"/>
  <c r="AG34" i="1"/>
  <c r="AH34" i="1"/>
  <c r="AI34" i="1"/>
  <c r="AA35" i="1"/>
  <c r="AB35" i="1"/>
  <c r="AC35" i="1"/>
  <c r="AD35" i="1"/>
  <c r="AE35" i="1"/>
  <c r="AF35" i="1"/>
  <c r="AG35" i="1"/>
  <c r="AH35" i="1"/>
  <c r="AI35" i="1"/>
  <c r="AA36" i="1"/>
  <c r="AB36" i="1"/>
  <c r="AC36" i="1"/>
  <c r="AD36" i="1"/>
  <c r="AE36" i="1"/>
  <c r="AF36" i="1"/>
  <c r="AG36" i="1"/>
  <c r="AH36" i="1"/>
  <c r="AI36" i="1"/>
  <c r="AA37" i="1"/>
  <c r="AB37" i="1"/>
  <c r="AC37" i="1"/>
  <c r="AD37" i="1"/>
  <c r="AE37" i="1"/>
  <c r="AF37" i="1"/>
  <c r="AG37" i="1"/>
  <c r="AH37" i="1"/>
  <c r="AI37" i="1"/>
  <c r="AA38" i="1"/>
  <c r="AB38" i="1"/>
  <c r="AC38" i="1"/>
  <c r="AD38" i="1"/>
  <c r="AE38" i="1"/>
  <c r="AF38" i="1"/>
  <c r="AG38" i="1"/>
  <c r="AH38" i="1"/>
  <c r="AI38" i="1"/>
  <c r="AA39" i="1"/>
  <c r="AB39" i="1"/>
  <c r="AC39" i="1"/>
  <c r="AD39" i="1"/>
  <c r="AE39" i="1"/>
  <c r="AF39" i="1"/>
  <c r="AG39" i="1"/>
  <c r="AH39" i="1"/>
  <c r="AI39" i="1"/>
  <c r="AA5" i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16" i="1"/>
  <c r="AB16" i="1"/>
  <c r="AC16" i="1"/>
  <c r="AD16" i="1"/>
  <c r="AE16" i="1"/>
  <c r="AF16" i="1"/>
  <c r="AG16" i="1"/>
  <c r="AH16" i="1"/>
  <c r="AI16" i="1"/>
  <c r="AA17" i="1"/>
  <c r="AB17" i="1"/>
  <c r="AC17" i="1"/>
  <c r="AD17" i="1"/>
  <c r="AE17" i="1"/>
  <c r="AF17" i="1"/>
  <c r="AG17" i="1"/>
  <c r="AH17" i="1"/>
  <c r="AI17" i="1"/>
  <c r="AA18" i="1"/>
  <c r="AB18" i="1"/>
  <c r="AC18" i="1"/>
  <c r="AD18" i="1"/>
  <c r="AE18" i="1"/>
  <c r="AF18" i="1"/>
  <c r="AG18" i="1"/>
  <c r="AH18" i="1"/>
  <c r="AI18" i="1"/>
  <c r="AA19" i="1"/>
  <c r="AB19" i="1"/>
  <c r="AC19" i="1"/>
  <c r="AD19" i="1"/>
  <c r="AE19" i="1"/>
  <c r="AF19" i="1"/>
  <c r="AG19" i="1"/>
  <c r="AH19" i="1"/>
  <c r="AI19" i="1"/>
  <c r="AA20" i="1"/>
  <c r="AB20" i="1"/>
  <c r="AC20" i="1"/>
  <c r="AD20" i="1"/>
  <c r="AE20" i="1"/>
  <c r="AF20" i="1"/>
  <c r="AG20" i="1"/>
  <c r="AH20" i="1"/>
  <c r="AI20" i="1"/>
  <c r="AA21" i="1"/>
  <c r="AB21" i="1"/>
  <c r="AC21" i="1"/>
  <c r="AD21" i="1"/>
  <c r="AE21" i="1"/>
  <c r="AF21" i="1"/>
  <c r="AG21" i="1"/>
  <c r="AH21" i="1"/>
  <c r="AI21" i="1"/>
  <c r="AA22" i="1"/>
  <c r="AB22" i="1"/>
  <c r="AC22" i="1"/>
  <c r="AD22" i="1"/>
  <c r="AE22" i="1"/>
  <c r="AF22" i="1"/>
  <c r="AG22" i="1"/>
  <c r="AH22" i="1"/>
  <c r="AI22" i="1"/>
  <c r="AA23" i="1"/>
  <c r="AB23" i="1"/>
  <c r="AC23" i="1"/>
  <c r="AD23" i="1"/>
  <c r="AE23" i="1"/>
  <c r="AF23" i="1"/>
  <c r="AG23" i="1"/>
  <c r="AH23" i="1"/>
  <c r="AI23" i="1"/>
  <c r="AA24" i="1"/>
  <c r="AB24" i="1"/>
  <c r="AC24" i="1"/>
  <c r="AD24" i="1"/>
  <c r="AE24" i="1"/>
  <c r="AF24" i="1"/>
  <c r="AG24" i="1"/>
  <c r="AH24" i="1"/>
  <c r="AI24" i="1"/>
  <c r="AA25" i="1"/>
  <c r="AB25" i="1"/>
  <c r="AC25" i="1"/>
  <c r="AD25" i="1"/>
  <c r="AE25" i="1"/>
  <c r="AF25" i="1"/>
  <c r="AG25" i="1"/>
  <c r="AH25" i="1"/>
  <c r="AI25" i="1"/>
  <c r="AA26" i="1"/>
  <c r="AB26" i="1"/>
  <c r="AC26" i="1"/>
  <c r="AD26" i="1"/>
  <c r="AE26" i="1"/>
  <c r="AF26" i="1"/>
  <c r="AG26" i="1"/>
  <c r="AH26" i="1"/>
  <c r="AI26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I5" i="5" l="1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<sst xmlns="http://schemas.openxmlformats.org/spreadsheetml/2006/main" count="1191" uniqueCount="310">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</sst>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6" fillId="0" borderId="15" xfId="0" applyFont="1" applyBorder="1" applyAlignment="1">
      <alignment horizontal="center" vertical="center"/>
    </xf>
    <xf numFmtId="0" fontId="0" fillId="0" borderId="0" xfId="0"/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39"/>
  <sheetViews>
    <sheetView showGridLines="0" tabSelected="1" zoomScale="85" zoomScaleNormal="85" workbookViewId="0">
      <selection activeCell="T22" sqref="T22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15.75" thickBot="1" x14ac:dyDescent="0.3">
      <c r="C2" s="83" t="s">
        <v>0</v>
      </c>
      <c r="D2" s="83"/>
      <c r="E2" s="83"/>
      <c r="F2" s="83"/>
      <c r="G2" s="83"/>
      <c r="H2" s="83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5.75" thickBot="1" x14ac:dyDescent="0.3">
      <c r="C3" s="57" t="s">
        <v>4</v>
      </c>
      <c r="D3" s="82" t="s">
        <v>5</v>
      </c>
      <c r="E3" s="82" t="s">
        <v>6</v>
      </c>
      <c r="F3" s="82" t="s">
        <v>7</v>
      </c>
      <c r="G3" s="56" t="s">
        <v>8</v>
      </c>
      <c r="H3" s="56" t="s">
        <v>9</v>
      </c>
      <c r="I3" s="4" t="s">
        <v>10</v>
      </c>
      <c r="J3" s="3" t="s">
        <v>11</v>
      </c>
      <c r="K3" s="3" t="s">
        <v>12</v>
      </c>
      <c r="L3" s="80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46078</v>
      </c>
      <c r="D4" s="79" t="s">
        <v>208</v>
      </c>
      <c r="E4" s="79" t="s">
        <v>209</v>
      </c>
      <c r="F4" t="s">
        <v>210</v>
      </c>
      <c r="G4" s="20">
        <v>13.031689999999999</v>
      </c>
      <c r="H4" s="20">
        <v>105.2</v>
      </c>
      <c r="I4" s="74">
        <v>5.619652576</v>
      </c>
      <c r="J4" s="63">
        <v>203.52345899400001</v>
      </c>
      <c r="K4" s="75">
        <v>0.71174820000000005</v>
      </c>
      <c r="L4" s="75" t="s">
        <v>248</v>
      </c>
      <c r="M4" s="20">
        <v>0.67269661216729104</v>
      </c>
      <c r="N4" s="20">
        <v>1.348098537</v>
      </c>
      <c r="O4" s="20">
        <v>4.5678831000000003E-2</v>
      </c>
      <c r="P4" s="63">
        <v>3.38838962778282</v>
      </c>
      <c r="Q4" s="63">
        <v>0</v>
      </c>
      <c r="R4" s="74">
        <v>5.5838095210000001</v>
      </c>
      <c r="S4" s="63">
        <v>200.87005390600001</v>
      </c>
      <c r="T4" s="75">
        <v>0.70895033299999999</v>
      </c>
      <c r="U4" s="75">
        <v>7.9667938212922895E-2</v>
      </c>
      <c r="V4" s="20">
        <v>0.67033666920151302</v>
      </c>
      <c r="W4" s="20">
        <v>1.349120509</v>
      </c>
      <c r="X4" s="20">
        <v>4.5772753999999999E-2</v>
      </c>
      <c r="Y4" s="63">
        <v>3.3927846841441802</v>
      </c>
      <c r="Z4" s="63">
        <v>0</v>
      </c>
      <c r="AA4" s="76">
        <f t="shared" ref="AA4" si="0">I4-R4</f>
        <v>3.5843054999999957E-2</v>
      </c>
      <c r="AB4" s="61">
        <f t="shared" ref="AB4" si="1">J4-S4</f>
        <v>2.6534050879999995</v>
      </c>
      <c r="AC4" s="77">
        <f t="shared" ref="AC4" si="2">K4-T4</f>
        <v>2.7978670000000649E-3</v>
      </c>
      <c r="AD4" s="77" t="e">
        <f t="shared" ref="AD4" si="3">L4-U4</f>
        <v>#VALUE!</v>
      </c>
      <c r="AE4" s="15">
        <f t="shared" ref="AE4" si="4">M4-V4</f>
        <v>2.3599429657780169E-3</v>
      </c>
      <c r="AF4" s="15">
        <f t="shared" ref="AF4" si="5">N4-W4</f>
        <v>-1.0219719999999821E-3</v>
      </c>
      <c r="AG4" s="15">
        <f t="shared" ref="AG4" si="6">O4-X4</f>
        <v>-9.392299999999576E-5</v>
      </c>
      <c r="AH4" s="77">
        <f t="shared" ref="AH4" si="7">P4-Y4</f>
        <v>-4.3950563613601723E-3</v>
      </c>
      <c r="AI4" s="78">
        <f t="shared" ref="AI4" si="8">Q4-Z4</f>
        <v>0</v>
      </c>
    </row>
    <row r="5" spans="2:35" x14ac:dyDescent="0.25">
      <c r="B5" t="s">
        <v>207</v>
      </c>
      <c r="C5" s="81">
        <v>46078</v>
      </c>
      <c r="D5" t="s">
        <v>31</v>
      </c>
      <c r="E5" t="s">
        <v>32</v>
      </c>
      <c r="F5" t="s">
        <v>33</v>
      </c>
      <c r="G5">
        <v>9.6672100000000007</v>
      </c>
      <c r="H5">
        <v>102.796875</v>
      </c>
      <c r="I5">
        <v>5.4408795259999998</v>
      </c>
      <c r="J5">
        <v>184.00562770100001</v>
      </c>
      <c r="K5">
        <v>0.66944444400000003</v>
      </c>
      <c r="L5" t="s">
        <v>248</v>
      </c>
      <c r="M5">
        <v>0.63915963982368396</v>
      </c>
      <c r="N5">
        <v>0.47426048599999998</v>
      </c>
      <c r="O5">
        <v>1.7420860999999999E-2</v>
      </c>
      <c r="P5">
        <v>3.6732684915268301</v>
      </c>
      <c r="Q5">
        <v>0</v>
      </c>
      <c r="R5">
        <v>5.9673139439999998</v>
      </c>
      <c r="S5">
        <v>212.17334095800001</v>
      </c>
      <c r="T5">
        <v>6.3374329280000001</v>
      </c>
      <c r="U5">
        <v>0.50461208117763801</v>
      </c>
      <c r="V5">
        <v>4.6880088007445799</v>
      </c>
      <c r="W5">
        <v>7.8622499999999999E-4</v>
      </c>
      <c r="X5">
        <v>0</v>
      </c>
      <c r="Y5" t="s">
        <v>248</v>
      </c>
      <c r="Z5">
        <v>0</v>
      </c>
      <c r="AA5" s="76">
        <f t="shared" ref="AA5:AA26" si="9">I5-R5</f>
        <v>-0.52643441800000002</v>
      </c>
      <c r="AB5" s="61">
        <f t="shared" ref="AB5:AB26" si="10">J5-S5</f>
        <v>-28.167713257000003</v>
      </c>
      <c r="AC5" s="77">
        <f t="shared" ref="AC5:AC26" si="11">K5-T5</f>
        <v>-5.6679884840000003</v>
      </c>
      <c r="AD5" s="77" t="e">
        <f t="shared" ref="AD5:AD26" si="12">L5-U5</f>
        <v>#VALUE!</v>
      </c>
      <c r="AE5" s="15">
        <f t="shared" ref="AE5:AE26" si="13">M5-V5</f>
        <v>-4.0488491609208959</v>
      </c>
      <c r="AF5" s="15">
        <f t="shared" ref="AF5:AF26" si="14">N5-W5</f>
        <v>0.47347426100000001</v>
      </c>
      <c r="AG5" s="15">
        <f t="shared" ref="AG5:AG26" si="15">O5-X5</f>
        <v>1.7420860999999999E-2</v>
      </c>
      <c r="AH5" s="77" t="e">
        <f t="shared" ref="AH5:AH26" si="16">P5-Y5</f>
        <v>#VALUE!</v>
      </c>
      <c r="AI5" s="78">
        <f t="shared" ref="AI5:AI26" si="17">Q5-Z5</f>
        <v>0</v>
      </c>
    </row>
    <row r="6" spans="2:35" x14ac:dyDescent="0.25">
      <c r="B6" t="s">
        <v>207</v>
      </c>
      <c r="C6" s="81">
        <v>46078</v>
      </c>
      <c r="D6" t="s">
        <v>31</v>
      </c>
      <c r="E6" t="s">
        <v>34</v>
      </c>
      <c r="F6" t="s">
        <v>35</v>
      </c>
      <c r="G6">
        <v>9.86721</v>
      </c>
      <c r="H6">
        <v>103.28125</v>
      </c>
      <c r="I6">
        <v>5.4188675399999999</v>
      </c>
      <c r="J6">
        <v>183.815661038</v>
      </c>
      <c r="K6">
        <v>0.75</v>
      </c>
      <c r="L6" t="s">
        <v>248</v>
      </c>
      <c r="M6">
        <v>0.71498202723147297</v>
      </c>
      <c r="N6">
        <v>0.75808340500000004</v>
      </c>
      <c r="O6">
        <v>3.8248566999999997E-2</v>
      </c>
      <c r="P6">
        <v>5.0454299286501296</v>
      </c>
      <c r="Q6">
        <v>0</v>
      </c>
      <c r="R6">
        <v>5.4162452859999997</v>
      </c>
      <c r="S6">
        <v>182.37647052700001</v>
      </c>
      <c r="T6">
        <v>0.66666666699999999</v>
      </c>
      <c r="U6">
        <v>7.8800858489135997E-2</v>
      </c>
      <c r="V6">
        <v>0.636702160449926</v>
      </c>
      <c r="W6">
        <v>0.47420277900000002</v>
      </c>
      <c r="X6">
        <v>1.7397675000000001E-2</v>
      </c>
      <c r="Y6">
        <v>3.66882603191155</v>
      </c>
      <c r="Z6">
        <v>0</v>
      </c>
      <c r="AA6" s="76">
        <f t="shared" si="9"/>
        <v>2.6222540000002681E-3</v>
      </c>
      <c r="AB6" s="61">
        <f t="shared" si="10"/>
        <v>1.4391905109999925</v>
      </c>
      <c r="AC6" s="77">
        <f t="shared" si="11"/>
        <v>8.3333333000000009E-2</v>
      </c>
      <c r="AD6" s="77" t="e">
        <f t="shared" si="12"/>
        <v>#VALUE!</v>
      </c>
      <c r="AE6" s="15">
        <f t="shared" si="13"/>
        <v>7.827986678154697E-2</v>
      </c>
      <c r="AF6" s="15">
        <f t="shared" si="14"/>
        <v>0.28388062600000002</v>
      </c>
      <c r="AG6" s="15">
        <f t="shared" si="15"/>
        <v>2.0850891999999996E-2</v>
      </c>
      <c r="AH6" s="77">
        <f t="shared" si="16"/>
        <v>1.3766038967385796</v>
      </c>
      <c r="AI6" s="78">
        <f t="shared" si="17"/>
        <v>0</v>
      </c>
    </row>
    <row r="7" spans="2:35" x14ac:dyDescent="0.25">
      <c r="B7" t="s">
        <v>207</v>
      </c>
      <c r="C7" s="81">
        <v>46078</v>
      </c>
      <c r="D7" t="s">
        <v>31</v>
      </c>
      <c r="E7" t="s">
        <v>36</v>
      </c>
      <c r="F7" t="s">
        <v>37</v>
      </c>
      <c r="G7">
        <v>11.317209999999999</v>
      </c>
      <c r="H7">
        <v>105.2</v>
      </c>
      <c r="I7">
        <v>5.4801712609999997</v>
      </c>
      <c r="J7">
        <v>193.89303531100001</v>
      </c>
      <c r="K7">
        <v>0.91666666699999999</v>
      </c>
      <c r="L7" t="s">
        <v>248</v>
      </c>
      <c r="M7">
        <v>0.86301258650189405</v>
      </c>
      <c r="N7">
        <v>0.84145916700000001</v>
      </c>
      <c r="O7">
        <v>4.6297505000000003E-2</v>
      </c>
      <c r="P7">
        <v>5.5020501072038401</v>
      </c>
      <c r="Q7">
        <v>0</v>
      </c>
      <c r="R7">
        <v>5.394855776</v>
      </c>
      <c r="S7">
        <v>182.37293944699999</v>
      </c>
      <c r="T7">
        <v>0.74722222199999999</v>
      </c>
      <c r="U7">
        <v>7.9563839515881099E-2</v>
      </c>
      <c r="V7">
        <v>0.71255796284418305</v>
      </c>
      <c r="W7">
        <v>0.75874397500000001</v>
      </c>
      <c r="X7">
        <v>3.8194080999999998E-2</v>
      </c>
      <c r="Y7">
        <v>5.0338562490726897</v>
      </c>
      <c r="Z7">
        <v>0</v>
      </c>
      <c r="AA7" s="76">
        <f t="shared" si="9"/>
        <v>8.5315484999999747E-2</v>
      </c>
      <c r="AB7" s="61">
        <f t="shared" si="10"/>
        <v>11.520095864000012</v>
      </c>
      <c r="AC7" s="77">
        <f t="shared" si="11"/>
        <v>0.169444445</v>
      </c>
      <c r="AD7" s="77" t="e">
        <f t="shared" si="12"/>
        <v>#VALUE!</v>
      </c>
      <c r="AE7" s="15">
        <f t="shared" si="13"/>
        <v>0.15045462365771101</v>
      </c>
      <c r="AF7" s="15">
        <f t="shared" si="14"/>
        <v>8.2715191999999993E-2</v>
      </c>
      <c r="AG7" s="15">
        <f t="shared" si="15"/>
        <v>8.1034240000000049E-3</v>
      </c>
      <c r="AH7" s="77">
        <f t="shared" si="16"/>
        <v>0.46819385813115044</v>
      </c>
      <c r="AI7" s="78">
        <f t="shared" si="17"/>
        <v>0</v>
      </c>
    </row>
    <row r="8" spans="2:35" x14ac:dyDescent="0.25">
      <c r="B8" t="s">
        <v>207</v>
      </c>
      <c r="C8" s="81">
        <v>46078</v>
      </c>
      <c r="D8" t="s">
        <v>31</v>
      </c>
      <c r="E8" t="s">
        <v>38</v>
      </c>
      <c r="F8" t="s">
        <v>39</v>
      </c>
      <c r="G8">
        <v>13.167210000000001</v>
      </c>
      <c r="H8">
        <v>108.144531</v>
      </c>
      <c r="I8">
        <v>5.3407397970000003</v>
      </c>
      <c r="J8">
        <v>181.72970571100001</v>
      </c>
      <c r="K8">
        <v>1.0833333329999999</v>
      </c>
      <c r="L8" t="s">
        <v>248</v>
      </c>
      <c r="M8">
        <v>0.99981040095315199</v>
      </c>
      <c r="N8">
        <v>0.63884012999999995</v>
      </c>
      <c r="O8">
        <v>3.2704423000000003E-2</v>
      </c>
      <c r="P8">
        <v>5.1193438646379299</v>
      </c>
      <c r="Q8">
        <v>0</v>
      </c>
      <c r="R8">
        <v>5.4520652289999996</v>
      </c>
      <c r="S8">
        <v>192.28782708400001</v>
      </c>
      <c r="T8">
        <v>0.91388888899999998</v>
      </c>
      <c r="U8">
        <v>8.5550964828893905E-2</v>
      </c>
      <c r="V8">
        <v>0.86070366920151897</v>
      </c>
      <c r="W8">
        <v>0.84244585599999999</v>
      </c>
      <c r="X8">
        <v>4.6281238000000002E-2</v>
      </c>
      <c r="Y8">
        <v>5.4936750736417697</v>
      </c>
      <c r="Z8">
        <v>0</v>
      </c>
      <c r="AA8" s="76">
        <f t="shared" si="9"/>
        <v>-0.11132543199999922</v>
      </c>
      <c r="AB8" s="61">
        <f t="shared" si="10"/>
        <v>-10.558121373000006</v>
      </c>
      <c r="AC8" s="77">
        <f t="shared" si="11"/>
        <v>0.16944444399999992</v>
      </c>
      <c r="AD8" s="77" t="e">
        <f t="shared" si="12"/>
        <v>#VALUE!</v>
      </c>
      <c r="AE8" s="15">
        <f t="shared" si="13"/>
        <v>0.13910673175163302</v>
      </c>
      <c r="AF8" s="15">
        <f t="shared" si="14"/>
        <v>-0.20360572600000004</v>
      </c>
      <c r="AG8" s="15">
        <f t="shared" si="15"/>
        <v>-1.3576814999999999E-2</v>
      </c>
      <c r="AH8" s="77">
        <f t="shared" si="16"/>
        <v>-0.37433120900383976</v>
      </c>
      <c r="AI8" s="78">
        <f t="shared" si="17"/>
        <v>0</v>
      </c>
    </row>
    <row r="9" spans="2:35" x14ac:dyDescent="0.25">
      <c r="B9" t="s">
        <v>207</v>
      </c>
      <c r="C9" s="81">
        <v>46078</v>
      </c>
      <c r="D9" t="s">
        <v>31</v>
      </c>
      <c r="E9" t="s">
        <v>40</v>
      </c>
      <c r="F9" t="s">
        <v>41</v>
      </c>
      <c r="G9">
        <v>14.26721</v>
      </c>
      <c r="H9">
        <v>110.75</v>
      </c>
      <c r="I9">
        <v>5.2604561170000004</v>
      </c>
      <c r="J9">
        <v>174.482540986</v>
      </c>
      <c r="K9">
        <v>1.25</v>
      </c>
      <c r="L9" t="s">
        <v>248</v>
      </c>
      <c r="M9">
        <v>1.1385441805869201</v>
      </c>
      <c r="N9">
        <v>0.74471513899999997</v>
      </c>
      <c r="O9">
        <v>3.8970415000000001E-2</v>
      </c>
      <c r="P9">
        <v>5.2329290703461897</v>
      </c>
      <c r="Q9">
        <v>0</v>
      </c>
      <c r="R9">
        <v>5.3653236150000003</v>
      </c>
      <c r="S9">
        <v>185.709916792</v>
      </c>
      <c r="T9">
        <v>1.080555556</v>
      </c>
      <c r="U9">
        <v>9.8789601760906801E-2</v>
      </c>
      <c r="V9">
        <v>0.99733899337993903</v>
      </c>
      <c r="W9">
        <v>0.63911900300000002</v>
      </c>
      <c r="X9">
        <v>3.2756825000000003E-2</v>
      </c>
      <c r="Y9">
        <v>5.1253091906578803</v>
      </c>
      <c r="Z9">
        <v>0</v>
      </c>
      <c r="AA9" s="76">
        <f t="shared" si="9"/>
        <v>-0.10486749799999995</v>
      </c>
      <c r="AB9" s="61">
        <f t="shared" si="10"/>
        <v>-11.227375805999998</v>
      </c>
      <c r="AC9" s="77">
        <f t="shared" si="11"/>
        <v>0.16944444400000003</v>
      </c>
      <c r="AD9" s="77" t="e">
        <f t="shared" si="12"/>
        <v>#VALUE!</v>
      </c>
      <c r="AE9" s="15">
        <f t="shared" si="13"/>
        <v>0.14120518720698105</v>
      </c>
      <c r="AF9" s="15">
        <f t="shared" si="14"/>
        <v>0.10559613599999995</v>
      </c>
      <c r="AG9" s="15">
        <f t="shared" si="15"/>
        <v>6.213589999999998E-3</v>
      </c>
      <c r="AH9" s="77">
        <f t="shared" si="16"/>
        <v>0.10761987968830944</v>
      </c>
      <c r="AI9" s="78">
        <f t="shared" si="17"/>
        <v>0</v>
      </c>
    </row>
    <row r="10" spans="2:35" x14ac:dyDescent="0.25">
      <c r="B10" t="s">
        <v>207</v>
      </c>
      <c r="C10" s="81">
        <v>46078</v>
      </c>
      <c r="D10" t="s">
        <v>31</v>
      </c>
      <c r="E10" t="s">
        <v>42</v>
      </c>
      <c r="F10" t="s">
        <v>43</v>
      </c>
      <c r="G10">
        <v>15.697279999999999</v>
      </c>
      <c r="H10">
        <v>113.25</v>
      </c>
      <c r="I10">
        <v>5.2597473170000004</v>
      </c>
      <c r="J10">
        <v>174.78145048900001</v>
      </c>
      <c r="K10">
        <v>1.3333333329999999</v>
      </c>
      <c r="L10" t="s">
        <v>248</v>
      </c>
      <c r="M10">
        <v>1.2018001227373101</v>
      </c>
      <c r="N10">
        <v>0.851537392</v>
      </c>
      <c r="O10">
        <v>5.0165011000000002E-2</v>
      </c>
      <c r="P10">
        <v>5.8911107687447304</v>
      </c>
      <c r="Q10">
        <v>0</v>
      </c>
      <c r="R10">
        <v>5.2254814850000004</v>
      </c>
      <c r="S10">
        <v>172.90878689199999</v>
      </c>
      <c r="T10">
        <v>1.247222222</v>
      </c>
      <c r="U10">
        <v>0.114868992325053</v>
      </c>
      <c r="V10">
        <v>1.13650455440181</v>
      </c>
      <c r="W10">
        <v>0.74589581100000002</v>
      </c>
      <c r="X10">
        <v>3.8968309E-2</v>
      </c>
      <c r="Y10">
        <v>5.22436356731329</v>
      </c>
      <c r="Z10">
        <v>0</v>
      </c>
      <c r="AA10" s="76">
        <f t="shared" si="9"/>
        <v>3.4265831999999996E-2</v>
      </c>
      <c r="AB10" s="61">
        <f t="shared" si="10"/>
        <v>1.8726635970000132</v>
      </c>
      <c r="AC10" s="77">
        <f t="shared" si="11"/>
        <v>8.6111110999999907E-2</v>
      </c>
      <c r="AD10" s="77" t="e">
        <f t="shared" si="12"/>
        <v>#VALUE!</v>
      </c>
      <c r="AE10" s="15">
        <f t="shared" si="13"/>
        <v>6.5295568335500098E-2</v>
      </c>
      <c r="AF10" s="15">
        <f t="shared" si="14"/>
        <v>0.10564158099999998</v>
      </c>
      <c r="AG10" s="15">
        <f t="shared" si="15"/>
        <v>1.1196702000000003E-2</v>
      </c>
      <c r="AH10" s="77">
        <f t="shared" si="16"/>
        <v>0.66674720143144039</v>
      </c>
      <c r="AI10" s="78">
        <f t="shared" si="17"/>
        <v>0</v>
      </c>
    </row>
    <row r="11" spans="2:35" x14ac:dyDescent="0.25">
      <c r="B11" t="s">
        <v>207</v>
      </c>
      <c r="C11" s="81">
        <v>46078</v>
      </c>
      <c r="D11" t="s">
        <v>31</v>
      </c>
      <c r="E11" t="s">
        <v>158</v>
      </c>
      <c r="F11" t="s">
        <v>159</v>
      </c>
      <c r="G11">
        <v>11.381690000000001</v>
      </c>
      <c r="H11">
        <v>121.65</v>
      </c>
      <c r="I11">
        <v>5.2094194150000002</v>
      </c>
      <c r="J11">
        <v>165.01399560199999</v>
      </c>
      <c r="K11">
        <v>4.0833333329999997</v>
      </c>
      <c r="L11" t="s">
        <v>248</v>
      </c>
      <c r="M11">
        <v>3.3423688401150899</v>
      </c>
      <c r="N11">
        <v>1.8535593530000001</v>
      </c>
      <c r="O11">
        <v>0.13136051700000001</v>
      </c>
      <c r="P11">
        <v>7.0869334066584901</v>
      </c>
      <c r="Q11">
        <v>0</v>
      </c>
      <c r="R11">
        <v>5.3463423859999999</v>
      </c>
      <c r="S11">
        <v>185.56424450399999</v>
      </c>
      <c r="T11">
        <v>1.330555556</v>
      </c>
      <c r="U11">
        <v>0.128226546443962</v>
      </c>
      <c r="V11">
        <v>1.1990315888472001</v>
      </c>
      <c r="W11">
        <v>0.85152371900000001</v>
      </c>
      <c r="X11">
        <v>5.0035835000000001E-2</v>
      </c>
      <c r="Y11">
        <v>5.8760353802898599</v>
      </c>
      <c r="Z11">
        <v>0</v>
      </c>
      <c r="AA11" s="76">
        <f t="shared" si="9"/>
        <v>-0.13692297099999973</v>
      </c>
      <c r="AB11" s="61">
        <f t="shared" si="10"/>
        <v>-20.550248901999993</v>
      </c>
      <c r="AC11" s="77">
        <f t="shared" si="11"/>
        <v>2.7527777769999995</v>
      </c>
      <c r="AD11" s="77" t="e">
        <f t="shared" si="12"/>
        <v>#VALUE!</v>
      </c>
      <c r="AE11" s="15">
        <f t="shared" si="13"/>
        <v>2.1433372512678899</v>
      </c>
      <c r="AF11" s="15">
        <f t="shared" si="14"/>
        <v>1.0020356340000001</v>
      </c>
      <c r="AG11" s="15">
        <f t="shared" si="15"/>
        <v>8.1324682000000009E-2</v>
      </c>
      <c r="AH11" s="77">
        <f t="shared" si="16"/>
        <v>1.2108980263686302</v>
      </c>
      <c r="AI11" s="78">
        <f t="shared" si="17"/>
        <v>0</v>
      </c>
    </row>
    <row r="12" spans="2:35" x14ac:dyDescent="0.25">
      <c r="B12" t="s">
        <v>207</v>
      </c>
      <c r="C12" s="81">
        <v>46078</v>
      </c>
      <c r="D12" t="s">
        <v>31</v>
      </c>
      <c r="E12" t="s">
        <v>160</v>
      </c>
      <c r="F12" t="s">
        <v>161</v>
      </c>
      <c r="G12">
        <v>8.4172100000000007</v>
      </c>
      <c r="H12">
        <v>112.03125</v>
      </c>
      <c r="I12">
        <v>5.3547026119999996</v>
      </c>
      <c r="J12">
        <v>173.99358740700001</v>
      </c>
      <c r="K12">
        <v>4.9222222220000003</v>
      </c>
      <c r="L12" t="s">
        <v>248</v>
      </c>
      <c r="M12">
        <v>4.0762860032357002</v>
      </c>
      <c r="N12">
        <v>0.34076076500000002</v>
      </c>
      <c r="O12">
        <v>1.34196E-2</v>
      </c>
      <c r="P12">
        <v>3.9381294381118099</v>
      </c>
      <c r="Q12">
        <v>0</v>
      </c>
      <c r="R12">
        <v>5.1692215450000001</v>
      </c>
      <c r="S12">
        <v>166.04340361600001</v>
      </c>
      <c r="T12">
        <v>4.0805555560000002</v>
      </c>
      <c r="U12">
        <v>0.34808256802301901</v>
      </c>
      <c r="V12">
        <v>3.3431574278668301</v>
      </c>
      <c r="W12">
        <v>1.8558750399999999</v>
      </c>
      <c r="X12">
        <v>0.131505979</v>
      </c>
      <c r="Y12">
        <v>7.0859285332055499</v>
      </c>
      <c r="Z12">
        <v>0</v>
      </c>
      <c r="AA12" s="76">
        <f t="shared" si="9"/>
        <v>0.18548106699999956</v>
      </c>
      <c r="AB12" s="61">
        <f t="shared" si="10"/>
        <v>7.9501837910000006</v>
      </c>
      <c r="AC12" s="77">
        <f t="shared" si="11"/>
        <v>0.84166666600000006</v>
      </c>
      <c r="AD12" s="77" t="e">
        <f t="shared" si="12"/>
        <v>#VALUE!</v>
      </c>
      <c r="AE12" s="15">
        <f t="shared" si="13"/>
        <v>0.73312857536887011</v>
      </c>
      <c r="AF12" s="15">
        <f t="shared" si="14"/>
        <v>-1.515114275</v>
      </c>
      <c r="AG12" s="15">
        <f t="shared" si="15"/>
        <v>-0.11808637899999999</v>
      </c>
      <c r="AH12" s="77">
        <f t="shared" si="16"/>
        <v>-3.14779909509374</v>
      </c>
      <c r="AI12" s="78">
        <f t="shared" si="17"/>
        <v>0</v>
      </c>
    </row>
    <row r="13" spans="2:35" x14ac:dyDescent="0.25">
      <c r="B13" t="s">
        <v>207</v>
      </c>
      <c r="C13" s="81">
        <v>46078</v>
      </c>
      <c r="D13" t="s">
        <v>31</v>
      </c>
      <c r="E13" t="s">
        <v>211</v>
      </c>
      <c r="F13" t="s">
        <v>212</v>
      </c>
      <c r="G13">
        <v>9.1672100000000007</v>
      </c>
      <c r="H13">
        <v>121.13</v>
      </c>
      <c r="I13">
        <v>5.7344640389999997</v>
      </c>
      <c r="J13">
        <v>189.66058468</v>
      </c>
      <c r="K13">
        <v>7.9166666670000003</v>
      </c>
      <c r="L13" t="s">
        <v>248</v>
      </c>
      <c r="M13">
        <v>5.8429641121109599</v>
      </c>
      <c r="N13">
        <v>0.30650574600000002</v>
      </c>
      <c r="O13">
        <v>1.3517718999999999E-2</v>
      </c>
      <c r="P13">
        <v>4.4102660966101404</v>
      </c>
      <c r="Q13">
        <v>0</v>
      </c>
      <c r="R13">
        <v>5.313084506</v>
      </c>
      <c r="S13">
        <v>175.39506898299999</v>
      </c>
      <c r="T13">
        <v>4.9194444439999998</v>
      </c>
      <c r="U13">
        <v>0.23048007497907899</v>
      </c>
      <c r="V13">
        <v>4.0785157569874402</v>
      </c>
      <c r="W13">
        <v>0.34086098100000001</v>
      </c>
      <c r="X13">
        <v>1.3329967999999999E-2</v>
      </c>
      <c r="Y13">
        <v>3.9106758306255101</v>
      </c>
      <c r="Z13">
        <v>0</v>
      </c>
      <c r="AA13" s="76">
        <f t="shared" si="9"/>
        <v>0.42137953299999964</v>
      </c>
      <c r="AB13" s="61">
        <f t="shared" si="10"/>
        <v>14.265515697000012</v>
      </c>
      <c r="AC13" s="77">
        <f t="shared" si="11"/>
        <v>2.9972222230000005</v>
      </c>
      <c r="AD13" s="77" t="e">
        <f t="shared" si="12"/>
        <v>#VALUE!</v>
      </c>
      <c r="AE13" s="15">
        <f t="shared" si="13"/>
        <v>1.7644483551235197</v>
      </c>
      <c r="AF13" s="15">
        <f t="shared" si="14"/>
        <v>-3.4355234999999984E-2</v>
      </c>
      <c r="AG13" s="15">
        <f t="shared" si="15"/>
        <v>1.8775099999999989E-4</v>
      </c>
      <c r="AH13" s="77">
        <f t="shared" si="16"/>
        <v>0.4995902659846303</v>
      </c>
      <c r="AI13" s="78">
        <f t="shared" si="17"/>
        <v>0</v>
      </c>
    </row>
    <row r="14" spans="2:35" x14ac:dyDescent="0.25">
      <c r="B14" t="s">
        <v>207</v>
      </c>
      <c r="C14" s="81">
        <v>46078</v>
      </c>
      <c r="D14" t="s">
        <v>31</v>
      </c>
      <c r="E14" t="s">
        <v>162</v>
      </c>
      <c r="F14" t="s">
        <v>163</v>
      </c>
      <c r="G14">
        <v>11.167210000000001</v>
      </c>
      <c r="H14">
        <v>103.85</v>
      </c>
      <c r="I14">
        <v>5.3485899310000002</v>
      </c>
      <c r="J14">
        <v>174.75661690199999</v>
      </c>
      <c r="K14">
        <v>0.66944444400000003</v>
      </c>
      <c r="L14" t="s">
        <v>248</v>
      </c>
      <c r="M14">
        <v>0.63685947424169798</v>
      </c>
      <c r="N14">
        <v>0.334501251</v>
      </c>
      <c r="O14">
        <v>1.3370205E-2</v>
      </c>
      <c r="P14">
        <v>3.99705680024497</v>
      </c>
      <c r="Q14">
        <v>0</v>
      </c>
      <c r="R14">
        <v>5.6962580999999997</v>
      </c>
      <c r="S14">
        <v>190.57301950300001</v>
      </c>
      <c r="T14">
        <v>7.9138888889999999</v>
      </c>
      <c r="U14">
        <v>0.54706124411788903</v>
      </c>
      <c r="V14">
        <v>5.8496912787913899</v>
      </c>
      <c r="W14">
        <v>0.307282895</v>
      </c>
      <c r="X14">
        <v>1.3540638000000001E-2</v>
      </c>
      <c r="Y14">
        <v>4.4065706944084901</v>
      </c>
      <c r="Z14">
        <v>0</v>
      </c>
      <c r="AA14" s="76">
        <f t="shared" si="9"/>
        <v>-0.34766816899999942</v>
      </c>
      <c r="AB14" s="61">
        <f t="shared" si="10"/>
        <v>-15.816402601000021</v>
      </c>
      <c r="AC14" s="77">
        <f t="shared" si="11"/>
        <v>-7.2444444450000001</v>
      </c>
      <c r="AD14" s="77" t="e">
        <f t="shared" si="12"/>
        <v>#VALUE!</v>
      </c>
      <c r="AE14" s="15">
        <f t="shared" si="13"/>
        <v>-5.2128318045496922</v>
      </c>
      <c r="AF14" s="15">
        <f t="shared" si="14"/>
        <v>2.7218355999999999E-2</v>
      </c>
      <c r="AG14" s="15">
        <f t="shared" si="15"/>
        <v>-1.7043300000000108E-4</v>
      </c>
      <c r="AH14" s="77">
        <f t="shared" si="16"/>
        <v>-0.40951389416352013</v>
      </c>
      <c r="AI14" s="78">
        <f t="shared" si="17"/>
        <v>0</v>
      </c>
    </row>
    <row r="15" spans="2:35" x14ac:dyDescent="0.25">
      <c r="B15" t="s">
        <v>207</v>
      </c>
      <c r="C15" s="81">
        <v>46078</v>
      </c>
      <c r="D15" t="s">
        <v>31</v>
      </c>
      <c r="E15" t="s">
        <v>164</v>
      </c>
      <c r="F15" t="s">
        <v>165</v>
      </c>
      <c r="G15">
        <v>11.46721</v>
      </c>
      <c r="H15">
        <v>104.59375</v>
      </c>
      <c r="I15">
        <v>5.2493617439999998</v>
      </c>
      <c r="J15">
        <v>166.83586101099999</v>
      </c>
      <c r="K15">
        <v>0.75</v>
      </c>
      <c r="L15" t="s">
        <v>248</v>
      </c>
      <c r="M15">
        <v>0.71210206919628705</v>
      </c>
      <c r="N15">
        <v>0.400685232</v>
      </c>
      <c r="O15">
        <v>2.0067564E-2</v>
      </c>
      <c r="P15">
        <v>5.0083113619720301</v>
      </c>
      <c r="Q15">
        <v>0</v>
      </c>
      <c r="R15">
        <v>5.3176337020000002</v>
      </c>
      <c r="S15">
        <v>172.493607406</v>
      </c>
      <c r="T15">
        <v>0.66666666699999999</v>
      </c>
      <c r="U15">
        <v>8.1976883004335102E-2</v>
      </c>
      <c r="V15">
        <v>0.63444388348580505</v>
      </c>
      <c r="W15">
        <v>0.33514227600000002</v>
      </c>
      <c r="X15">
        <v>1.336057E-2</v>
      </c>
      <c r="Y15">
        <v>3.98653675073807</v>
      </c>
      <c r="Z15">
        <v>0</v>
      </c>
      <c r="AA15" s="76">
        <f t="shared" si="9"/>
        <v>-6.827195800000041E-2</v>
      </c>
      <c r="AB15" s="61">
        <f t="shared" si="10"/>
        <v>-5.6577463950000038</v>
      </c>
      <c r="AC15" s="77">
        <f t="shared" si="11"/>
        <v>8.3333333000000009E-2</v>
      </c>
      <c r="AD15" s="77" t="e">
        <f t="shared" si="12"/>
        <v>#VALUE!</v>
      </c>
      <c r="AE15" s="15">
        <f t="shared" si="13"/>
        <v>7.7658185710481997E-2</v>
      </c>
      <c r="AF15" s="15">
        <f t="shared" si="14"/>
        <v>6.5542955999999986E-2</v>
      </c>
      <c r="AG15" s="15">
        <f t="shared" si="15"/>
        <v>6.7069939999999991E-3</v>
      </c>
      <c r="AH15" s="77">
        <f t="shared" si="16"/>
        <v>1.0217746112339601</v>
      </c>
      <c r="AI15" s="78">
        <f t="shared" si="17"/>
        <v>0</v>
      </c>
    </row>
    <row r="16" spans="2:35" x14ac:dyDescent="0.25">
      <c r="B16" t="s">
        <v>207</v>
      </c>
      <c r="C16" s="81">
        <v>46078</v>
      </c>
      <c r="D16" t="s">
        <v>31</v>
      </c>
      <c r="E16" t="s">
        <v>168</v>
      </c>
      <c r="F16" t="s">
        <v>169</v>
      </c>
      <c r="G16">
        <v>9.9172100000000007</v>
      </c>
      <c r="H16">
        <v>102.65625</v>
      </c>
      <c r="I16">
        <v>5.3488216470000003</v>
      </c>
      <c r="J16">
        <v>172.76432298700001</v>
      </c>
      <c r="K16">
        <v>0.58333333300000001</v>
      </c>
      <c r="L16" t="s">
        <v>248</v>
      </c>
      <c r="M16">
        <v>0.55975120657534105</v>
      </c>
      <c r="N16">
        <v>0.46536371100000001</v>
      </c>
      <c r="O16">
        <v>2.8633430000000001E-2</v>
      </c>
      <c r="P16">
        <v>6.1529142309938303</v>
      </c>
      <c r="Q16">
        <v>0</v>
      </c>
      <c r="R16">
        <v>5.4615960169999997</v>
      </c>
      <c r="S16">
        <v>189.01540915499999</v>
      </c>
      <c r="T16">
        <v>0.74722222199999999</v>
      </c>
      <c r="U16">
        <v>8.2919137845634303E-2</v>
      </c>
      <c r="V16">
        <v>0.70885907110864099</v>
      </c>
      <c r="W16">
        <v>0.40015246500000001</v>
      </c>
      <c r="X16">
        <v>2.0002501999999998E-2</v>
      </c>
      <c r="Y16">
        <v>4.9987201753211696</v>
      </c>
      <c r="Z16">
        <v>0</v>
      </c>
      <c r="AA16" s="76">
        <f t="shared" si="9"/>
        <v>-0.11277436999999946</v>
      </c>
      <c r="AB16" s="61">
        <f t="shared" si="10"/>
        <v>-16.251086167999972</v>
      </c>
      <c r="AC16" s="77">
        <f t="shared" si="11"/>
        <v>-0.16388888899999998</v>
      </c>
      <c r="AD16" s="77" t="e">
        <f t="shared" si="12"/>
        <v>#VALUE!</v>
      </c>
      <c r="AE16" s="15">
        <f t="shared" si="13"/>
        <v>-0.14910786453329994</v>
      </c>
      <c r="AF16" s="15">
        <f t="shared" si="14"/>
        <v>6.5211246E-2</v>
      </c>
      <c r="AG16" s="15">
        <f t="shared" si="15"/>
        <v>8.630928000000003E-3</v>
      </c>
      <c r="AH16" s="77">
        <f t="shared" si="16"/>
        <v>1.1541940556726606</v>
      </c>
      <c r="AI16" s="78">
        <f t="shared" si="17"/>
        <v>0</v>
      </c>
    </row>
    <row r="17" spans="2:35" x14ac:dyDescent="0.25">
      <c r="B17" t="s">
        <v>207</v>
      </c>
      <c r="C17" s="81">
        <v>46078</v>
      </c>
      <c r="D17" t="s">
        <v>31</v>
      </c>
      <c r="E17" t="s">
        <v>170</v>
      </c>
      <c r="F17" t="s">
        <v>171</v>
      </c>
      <c r="G17">
        <v>10.667210000000001</v>
      </c>
      <c r="H17">
        <v>104.325</v>
      </c>
      <c r="I17">
        <v>5.3976119889999996</v>
      </c>
      <c r="J17">
        <v>183.83193711600001</v>
      </c>
      <c r="K17">
        <v>0.84166666700000003</v>
      </c>
      <c r="L17" t="s">
        <v>248</v>
      </c>
      <c r="M17">
        <v>0.79595662209441698</v>
      </c>
      <c r="N17">
        <v>0.55875470599999999</v>
      </c>
      <c r="O17">
        <v>4.6741629E-2</v>
      </c>
      <c r="P17">
        <v>8.3653217589186593</v>
      </c>
      <c r="Q17">
        <v>0</v>
      </c>
      <c r="R17">
        <v>5.3210423049999998</v>
      </c>
      <c r="S17">
        <v>170.70106768400001</v>
      </c>
      <c r="T17">
        <v>0.58055555599999997</v>
      </c>
      <c r="U17">
        <v>7.9541993789952206E-2</v>
      </c>
      <c r="V17">
        <v>0.55727185436834503</v>
      </c>
      <c r="W17">
        <v>0.46512917399999998</v>
      </c>
      <c r="X17">
        <v>2.8592039E-2</v>
      </c>
      <c r="Y17">
        <v>6.14711796168692</v>
      </c>
      <c r="Z17">
        <v>0</v>
      </c>
      <c r="AA17" s="76">
        <f t="shared" si="9"/>
        <v>7.656968399999986E-2</v>
      </c>
      <c r="AB17" s="61">
        <f t="shared" si="10"/>
        <v>13.130869431999997</v>
      </c>
      <c r="AC17" s="77">
        <f t="shared" si="11"/>
        <v>0.26111111100000006</v>
      </c>
      <c r="AD17" s="77" t="e">
        <f t="shared" si="12"/>
        <v>#VALUE!</v>
      </c>
      <c r="AE17" s="15">
        <f t="shared" si="13"/>
        <v>0.23868476772607194</v>
      </c>
      <c r="AF17" s="15">
        <f t="shared" si="14"/>
        <v>9.3625532000000011E-2</v>
      </c>
      <c r="AG17" s="15">
        <f t="shared" si="15"/>
        <v>1.814959E-2</v>
      </c>
      <c r="AH17" s="77">
        <f t="shared" si="16"/>
        <v>2.2182037972317392</v>
      </c>
      <c r="AI17" s="78">
        <f t="shared" si="17"/>
        <v>0</v>
      </c>
    </row>
    <row r="18" spans="2:35" x14ac:dyDescent="0.25">
      <c r="B18" t="s">
        <v>207</v>
      </c>
      <c r="C18" s="81">
        <v>46078</v>
      </c>
      <c r="D18" t="s">
        <v>31</v>
      </c>
      <c r="E18" t="s">
        <v>172</v>
      </c>
      <c r="F18" t="s">
        <v>173</v>
      </c>
      <c r="G18">
        <v>12.167210000000001</v>
      </c>
      <c r="H18">
        <v>106.632812</v>
      </c>
      <c r="I18">
        <v>5.3262044230000001</v>
      </c>
      <c r="J18">
        <v>179.953175195</v>
      </c>
      <c r="K18">
        <v>1</v>
      </c>
      <c r="L18" t="s">
        <v>248</v>
      </c>
      <c r="M18">
        <v>0.93653116453498397</v>
      </c>
      <c r="N18">
        <v>0.61873915000000002</v>
      </c>
      <c r="O18">
        <v>3.8814409000000001E-2</v>
      </c>
      <c r="P18">
        <v>6.2731457998091802</v>
      </c>
      <c r="Q18">
        <v>0</v>
      </c>
      <c r="R18">
        <v>5.3709643140000001</v>
      </c>
      <c r="S18">
        <v>182.25207087800001</v>
      </c>
      <c r="T18">
        <v>0.83888888900000003</v>
      </c>
      <c r="U18">
        <v>8.2703730649423601E-2</v>
      </c>
      <c r="V18">
        <v>0.79359373592140303</v>
      </c>
      <c r="W18">
        <v>0.55707205000000004</v>
      </c>
      <c r="X18">
        <v>4.6738254E-2</v>
      </c>
      <c r="Y18">
        <v>8.3899836654881508</v>
      </c>
      <c r="Z18">
        <v>0</v>
      </c>
      <c r="AA18" s="76">
        <f t="shared" si="9"/>
        <v>-4.4759890999999996E-2</v>
      </c>
      <c r="AB18" s="61">
        <f t="shared" si="10"/>
        <v>-2.298895683000012</v>
      </c>
      <c r="AC18" s="77">
        <f t="shared" si="11"/>
        <v>0.16111111099999997</v>
      </c>
      <c r="AD18" s="77" t="e">
        <f t="shared" si="12"/>
        <v>#VALUE!</v>
      </c>
      <c r="AE18" s="15">
        <f t="shared" si="13"/>
        <v>0.14293742861358094</v>
      </c>
      <c r="AF18" s="15">
        <f t="shared" si="14"/>
        <v>6.1667099999999975E-2</v>
      </c>
      <c r="AG18" s="15">
        <f t="shared" si="15"/>
        <v>-7.9238449999999988E-3</v>
      </c>
      <c r="AH18" s="77">
        <f t="shared" si="16"/>
        <v>-2.1168378656789706</v>
      </c>
      <c r="AI18" s="78">
        <f t="shared" si="17"/>
        <v>0</v>
      </c>
    </row>
    <row r="19" spans="2:35" x14ac:dyDescent="0.25">
      <c r="B19" t="s">
        <v>207</v>
      </c>
      <c r="C19" s="81">
        <v>46078</v>
      </c>
      <c r="D19" t="s">
        <v>31</v>
      </c>
      <c r="E19" t="s">
        <v>178</v>
      </c>
      <c r="F19" t="s">
        <v>179</v>
      </c>
      <c r="G19">
        <v>14.667210000000001</v>
      </c>
      <c r="H19">
        <v>109.613281</v>
      </c>
      <c r="I19">
        <v>5.4499843129999999</v>
      </c>
      <c r="J19">
        <v>192.607225747</v>
      </c>
      <c r="K19">
        <v>1.0833333329999999</v>
      </c>
      <c r="L19" t="s">
        <v>248</v>
      </c>
      <c r="M19">
        <v>0.99298397061939103</v>
      </c>
      <c r="N19">
        <v>0.65777179799999996</v>
      </c>
      <c r="O19">
        <v>4.9748535000000003E-2</v>
      </c>
      <c r="P19">
        <v>7.5631906310461803</v>
      </c>
      <c r="Q19">
        <v>0</v>
      </c>
      <c r="R19">
        <v>5.2952201370000003</v>
      </c>
      <c r="S19">
        <v>178.20755517200001</v>
      </c>
      <c r="T19">
        <v>0.99722222199999999</v>
      </c>
      <c r="U19">
        <v>9.2193597970580604E-2</v>
      </c>
      <c r="V19">
        <v>0.93429121610334098</v>
      </c>
      <c r="W19">
        <v>0.61907869900000001</v>
      </c>
      <c r="X19">
        <v>3.8780278000000001E-2</v>
      </c>
      <c r="Y19">
        <v>6.2641919456511603</v>
      </c>
      <c r="Z19">
        <v>0</v>
      </c>
      <c r="AA19" s="76">
        <f t="shared" si="9"/>
        <v>0.15476417599999959</v>
      </c>
      <c r="AB19" s="61">
        <f t="shared" si="10"/>
        <v>14.399670574999988</v>
      </c>
      <c r="AC19" s="77">
        <f t="shared" si="11"/>
        <v>8.6111110999999907E-2</v>
      </c>
      <c r="AD19" s="77" t="e">
        <f t="shared" si="12"/>
        <v>#VALUE!</v>
      </c>
      <c r="AE19" s="15">
        <f t="shared" si="13"/>
        <v>5.869275451605005E-2</v>
      </c>
      <c r="AF19" s="15">
        <f t="shared" si="14"/>
        <v>3.8693098999999953E-2</v>
      </c>
      <c r="AG19" s="15">
        <f t="shared" si="15"/>
        <v>1.0968257000000002E-2</v>
      </c>
      <c r="AH19" s="77">
        <f t="shared" si="16"/>
        <v>1.2989986853950199</v>
      </c>
      <c r="AI19" s="78">
        <f t="shared" si="17"/>
        <v>0</v>
      </c>
    </row>
    <row r="20" spans="2:35" x14ac:dyDescent="0.25">
      <c r="B20" t="s">
        <v>207</v>
      </c>
      <c r="C20" s="81">
        <v>46078</v>
      </c>
      <c r="D20" t="s">
        <v>213</v>
      </c>
      <c r="E20" t="s">
        <v>214</v>
      </c>
      <c r="F20" t="s">
        <v>215</v>
      </c>
      <c r="G20">
        <v>15.667210000000001</v>
      </c>
      <c r="H20">
        <v>114.749475</v>
      </c>
      <c r="I20">
        <v>5.8026868980000001</v>
      </c>
      <c r="J20">
        <v>230.291131103</v>
      </c>
      <c r="K20">
        <v>1.5888888889999999</v>
      </c>
      <c r="L20" t="s">
        <v>248</v>
      </c>
      <c r="M20">
        <v>1.4073854873845799</v>
      </c>
      <c r="N20">
        <v>1.076510273</v>
      </c>
      <c r="O20">
        <v>0.123687517</v>
      </c>
      <c r="P20">
        <v>11.489673633611501</v>
      </c>
      <c r="Q20">
        <v>0</v>
      </c>
      <c r="R20">
        <v>5.4135034390000003</v>
      </c>
      <c r="S20">
        <v>190.47670634100001</v>
      </c>
      <c r="T20">
        <v>1.080555556</v>
      </c>
      <c r="U20">
        <v>0.10512444929005001</v>
      </c>
      <c r="V20">
        <v>0.99086437436354402</v>
      </c>
      <c r="W20">
        <v>0.65657367099999997</v>
      </c>
      <c r="X20">
        <v>4.9667061999999998E-2</v>
      </c>
      <c r="Y20">
        <v>7.5645832590810702</v>
      </c>
      <c r="Z20">
        <v>0</v>
      </c>
      <c r="AA20" s="76">
        <f t="shared" si="9"/>
        <v>0.38918345899999984</v>
      </c>
      <c r="AB20" s="61">
        <f t="shared" si="10"/>
        <v>39.814424761999987</v>
      </c>
      <c r="AC20" s="77">
        <f t="shared" si="11"/>
        <v>0.50833333299999994</v>
      </c>
      <c r="AD20" s="77" t="e">
        <f t="shared" si="12"/>
        <v>#VALUE!</v>
      </c>
      <c r="AE20" s="15">
        <f t="shared" si="13"/>
        <v>0.41652111302103589</v>
      </c>
      <c r="AF20" s="15">
        <f t="shared" si="14"/>
        <v>0.41993660200000005</v>
      </c>
      <c r="AG20" s="15">
        <f t="shared" si="15"/>
        <v>7.4020454999999999E-2</v>
      </c>
      <c r="AH20" s="77">
        <f t="shared" si="16"/>
        <v>3.9250903745304306</v>
      </c>
      <c r="AI20" s="78">
        <f t="shared" si="17"/>
        <v>0</v>
      </c>
    </row>
    <row r="21" spans="2:35" x14ac:dyDescent="0.25">
      <c r="B21" t="s">
        <v>207</v>
      </c>
      <c r="C21" s="81">
        <v>46078</v>
      </c>
      <c r="D21" t="s">
        <v>213</v>
      </c>
      <c r="E21" t="s">
        <v>216</v>
      </c>
      <c r="F21" t="s">
        <v>217</v>
      </c>
      <c r="G21">
        <v>8.7172099999999997</v>
      </c>
      <c r="H21">
        <v>103.87375</v>
      </c>
      <c r="I21">
        <v>6.690676882</v>
      </c>
      <c r="J21">
        <v>320.62625412699998</v>
      </c>
      <c r="K21">
        <v>2.4166666669999999</v>
      </c>
      <c r="L21" t="s">
        <v>248</v>
      </c>
      <c r="M21">
        <v>2.1530747662426801</v>
      </c>
      <c r="N21">
        <v>0.50455285000000005</v>
      </c>
      <c r="O21">
        <v>7.5881639000000001E-2</v>
      </c>
      <c r="P21">
        <v>15.039383683988699</v>
      </c>
      <c r="Q21">
        <v>0</v>
      </c>
      <c r="R21">
        <v>5.7606618159999998</v>
      </c>
      <c r="S21">
        <v>228.82854234300001</v>
      </c>
      <c r="T21">
        <v>1.5861111109999999</v>
      </c>
      <c r="U21">
        <v>0.14449127980759699</v>
      </c>
      <c r="V21">
        <v>1.40565059665849</v>
      </c>
      <c r="W21">
        <v>1.0772370529999999</v>
      </c>
      <c r="X21">
        <v>0.123706897</v>
      </c>
      <c r="Y21">
        <v>11.483720937326501</v>
      </c>
      <c r="Z21">
        <v>0</v>
      </c>
      <c r="AA21" s="76">
        <f t="shared" si="9"/>
        <v>0.93001506600000017</v>
      </c>
      <c r="AB21" s="61">
        <f t="shared" si="10"/>
        <v>91.797711783999972</v>
      </c>
      <c r="AC21" s="77">
        <f t="shared" si="11"/>
        <v>0.83055555599999997</v>
      </c>
      <c r="AD21" s="77" t="e">
        <f t="shared" si="12"/>
        <v>#VALUE!</v>
      </c>
      <c r="AE21" s="15">
        <f t="shared" si="13"/>
        <v>0.74742416958419011</v>
      </c>
      <c r="AF21" s="15">
        <f t="shared" si="14"/>
        <v>-0.57268420299999989</v>
      </c>
      <c r="AG21" s="15">
        <f t="shared" si="15"/>
        <v>-4.7825257999999995E-2</v>
      </c>
      <c r="AH21" s="77">
        <f t="shared" si="16"/>
        <v>3.5556627466621986</v>
      </c>
      <c r="AI21" s="78">
        <f t="shared" si="17"/>
        <v>0</v>
      </c>
    </row>
    <row r="22" spans="2:35" x14ac:dyDescent="0.25">
      <c r="B22" t="s">
        <v>207</v>
      </c>
      <c r="C22" s="81">
        <v>46078</v>
      </c>
      <c r="D22" t="s">
        <v>213</v>
      </c>
      <c r="E22" t="s">
        <v>218</v>
      </c>
      <c r="F22" t="s">
        <v>219</v>
      </c>
      <c r="G22">
        <v>6.1672099999999999</v>
      </c>
      <c r="H22">
        <v>100.69</v>
      </c>
      <c r="I22">
        <v>5.2808620849999999</v>
      </c>
      <c r="J22">
        <v>173.14380468600001</v>
      </c>
      <c r="K22">
        <v>0.87837955199999995</v>
      </c>
      <c r="L22" t="s">
        <v>248</v>
      </c>
      <c r="M22">
        <v>0.84239699572946203</v>
      </c>
      <c r="N22">
        <v>0.50455285000000005</v>
      </c>
      <c r="O22">
        <v>7.5881639000000001E-2</v>
      </c>
      <c r="P22">
        <v>15.039383683988699</v>
      </c>
      <c r="Q22">
        <v>0</v>
      </c>
      <c r="R22">
        <v>6.6533275639999996</v>
      </c>
      <c r="S22">
        <v>321.056554914</v>
      </c>
      <c r="T22">
        <v>2.4138888889999999</v>
      </c>
      <c r="U22">
        <v>-1.7368872058628799</v>
      </c>
      <c r="V22">
        <v>2.1518868944271299</v>
      </c>
      <c r="W22">
        <v>0.50234702799999997</v>
      </c>
      <c r="X22">
        <v>7.5873533000000007E-2</v>
      </c>
      <c r="Y22">
        <v>15.1038084771948</v>
      </c>
      <c r="Z22">
        <v>0</v>
      </c>
      <c r="AA22" s="76">
        <f t="shared" si="9"/>
        <v>-1.3724654789999997</v>
      </c>
      <c r="AB22" s="61">
        <f t="shared" si="10"/>
        <v>-147.91275022799999</v>
      </c>
      <c r="AC22" s="77">
        <f t="shared" si="11"/>
        <v>-1.5355093369999999</v>
      </c>
      <c r="AD22" s="77" t="e">
        <f t="shared" si="12"/>
        <v>#VALUE!</v>
      </c>
      <c r="AE22" s="15">
        <f t="shared" si="13"/>
        <v>-1.309489898697668</v>
      </c>
      <c r="AF22" s="15">
        <f t="shared" si="14"/>
        <v>2.2058220000000794E-3</v>
      </c>
      <c r="AG22" s="15">
        <f t="shared" si="15"/>
        <v>8.1059999999938404E-6</v>
      </c>
      <c r="AH22" s="77">
        <f t="shared" si="16"/>
        <v>-6.4424793206100617E-2</v>
      </c>
      <c r="AI22" s="78">
        <f t="shared" si="17"/>
        <v>0</v>
      </c>
    </row>
    <row r="23" spans="2:35" x14ac:dyDescent="0.25">
      <c r="B23" t="s">
        <v>207</v>
      </c>
      <c r="C23" s="81">
        <v>46078</v>
      </c>
      <c r="D23" t="s">
        <v>213</v>
      </c>
      <c r="E23" t="s">
        <v>220</v>
      </c>
      <c r="F23" t="s">
        <v>221</v>
      </c>
      <c r="G23">
        <v>6.9172099999999999</v>
      </c>
      <c r="H23">
        <v>102.1896</v>
      </c>
      <c r="I23">
        <v>5.0397363510000002</v>
      </c>
      <c r="J23">
        <v>153.26793232399999</v>
      </c>
      <c r="K23">
        <v>1.349583728</v>
      </c>
      <c r="L23" t="s">
        <v>248</v>
      </c>
      <c r="M23">
        <v>1.27436085570352</v>
      </c>
      <c r="N23">
        <v>0.50455285000000005</v>
      </c>
      <c r="O23">
        <v>7.5881639000000001E-2</v>
      </c>
      <c r="P23">
        <v>15.039383683988699</v>
      </c>
      <c r="Q23">
        <v>0</v>
      </c>
      <c r="R23">
        <v>5.2611168800000003</v>
      </c>
      <c r="S23">
        <v>172.343188441</v>
      </c>
      <c r="T23">
        <v>0.86755764000000002</v>
      </c>
      <c r="U23">
        <v>-0.13760582282252901</v>
      </c>
      <c r="V23">
        <v>0.83240961267255298</v>
      </c>
      <c r="W23">
        <v>0.50234702799999997</v>
      </c>
      <c r="X23">
        <v>7.5873533000000007E-2</v>
      </c>
      <c r="Y23">
        <v>15.1038084771948</v>
      </c>
      <c r="Z23">
        <v>0</v>
      </c>
      <c r="AA23" s="76">
        <f t="shared" si="9"/>
        <v>-0.22138052900000016</v>
      </c>
      <c r="AB23" s="61">
        <f t="shared" si="10"/>
        <v>-19.075256117000009</v>
      </c>
      <c r="AC23" s="77">
        <f t="shared" si="11"/>
        <v>0.48202608800000002</v>
      </c>
      <c r="AD23" s="77" t="e">
        <f t="shared" si="12"/>
        <v>#VALUE!</v>
      </c>
      <c r="AE23" s="15">
        <f t="shared" si="13"/>
        <v>0.441951243030967</v>
      </c>
      <c r="AF23" s="15">
        <f t="shared" si="14"/>
        <v>2.2058220000000794E-3</v>
      </c>
      <c r="AG23" s="15">
        <f t="shared" si="15"/>
        <v>8.1059999999938404E-6</v>
      </c>
      <c r="AH23" s="77">
        <f t="shared" si="16"/>
        <v>-6.4424793206100617E-2</v>
      </c>
      <c r="AI23" s="78">
        <f t="shared" si="17"/>
        <v>0</v>
      </c>
    </row>
    <row r="24" spans="2:35" x14ac:dyDescent="0.25">
      <c r="B24" t="s">
        <v>207</v>
      </c>
      <c r="C24" s="81">
        <v>46078</v>
      </c>
      <c r="D24" t="s">
        <v>213</v>
      </c>
      <c r="E24" t="s">
        <v>222</v>
      </c>
      <c r="F24" t="s">
        <v>223</v>
      </c>
      <c r="G24">
        <v>7.5672100000000002</v>
      </c>
      <c r="H24">
        <v>103.25</v>
      </c>
      <c r="I24">
        <v>5.6344793290000004</v>
      </c>
      <c r="J24">
        <v>215.29800565400001</v>
      </c>
      <c r="K24">
        <v>2.10651476</v>
      </c>
      <c r="L24" t="s">
        <v>248</v>
      </c>
      <c r="M24">
        <v>1.9299076552058101</v>
      </c>
      <c r="N24">
        <v>0.50455285000000005</v>
      </c>
      <c r="O24">
        <v>7.5881639000000001E-2</v>
      </c>
      <c r="P24">
        <v>15.039383683988699</v>
      </c>
      <c r="Q24">
        <v>0</v>
      </c>
      <c r="R24">
        <v>5.0015776340000002</v>
      </c>
      <c r="S24">
        <v>151.62071035299999</v>
      </c>
      <c r="T24">
        <v>1.3332607540000001</v>
      </c>
      <c r="U24">
        <v>-0.85145093336308397</v>
      </c>
      <c r="V24">
        <v>1.2599122151373601</v>
      </c>
      <c r="W24">
        <v>0.50234702799999997</v>
      </c>
      <c r="X24">
        <v>7.5873533000000007E-2</v>
      </c>
      <c r="Y24">
        <v>15.1038084771948</v>
      </c>
      <c r="Z24">
        <v>0</v>
      </c>
      <c r="AA24" s="76">
        <f t="shared" si="9"/>
        <v>0.63290169500000015</v>
      </c>
      <c r="AB24" s="61">
        <f t="shared" si="10"/>
        <v>63.677295301000015</v>
      </c>
      <c r="AC24" s="77">
        <f t="shared" si="11"/>
        <v>0.77325400599999994</v>
      </c>
      <c r="AD24" s="77" t="e">
        <f t="shared" si="12"/>
        <v>#VALUE!</v>
      </c>
      <c r="AE24" s="15">
        <f t="shared" si="13"/>
        <v>0.66999544006845002</v>
      </c>
      <c r="AF24" s="15">
        <f t="shared" si="14"/>
        <v>2.2058220000000794E-3</v>
      </c>
      <c r="AG24" s="15">
        <f t="shared" si="15"/>
        <v>8.1059999999938404E-6</v>
      </c>
      <c r="AH24" s="77">
        <f t="shared" si="16"/>
        <v>-6.4424793206100617E-2</v>
      </c>
      <c r="AI24" s="78">
        <f t="shared" si="17"/>
        <v>0</v>
      </c>
    </row>
    <row r="25" spans="2:35" x14ac:dyDescent="0.25">
      <c r="B25" t="s">
        <v>207</v>
      </c>
      <c r="C25" s="81">
        <v>46078</v>
      </c>
      <c r="D25" t="s">
        <v>213</v>
      </c>
      <c r="E25" t="s">
        <v>224</v>
      </c>
      <c r="F25" t="s">
        <v>225</v>
      </c>
      <c r="G25">
        <v>8.86721</v>
      </c>
      <c r="H25">
        <v>106.25</v>
      </c>
      <c r="I25">
        <v>5.9510107220000004</v>
      </c>
      <c r="J25">
        <v>246.43036474100001</v>
      </c>
      <c r="K25">
        <v>2.5833333330000001</v>
      </c>
      <c r="L25" t="s">
        <v>248</v>
      </c>
      <c r="M25">
        <v>2.2971036668235398</v>
      </c>
      <c r="N25">
        <v>1.9857295079999999</v>
      </c>
      <c r="O25">
        <v>0.240699844</v>
      </c>
      <c r="P25">
        <v>12.121481955638</v>
      </c>
      <c r="Q25">
        <v>0</v>
      </c>
      <c r="R25">
        <v>5.5870382999999997</v>
      </c>
      <c r="S25">
        <v>214.39269253399999</v>
      </c>
      <c r="T25">
        <v>2.0876789740000001</v>
      </c>
      <c r="U25">
        <v>-1.4720541491525401</v>
      </c>
      <c r="V25">
        <v>1.9147745975786901</v>
      </c>
      <c r="W25">
        <v>0.50234702799999997</v>
      </c>
      <c r="X25">
        <v>7.5873533000000007E-2</v>
      </c>
      <c r="Y25">
        <v>15.1038084771948</v>
      </c>
      <c r="Z25">
        <v>0</v>
      </c>
      <c r="AA25" s="76">
        <f t="shared" si="9"/>
        <v>0.36397242200000068</v>
      </c>
      <c r="AB25" s="61">
        <f t="shared" si="10"/>
        <v>32.037672207000014</v>
      </c>
      <c r="AC25" s="77">
        <f t="shared" si="11"/>
        <v>0.49565435899999999</v>
      </c>
      <c r="AD25" s="77" t="e">
        <f t="shared" si="12"/>
        <v>#VALUE!</v>
      </c>
      <c r="AE25" s="15">
        <f t="shared" si="13"/>
        <v>0.38232906924484977</v>
      </c>
      <c r="AF25" s="15">
        <f t="shared" si="14"/>
        <v>1.4833824799999999</v>
      </c>
      <c r="AG25" s="15">
        <f t="shared" si="15"/>
        <v>0.164826311</v>
      </c>
      <c r="AH25" s="77">
        <f t="shared" si="16"/>
        <v>-2.9823265215568</v>
      </c>
      <c r="AI25" s="78">
        <f t="shared" si="17"/>
        <v>0</v>
      </c>
    </row>
    <row r="26" spans="2:35" x14ac:dyDescent="0.25">
      <c r="B26" t="s">
        <v>207</v>
      </c>
      <c r="C26" s="81">
        <v>46078</v>
      </c>
      <c r="D26" t="s">
        <v>213</v>
      </c>
      <c r="E26" t="s">
        <v>226</v>
      </c>
      <c r="F26" t="s">
        <v>227</v>
      </c>
      <c r="G26">
        <v>10.917210000000001</v>
      </c>
      <c r="H26">
        <v>111</v>
      </c>
      <c r="I26">
        <v>6.1598139950000004</v>
      </c>
      <c r="J26">
        <v>267.15818930900002</v>
      </c>
      <c r="K26">
        <v>2.6666666669999999</v>
      </c>
      <c r="L26" t="s">
        <v>248</v>
      </c>
      <c r="M26">
        <v>2.3117724765765701</v>
      </c>
      <c r="N26">
        <v>1.756665369</v>
      </c>
      <c r="O26">
        <v>0.25225651999999998</v>
      </c>
      <c r="P26">
        <v>14.359964308034399</v>
      </c>
      <c r="Q26">
        <v>0</v>
      </c>
      <c r="R26">
        <v>5.9858454559999998</v>
      </c>
      <c r="S26">
        <v>254.17028324</v>
      </c>
      <c r="T26">
        <v>2.5805555560000002</v>
      </c>
      <c r="U26">
        <v>0.134929649971605</v>
      </c>
      <c r="V26">
        <v>2.2581962830210101</v>
      </c>
      <c r="W26">
        <v>1.915477533</v>
      </c>
      <c r="X26">
        <v>0.23445213600000001</v>
      </c>
      <c r="Y26">
        <v>12.2398791925689</v>
      </c>
      <c r="Z26">
        <v>0</v>
      </c>
      <c r="AA26" s="76">
        <f t="shared" si="9"/>
        <v>0.17396853900000053</v>
      </c>
      <c r="AB26" s="61">
        <f t="shared" si="10"/>
        <v>12.987906069000019</v>
      </c>
      <c r="AC26" s="77">
        <f t="shared" si="11"/>
        <v>8.6111110999999685E-2</v>
      </c>
      <c r="AD26" s="77" t="e">
        <f t="shared" si="12"/>
        <v>#VALUE!</v>
      </c>
      <c r="AE26" s="15">
        <f t="shared" si="13"/>
        <v>5.3576193555560092E-2</v>
      </c>
      <c r="AF26" s="15">
        <f t="shared" si="14"/>
        <v>-0.15881216399999998</v>
      </c>
      <c r="AG26" s="15">
        <f t="shared" si="15"/>
        <v>1.7804383999999979E-2</v>
      </c>
      <c r="AH26" s="77">
        <f t="shared" si="16"/>
        <v>2.1200851154654998</v>
      </c>
      <c r="AI26" s="78">
        <f t="shared" si="17"/>
        <v>0</v>
      </c>
    </row>
    <row r="27" spans="2:35" x14ac:dyDescent="0.25">
      <c r="B27" t="s">
        <v>207</v>
      </c>
      <c r="C27" s="81">
        <v>46078</v>
      </c>
      <c r="D27" t="s">
        <v>213</v>
      </c>
      <c r="E27" t="s">
        <v>228</v>
      </c>
      <c r="F27" t="s">
        <v>229</v>
      </c>
      <c r="G27">
        <v>10.417210000000001</v>
      </c>
      <c r="H27">
        <v>103.26506999999999</v>
      </c>
      <c r="I27">
        <v>6.4740307660000003</v>
      </c>
      <c r="J27">
        <v>293.587943623</v>
      </c>
      <c r="K27">
        <v>0.878609639</v>
      </c>
      <c r="L27" t="s">
        <v>248</v>
      </c>
      <c r="M27">
        <v>0.82216524619602604</v>
      </c>
      <c r="N27">
        <v>1.9886788909999999</v>
      </c>
      <c r="O27">
        <v>0.188220108</v>
      </c>
      <c r="P27">
        <v>9.4645801718825595</v>
      </c>
      <c r="Q27">
        <v>0</v>
      </c>
      <c r="R27">
        <v>5.5811964359999999</v>
      </c>
      <c r="S27">
        <v>213.77086694900001</v>
      </c>
      <c r="T27">
        <v>2.5805555560000002</v>
      </c>
      <c r="U27">
        <v>5.4688688382957797E-2</v>
      </c>
      <c r="V27">
        <v>2.30098428768243</v>
      </c>
      <c r="W27">
        <v>1.98165094</v>
      </c>
      <c r="X27">
        <v>0.239670205</v>
      </c>
      <c r="Y27">
        <v>12.094471340144301</v>
      </c>
      <c r="Z27">
        <v>0</v>
      </c>
      <c r="AA27" s="76">
        <f t="shared" ref="AA27:AA39" si="18">I27-R27</f>
        <v>0.89283433000000034</v>
      </c>
      <c r="AB27" s="61">
        <f t="shared" ref="AB27:AB39" si="19">J27-S27</f>
        <v>79.817076673999992</v>
      </c>
      <c r="AC27" s="77">
        <f t="shared" ref="AC27:AC39" si="20">K27-T27</f>
        <v>-1.7019459170000002</v>
      </c>
      <c r="AD27" s="77" t="e">
        <f t="shared" ref="AD27:AD39" si="21">L27-U27</f>
        <v>#VALUE!</v>
      </c>
      <c r="AE27" s="15">
        <f t="shared" ref="AE27:AE39" si="22">M27-V27</f>
        <v>-1.478819041486404</v>
      </c>
      <c r="AF27" s="15">
        <f t="shared" ref="AF27:AF39" si="23">N27-W27</f>
        <v>7.0279509999999767E-3</v>
      </c>
      <c r="AG27" s="15">
        <f t="shared" ref="AG27:AG39" si="24">O27-X27</f>
        <v>-5.1450097E-2</v>
      </c>
      <c r="AH27" s="77">
        <f t="shared" ref="AH27:AH39" si="25">P27-Y27</f>
        <v>-2.6298911682617412</v>
      </c>
      <c r="AI27" s="78">
        <f t="shared" ref="AI27:AI39" si="26">Q27-Z27</f>
        <v>0</v>
      </c>
    </row>
    <row r="28" spans="2:35" x14ac:dyDescent="0.25">
      <c r="B28" t="s">
        <v>207</v>
      </c>
      <c r="C28" s="81">
        <v>46078</v>
      </c>
      <c r="D28" t="s">
        <v>213</v>
      </c>
      <c r="E28" t="s">
        <v>230</v>
      </c>
      <c r="F28" t="s">
        <v>231</v>
      </c>
      <c r="G28">
        <v>10.917210000000001</v>
      </c>
      <c r="H28">
        <v>110.1875</v>
      </c>
      <c r="I28">
        <v>6.1052259439999998</v>
      </c>
      <c r="J28">
        <v>262.02352718899999</v>
      </c>
      <c r="K28">
        <v>2.4166666669999999</v>
      </c>
      <c r="L28" t="s">
        <v>248</v>
      </c>
      <c r="M28">
        <v>2.11736945479297</v>
      </c>
      <c r="N28">
        <v>2.3779842210000002</v>
      </c>
      <c r="O28">
        <v>0.29663607600000003</v>
      </c>
      <c r="P28">
        <v>12.474265950985</v>
      </c>
      <c r="Q28">
        <v>0</v>
      </c>
      <c r="R28">
        <v>6.1202938820000004</v>
      </c>
      <c r="S28">
        <v>267.56749742599999</v>
      </c>
      <c r="T28">
        <v>2.6638888889999999</v>
      </c>
      <c r="U28">
        <v>-0.13160764504505101</v>
      </c>
      <c r="V28">
        <v>2.3109096558558599</v>
      </c>
      <c r="W28">
        <v>1.75663843</v>
      </c>
      <c r="X28">
        <v>0.25274846499999998</v>
      </c>
      <c r="Y28">
        <v>14.388189435204399</v>
      </c>
      <c r="Z28">
        <v>0</v>
      </c>
      <c r="AA28" s="76">
        <f t="shared" si="18"/>
        <v>-1.5067938000000503E-2</v>
      </c>
      <c r="AB28" s="61">
        <f t="shared" si="19"/>
        <v>-5.5439702369999964</v>
      </c>
      <c r="AC28" s="77">
        <f t="shared" si="20"/>
        <v>-0.24722222199999999</v>
      </c>
      <c r="AD28" s="77" t="e">
        <f t="shared" si="21"/>
        <v>#VALUE!</v>
      </c>
      <c r="AE28" s="15">
        <f t="shared" si="22"/>
        <v>-0.19354020106288994</v>
      </c>
      <c r="AF28" s="15">
        <f t="shared" si="23"/>
        <v>0.6213457910000002</v>
      </c>
      <c r="AG28" s="15">
        <f t="shared" si="24"/>
        <v>4.3887611000000049E-2</v>
      </c>
      <c r="AH28" s="77">
        <f t="shared" si="25"/>
        <v>-1.9139234842193993</v>
      </c>
      <c r="AI28" s="78">
        <f t="shared" si="26"/>
        <v>0</v>
      </c>
    </row>
    <row r="29" spans="2:35" x14ac:dyDescent="0.25">
      <c r="B29" t="s">
        <v>207</v>
      </c>
      <c r="C29" s="81">
        <v>46078</v>
      </c>
      <c r="D29" t="s">
        <v>213</v>
      </c>
      <c r="E29" t="s">
        <v>234</v>
      </c>
      <c r="F29" t="s">
        <v>235</v>
      </c>
      <c r="G29">
        <v>8.61721</v>
      </c>
      <c r="H29">
        <v>102.27056</v>
      </c>
      <c r="I29">
        <v>5.5330544770000003</v>
      </c>
      <c r="J29">
        <v>195.25748501800001</v>
      </c>
      <c r="K29">
        <v>0.75</v>
      </c>
      <c r="L29" t="s">
        <v>248</v>
      </c>
      <c r="M29">
        <v>0.71735371254445102</v>
      </c>
      <c r="N29">
        <v>1.081421333</v>
      </c>
      <c r="O29">
        <v>9.8236611000000001E-2</v>
      </c>
      <c r="P29">
        <v>9.0840274740539098</v>
      </c>
      <c r="Q29">
        <v>0</v>
      </c>
      <c r="R29">
        <v>6.4406517320000001</v>
      </c>
      <c r="S29">
        <v>292.02788993799999</v>
      </c>
      <c r="T29">
        <v>0.87462047200000004</v>
      </c>
      <c r="U29">
        <v>-0.130432525732085</v>
      </c>
      <c r="V29">
        <v>0.81882725010500301</v>
      </c>
      <c r="W29">
        <v>1.9874791890000001</v>
      </c>
      <c r="X29">
        <v>0.186758375</v>
      </c>
      <c r="Y29">
        <v>9.39674619153962</v>
      </c>
      <c r="Z29">
        <v>0</v>
      </c>
      <c r="AA29" s="76">
        <f t="shared" si="18"/>
        <v>-0.90759725499999977</v>
      </c>
      <c r="AB29" s="61">
        <f t="shared" si="19"/>
        <v>-96.770404919999976</v>
      </c>
      <c r="AC29" s="77">
        <f t="shared" si="20"/>
        <v>-0.12462047200000004</v>
      </c>
      <c r="AD29" s="77" t="e">
        <f t="shared" si="21"/>
        <v>#VALUE!</v>
      </c>
      <c r="AE29" s="15">
        <f t="shared" si="22"/>
        <v>-0.101473537560552</v>
      </c>
      <c r="AF29" s="15">
        <f t="shared" si="23"/>
        <v>-0.90605785600000011</v>
      </c>
      <c r="AG29" s="15">
        <f t="shared" si="24"/>
        <v>-8.8521764000000003E-2</v>
      </c>
      <c r="AH29" s="77">
        <f t="shared" si="25"/>
        <v>-0.31271871748571023</v>
      </c>
      <c r="AI29" s="78">
        <f t="shared" si="26"/>
        <v>0</v>
      </c>
    </row>
    <row r="30" spans="2:35" x14ac:dyDescent="0.25">
      <c r="B30" t="s">
        <v>207</v>
      </c>
      <c r="C30" s="81">
        <v>46078</v>
      </c>
      <c r="D30" t="s">
        <v>213</v>
      </c>
      <c r="E30" t="s">
        <v>236</v>
      </c>
      <c r="F30" t="s">
        <v>237</v>
      </c>
      <c r="G30">
        <v>11.067209999999999</v>
      </c>
      <c r="H30">
        <v>110.75</v>
      </c>
      <c r="I30">
        <v>6.5271280819999999</v>
      </c>
      <c r="J30">
        <v>303.76831997699998</v>
      </c>
      <c r="K30">
        <v>2.755555556</v>
      </c>
      <c r="L30" t="s">
        <v>248</v>
      </c>
      <c r="M30">
        <v>2.3712138058690702</v>
      </c>
      <c r="N30">
        <v>2.032786593</v>
      </c>
      <c r="O30">
        <v>0.34848229400000003</v>
      </c>
      <c r="P30">
        <v>17.143083056530202</v>
      </c>
      <c r="Q30">
        <v>0</v>
      </c>
      <c r="R30">
        <v>6.066222883</v>
      </c>
      <c r="S30">
        <v>262.256762294</v>
      </c>
      <c r="T30">
        <v>2.4138888889999999</v>
      </c>
      <c r="U30">
        <v>0.132027533976185</v>
      </c>
      <c r="V30">
        <v>2.1162442609188798</v>
      </c>
      <c r="W30">
        <v>2.375416623</v>
      </c>
      <c r="X30">
        <v>0.29620568000000003</v>
      </c>
      <c r="Y30">
        <v>12.4696306800241</v>
      </c>
      <c r="Z30">
        <v>0</v>
      </c>
      <c r="AA30" s="76">
        <f t="shared" si="18"/>
        <v>0.46090519899999993</v>
      </c>
      <c r="AB30" s="61">
        <f t="shared" si="19"/>
        <v>41.511557682999978</v>
      </c>
      <c r="AC30" s="77">
        <f t="shared" si="20"/>
        <v>0.34166666700000015</v>
      </c>
      <c r="AD30" s="77" t="e">
        <f t="shared" si="21"/>
        <v>#VALUE!</v>
      </c>
      <c r="AE30" s="15">
        <f t="shared" si="22"/>
        <v>0.25496954495019031</v>
      </c>
      <c r="AF30" s="15">
        <f t="shared" si="23"/>
        <v>-0.34263003000000003</v>
      </c>
      <c r="AG30" s="15">
        <f t="shared" si="24"/>
        <v>5.2276613999999999E-2</v>
      </c>
      <c r="AH30" s="77">
        <f t="shared" si="25"/>
        <v>4.673452376506102</v>
      </c>
      <c r="AI30" s="78">
        <f t="shared" si="26"/>
        <v>0</v>
      </c>
    </row>
    <row r="31" spans="2:35" x14ac:dyDescent="0.25">
      <c r="B31" t="s">
        <v>207</v>
      </c>
      <c r="C31" s="81">
        <v>46078</v>
      </c>
      <c r="D31" t="s">
        <v>213</v>
      </c>
      <c r="E31" t="s">
        <v>238</v>
      </c>
      <c r="F31" t="s">
        <v>239</v>
      </c>
      <c r="G31">
        <v>8.9172100000000007</v>
      </c>
      <c r="H31">
        <v>103.5</v>
      </c>
      <c r="I31">
        <v>5.6881267940000004</v>
      </c>
      <c r="J31">
        <v>216.762781711</v>
      </c>
      <c r="K31">
        <v>1.1767759259999999</v>
      </c>
      <c r="L31" t="s">
        <v>248</v>
      </c>
      <c r="M31">
        <v>1.1017138917874401</v>
      </c>
      <c r="N31">
        <v>2.032786593</v>
      </c>
      <c r="O31">
        <v>0.34848229400000003</v>
      </c>
      <c r="P31">
        <v>17.143083056530202</v>
      </c>
      <c r="Q31">
        <v>0</v>
      </c>
      <c r="R31">
        <v>3.882717033</v>
      </c>
      <c r="S31">
        <v>22.972483194999999</v>
      </c>
      <c r="T31">
        <v>0.27612560600000002</v>
      </c>
      <c r="U31">
        <v>1.1580457717705699E-2</v>
      </c>
      <c r="V31">
        <v>0.267413700757753</v>
      </c>
      <c r="W31">
        <v>1.574017268</v>
      </c>
      <c r="X31">
        <v>0.22515321399999999</v>
      </c>
      <c r="Y31">
        <v>14.3043674664438</v>
      </c>
      <c r="Z31">
        <v>0</v>
      </c>
      <c r="AA31" s="76">
        <f t="shared" si="18"/>
        <v>1.8054097610000004</v>
      </c>
      <c r="AB31" s="61">
        <f t="shared" si="19"/>
        <v>193.79029851600001</v>
      </c>
      <c r="AC31" s="77">
        <f t="shared" si="20"/>
        <v>0.90065031999999989</v>
      </c>
      <c r="AD31" s="77" t="e">
        <f t="shared" si="21"/>
        <v>#VALUE!</v>
      </c>
      <c r="AE31" s="15">
        <f t="shared" si="22"/>
        <v>0.834300191029687</v>
      </c>
      <c r="AF31" s="15">
        <f t="shared" si="23"/>
        <v>0.45876932500000001</v>
      </c>
      <c r="AG31" s="15">
        <f t="shared" si="24"/>
        <v>0.12332908000000004</v>
      </c>
      <c r="AH31" s="77">
        <f t="shared" si="25"/>
        <v>2.8387155900864016</v>
      </c>
      <c r="AI31" s="78">
        <f t="shared" si="26"/>
        <v>0</v>
      </c>
    </row>
    <row r="32" spans="2:35" x14ac:dyDescent="0.25">
      <c r="B32" t="s">
        <v>207</v>
      </c>
      <c r="C32" s="81">
        <v>46078</v>
      </c>
      <c r="D32" t="s">
        <v>213</v>
      </c>
      <c r="E32" t="s">
        <v>240</v>
      </c>
      <c r="F32" t="s">
        <v>241</v>
      </c>
      <c r="G32">
        <v>10.167210000000001</v>
      </c>
      <c r="H32">
        <v>108.25</v>
      </c>
      <c r="I32">
        <v>6.2838847539999998</v>
      </c>
      <c r="J32">
        <v>279.76474392699998</v>
      </c>
      <c r="K32">
        <v>2.4751328840000002</v>
      </c>
      <c r="L32" t="s">
        <v>248</v>
      </c>
      <c r="M32">
        <v>2.1762397699769198</v>
      </c>
      <c r="N32">
        <v>2.032786593</v>
      </c>
      <c r="O32">
        <v>0.34848229400000003</v>
      </c>
      <c r="P32">
        <v>17.143083056530202</v>
      </c>
      <c r="Q32">
        <v>0</v>
      </c>
      <c r="R32">
        <v>5.5138670909999998</v>
      </c>
      <c r="S32">
        <v>194.29889766599999</v>
      </c>
      <c r="T32">
        <v>0.74722222199999999</v>
      </c>
      <c r="U32">
        <v>-0.17980733360607301</v>
      </c>
      <c r="V32">
        <v>0.71489226811704099</v>
      </c>
      <c r="W32">
        <v>1.083001283</v>
      </c>
      <c r="X32">
        <v>9.8292900000000002E-2</v>
      </c>
      <c r="Y32">
        <v>9.0759726274488592</v>
      </c>
      <c r="Z32">
        <v>0</v>
      </c>
      <c r="AA32" s="76">
        <f t="shared" si="18"/>
        <v>0.77001766299999996</v>
      </c>
      <c r="AB32" s="61">
        <f t="shared" si="19"/>
        <v>85.465846260999996</v>
      </c>
      <c r="AC32" s="77">
        <f t="shared" si="20"/>
        <v>1.7279106620000002</v>
      </c>
      <c r="AD32" s="77" t="e">
        <f t="shared" si="21"/>
        <v>#VALUE!</v>
      </c>
      <c r="AE32" s="15">
        <f t="shared" si="22"/>
        <v>1.4613475018598789</v>
      </c>
      <c r="AF32" s="15">
        <f t="shared" si="23"/>
        <v>0.94978530999999999</v>
      </c>
      <c r="AG32" s="15">
        <f t="shared" si="24"/>
        <v>0.25018939400000001</v>
      </c>
      <c r="AH32" s="77">
        <f t="shared" si="25"/>
        <v>8.0671104290813425</v>
      </c>
      <c r="AI32" s="78">
        <f t="shared" si="26"/>
        <v>0</v>
      </c>
    </row>
    <row r="33" spans="2:35" x14ac:dyDescent="0.25">
      <c r="B33" t="s">
        <v>207</v>
      </c>
      <c r="C33" s="81">
        <v>46078</v>
      </c>
      <c r="D33" t="s">
        <v>26</v>
      </c>
      <c r="E33" t="s">
        <v>29</v>
      </c>
      <c r="F33" t="s">
        <v>30</v>
      </c>
      <c r="G33">
        <v>10.381690000000001</v>
      </c>
      <c r="H33">
        <v>104.75</v>
      </c>
      <c r="I33">
        <v>5.4520720359999997</v>
      </c>
      <c r="J33">
        <v>192.59849264900001</v>
      </c>
      <c r="K33">
        <v>1</v>
      </c>
      <c r="L33" t="s">
        <v>248</v>
      </c>
      <c r="M33">
        <v>0.94271945393794498</v>
      </c>
      <c r="N33">
        <v>1.5298918909999999</v>
      </c>
      <c r="O33">
        <v>3.5899874999999998E-2</v>
      </c>
      <c r="P33">
        <v>2.3465628657286599</v>
      </c>
      <c r="Q33">
        <v>0</v>
      </c>
      <c r="R33">
        <v>6.4873939959999998</v>
      </c>
      <c r="S33">
        <v>304.23354872300001</v>
      </c>
      <c r="T33">
        <v>2.752777778</v>
      </c>
      <c r="U33">
        <v>-1.20535528397291</v>
      </c>
      <c r="V33">
        <v>2.3704580397291202</v>
      </c>
      <c r="W33">
        <v>2.0306526709999999</v>
      </c>
      <c r="X33">
        <v>0.34826253899999998</v>
      </c>
      <c r="Y33">
        <v>17.1502760651085</v>
      </c>
      <c r="Z33">
        <v>0</v>
      </c>
      <c r="AA33" s="76">
        <f t="shared" si="18"/>
        <v>-1.0353219600000001</v>
      </c>
      <c r="AB33" s="61">
        <f t="shared" si="19"/>
        <v>-111.635056074</v>
      </c>
      <c r="AC33" s="77">
        <f t="shared" si="20"/>
        <v>-1.752777778</v>
      </c>
      <c r="AD33" s="77" t="e">
        <f t="shared" si="21"/>
        <v>#VALUE!</v>
      </c>
      <c r="AE33" s="15">
        <f t="shared" si="22"/>
        <v>-1.4277385857911753</v>
      </c>
      <c r="AF33" s="15">
        <f t="shared" si="23"/>
        <v>-0.50076078000000002</v>
      </c>
      <c r="AG33" s="15">
        <f t="shared" si="24"/>
        <v>-0.31236266400000001</v>
      </c>
      <c r="AH33" s="77">
        <f t="shared" si="25"/>
        <v>-14.803713199379839</v>
      </c>
      <c r="AI33" s="78">
        <f t="shared" si="26"/>
        <v>0</v>
      </c>
    </row>
    <row r="34" spans="2:35" x14ac:dyDescent="0.25">
      <c r="B34" t="s">
        <v>207</v>
      </c>
      <c r="C34" s="81">
        <v>46078</v>
      </c>
      <c r="D34" t="s">
        <v>26</v>
      </c>
      <c r="E34" t="s">
        <v>140</v>
      </c>
      <c r="F34" t="s">
        <v>141</v>
      </c>
      <c r="G34">
        <v>14.781689999999999</v>
      </c>
      <c r="H34">
        <v>123.25</v>
      </c>
      <c r="I34">
        <v>5.1927100490000004</v>
      </c>
      <c r="J34">
        <v>170.38030829799999</v>
      </c>
      <c r="K34">
        <v>2.6666666669999999</v>
      </c>
      <c r="L34" t="s">
        <v>248</v>
      </c>
      <c r="M34">
        <v>2.2481608348884401</v>
      </c>
      <c r="N34">
        <v>2.445589172</v>
      </c>
      <c r="O34">
        <v>0.19117047100000001</v>
      </c>
      <c r="P34">
        <v>7.8169495182897402</v>
      </c>
      <c r="Q34">
        <v>0</v>
      </c>
      <c r="R34">
        <v>5.6345304909999996</v>
      </c>
      <c r="S34">
        <v>213.42573598499999</v>
      </c>
      <c r="T34">
        <v>1.1627018870000001</v>
      </c>
      <c r="U34">
        <v>-1.42700079613526</v>
      </c>
      <c r="V34">
        <v>1.0895973787439599</v>
      </c>
      <c r="W34">
        <v>2.0306526709999999</v>
      </c>
      <c r="X34">
        <v>0.34826253899999998</v>
      </c>
      <c r="Y34">
        <v>17.1502760651085</v>
      </c>
      <c r="Z34">
        <v>0</v>
      </c>
      <c r="AA34" s="76">
        <f t="shared" si="18"/>
        <v>-0.44182044199999915</v>
      </c>
      <c r="AB34" s="61">
        <f t="shared" si="19"/>
        <v>-43.045427687</v>
      </c>
      <c r="AC34" s="77">
        <f t="shared" si="20"/>
        <v>1.5039647799999998</v>
      </c>
      <c r="AD34" s="77" t="e">
        <f t="shared" si="21"/>
        <v>#VALUE!</v>
      </c>
      <c r="AE34" s="15">
        <f t="shared" si="22"/>
        <v>1.1585634561444802</v>
      </c>
      <c r="AF34" s="15">
        <f t="shared" si="23"/>
        <v>0.41493650100000012</v>
      </c>
      <c r="AG34" s="15">
        <f t="shared" si="24"/>
        <v>-0.15709206799999997</v>
      </c>
      <c r="AH34" s="77">
        <f t="shared" si="25"/>
        <v>-9.3333265468187605</v>
      </c>
      <c r="AI34" s="78">
        <f t="shared" si="26"/>
        <v>0</v>
      </c>
    </row>
    <row r="35" spans="2:35" x14ac:dyDescent="0.25">
      <c r="B35" t="s">
        <v>207</v>
      </c>
      <c r="C35" s="81">
        <v>46078</v>
      </c>
      <c r="D35" t="s">
        <v>26</v>
      </c>
      <c r="E35" t="s">
        <v>144</v>
      </c>
      <c r="F35" t="s">
        <v>145</v>
      </c>
      <c r="G35">
        <v>12.131690000000001</v>
      </c>
      <c r="H35">
        <v>119.7</v>
      </c>
      <c r="I35">
        <v>5.2446407319999997</v>
      </c>
      <c r="J35">
        <v>173.467495181</v>
      </c>
      <c r="K35">
        <v>3.25</v>
      </c>
      <c r="L35" t="s">
        <v>248</v>
      </c>
      <c r="M35">
        <v>2.7293926842105298</v>
      </c>
      <c r="N35">
        <v>1.4153066050000001</v>
      </c>
      <c r="O35">
        <v>5.9578033000000002E-2</v>
      </c>
      <c r="P35">
        <v>4.2095495625839998</v>
      </c>
      <c r="Q35">
        <v>0</v>
      </c>
      <c r="R35">
        <v>6.2308050130000003</v>
      </c>
      <c r="S35">
        <v>278.67510031799998</v>
      </c>
      <c r="T35">
        <v>2.4613966469999999</v>
      </c>
      <c r="U35">
        <v>-2.1585909875288598</v>
      </c>
      <c r="V35">
        <v>2.1666686170900702</v>
      </c>
      <c r="W35">
        <v>2.0306526709999999</v>
      </c>
      <c r="X35">
        <v>0.34826253899999998</v>
      </c>
      <c r="Y35">
        <v>17.1502760651085</v>
      </c>
      <c r="Z35">
        <v>0</v>
      </c>
      <c r="AA35" s="76">
        <f t="shared" si="18"/>
        <v>-0.98616428100000064</v>
      </c>
      <c r="AB35" s="61">
        <f t="shared" si="19"/>
        <v>-105.20760513699997</v>
      </c>
      <c r="AC35" s="77">
        <f t="shared" si="20"/>
        <v>0.78860335300000006</v>
      </c>
      <c r="AD35" s="77" t="e">
        <f t="shared" si="21"/>
        <v>#VALUE!</v>
      </c>
      <c r="AE35" s="15">
        <f t="shared" si="22"/>
        <v>0.56272406712045964</v>
      </c>
      <c r="AF35" s="15">
        <f t="shared" si="23"/>
        <v>-0.61534606599999986</v>
      </c>
      <c r="AG35" s="15">
        <f t="shared" si="24"/>
        <v>-0.28868450599999995</v>
      </c>
      <c r="AH35" s="77">
        <f t="shared" si="25"/>
        <v>-12.9407265025245</v>
      </c>
      <c r="AI35" s="78">
        <f t="shared" si="26"/>
        <v>0</v>
      </c>
    </row>
    <row r="36" spans="2:35" x14ac:dyDescent="0.25">
      <c r="B36" t="s">
        <v>207</v>
      </c>
      <c r="C36" s="81">
        <v>46078</v>
      </c>
      <c r="D36" t="s">
        <v>26</v>
      </c>
      <c r="E36" t="s">
        <v>146</v>
      </c>
      <c r="F36" t="s">
        <v>147</v>
      </c>
      <c r="G36">
        <v>8.6117600000000003</v>
      </c>
      <c r="H36">
        <v>110.3</v>
      </c>
      <c r="I36">
        <v>5.2947931739999996</v>
      </c>
      <c r="J36">
        <v>174.79483713900001</v>
      </c>
      <c r="K36">
        <v>3.8361111110000001</v>
      </c>
      <c r="L36" t="s">
        <v>248</v>
      </c>
      <c r="M36">
        <v>3.2869579048050701</v>
      </c>
      <c r="N36">
        <v>1.1277756969999999</v>
      </c>
      <c r="O36">
        <v>4.3666781000000002E-2</v>
      </c>
      <c r="P36">
        <v>3.8719384640188799</v>
      </c>
      <c r="Q36">
        <v>0</v>
      </c>
      <c r="R36">
        <v>5.2947931739999996</v>
      </c>
      <c r="S36">
        <v>174.79483713900001</v>
      </c>
      <c r="T36">
        <v>3.8361111110000001</v>
      </c>
      <c r="U36">
        <v>0.17444983771532199</v>
      </c>
      <c r="V36">
        <v>3.2869579048050701</v>
      </c>
      <c r="W36">
        <v>1.1242717440000001</v>
      </c>
      <c r="X36">
        <v>4.3728761999999997E-2</v>
      </c>
      <c r="Y36">
        <v>3.88951890264708</v>
      </c>
      <c r="Z36">
        <v>0</v>
      </c>
      <c r="AA36" s="76">
        <f t="shared" si="18"/>
        <v>0</v>
      </c>
      <c r="AB36" s="61">
        <f t="shared" si="19"/>
        <v>0</v>
      </c>
      <c r="AC36" s="77">
        <f t="shared" si="20"/>
        <v>0</v>
      </c>
      <c r="AD36" s="77" t="e">
        <f t="shared" si="21"/>
        <v>#VALUE!</v>
      </c>
      <c r="AE36" s="15">
        <f t="shared" si="22"/>
        <v>0</v>
      </c>
      <c r="AF36" s="15">
        <f t="shared" si="23"/>
        <v>3.5039529999998376E-3</v>
      </c>
      <c r="AG36" s="15">
        <f t="shared" si="24"/>
        <v>-6.1980999999995678E-5</v>
      </c>
      <c r="AH36" s="77">
        <f t="shared" si="25"/>
        <v>-1.7580438628200135E-2</v>
      </c>
      <c r="AI36" s="78">
        <f t="shared" si="26"/>
        <v>0</v>
      </c>
    </row>
    <row r="37" spans="2:35" x14ac:dyDescent="0.25">
      <c r="B37" t="s">
        <v>207</v>
      </c>
      <c r="C37" s="81">
        <v>46078</v>
      </c>
      <c r="D37" t="s">
        <v>26</v>
      </c>
      <c r="E37" t="s">
        <v>148</v>
      </c>
      <c r="F37" t="s">
        <v>149</v>
      </c>
      <c r="G37">
        <v>8.7816899999999993</v>
      </c>
      <c r="H37">
        <v>111</v>
      </c>
      <c r="I37">
        <v>5.2954196260000002</v>
      </c>
      <c r="J37">
        <v>174.87053970100001</v>
      </c>
      <c r="K37">
        <v>3.8361111110000001</v>
      </c>
      <c r="L37" t="s">
        <v>248</v>
      </c>
      <c r="M37">
        <v>3.2779821990990898</v>
      </c>
      <c r="N37">
        <v>1.4795557930000001</v>
      </c>
      <c r="O37">
        <v>7.0656895999999997E-2</v>
      </c>
      <c r="P37">
        <v>4.7755479269040304</v>
      </c>
      <c r="Q37">
        <v>0</v>
      </c>
      <c r="R37">
        <v>5.2954196260000002</v>
      </c>
      <c r="S37">
        <v>174.87053970100001</v>
      </c>
      <c r="T37">
        <v>3.8361111110000001</v>
      </c>
      <c r="U37">
        <v>0.18514749279279499</v>
      </c>
      <c r="V37">
        <v>3.2779821990990898</v>
      </c>
      <c r="W37">
        <v>1.4932585229999999</v>
      </c>
      <c r="X37">
        <v>7.3713964000000007E-2</v>
      </c>
      <c r="Y37">
        <v>4.9364502438537201</v>
      </c>
      <c r="Z37">
        <v>0</v>
      </c>
      <c r="AA37" s="76">
        <f t="shared" si="18"/>
        <v>0</v>
      </c>
      <c r="AB37" s="61">
        <f t="shared" si="19"/>
        <v>0</v>
      </c>
      <c r="AC37" s="77">
        <f t="shared" si="20"/>
        <v>0</v>
      </c>
      <c r="AD37" s="77" t="e">
        <f t="shared" si="21"/>
        <v>#VALUE!</v>
      </c>
      <c r="AE37" s="15">
        <f t="shared" si="22"/>
        <v>0</v>
      </c>
      <c r="AF37" s="15">
        <f t="shared" si="23"/>
        <v>-1.3702729999999885E-2</v>
      </c>
      <c r="AG37" s="15">
        <f t="shared" si="24"/>
        <v>-3.05706800000001E-3</v>
      </c>
      <c r="AH37" s="77">
        <f t="shared" si="25"/>
        <v>-0.16090231694968971</v>
      </c>
      <c r="AI37" s="78">
        <f t="shared" si="26"/>
        <v>0</v>
      </c>
    </row>
    <row r="38" spans="2:35" x14ac:dyDescent="0.25">
      <c r="B38" t="s">
        <v>207</v>
      </c>
      <c r="C38" s="81">
        <v>46078</v>
      </c>
      <c r="D38" t="s">
        <v>26</v>
      </c>
      <c r="E38" t="s">
        <v>150</v>
      </c>
      <c r="F38" t="s">
        <v>151</v>
      </c>
      <c r="G38">
        <v>16.031690000000001</v>
      </c>
      <c r="H38">
        <v>120.75</v>
      </c>
      <c r="I38">
        <v>5.957967934</v>
      </c>
      <c r="J38">
        <v>247.355988174</v>
      </c>
      <c r="K38">
        <v>2.25</v>
      </c>
      <c r="L38" t="s">
        <v>248</v>
      </c>
      <c r="M38">
        <v>1.90950254575569</v>
      </c>
      <c r="N38">
        <v>3.0766105719999999</v>
      </c>
      <c r="O38">
        <v>0.27250920299999998</v>
      </c>
      <c r="P38">
        <v>8.8574486963051395</v>
      </c>
      <c r="Q38">
        <v>0</v>
      </c>
      <c r="R38">
        <v>4.9425166760000003</v>
      </c>
      <c r="S38">
        <v>146.03668555199999</v>
      </c>
      <c r="T38">
        <v>2</v>
      </c>
      <c r="U38">
        <v>-1.80275420041408</v>
      </c>
      <c r="V38">
        <v>1.7359654550724599</v>
      </c>
      <c r="W38">
        <v>3.1511333979999998</v>
      </c>
      <c r="X38">
        <v>0.280185719</v>
      </c>
      <c r="Y38">
        <v>8.8915854586743794</v>
      </c>
      <c r="Z38">
        <v>0</v>
      </c>
      <c r="AA38" s="76">
        <f t="shared" si="18"/>
        <v>1.0154512579999997</v>
      </c>
      <c r="AB38" s="61">
        <f t="shared" si="19"/>
        <v>101.31930262200001</v>
      </c>
      <c r="AC38" s="77">
        <f t="shared" si="20"/>
        <v>0.25</v>
      </c>
      <c r="AD38" s="77" t="e">
        <f t="shared" si="21"/>
        <v>#VALUE!</v>
      </c>
      <c r="AE38" s="15">
        <f t="shared" si="22"/>
        <v>0.17353709068323009</v>
      </c>
      <c r="AF38" s="15">
        <f t="shared" si="23"/>
        <v>-7.4522825999999931E-2</v>
      </c>
      <c r="AG38" s="15">
        <f t="shared" si="24"/>
        <v>-7.6765160000000221E-3</v>
      </c>
      <c r="AH38" s="77">
        <f t="shared" si="25"/>
        <v>-3.4136762369239904E-2</v>
      </c>
      <c r="AI38" s="78">
        <f t="shared" si="26"/>
        <v>0</v>
      </c>
    </row>
    <row r="39" spans="2:35" x14ac:dyDescent="0.25">
      <c r="B39" t="s">
        <v>207</v>
      </c>
      <c r="C39" s="81">
        <v>46078</v>
      </c>
      <c r="D39" t="s">
        <v>26</v>
      </c>
      <c r="E39" t="s">
        <v>152</v>
      </c>
      <c r="F39" t="s">
        <v>153</v>
      </c>
      <c r="G39">
        <v>15.06176</v>
      </c>
      <c r="H39">
        <v>119.34</v>
      </c>
      <c r="I39">
        <v>5.6450934339999996</v>
      </c>
      <c r="J39">
        <v>216.099126179</v>
      </c>
      <c r="K39">
        <v>2.25</v>
      </c>
      <c r="L39" t="s">
        <v>248</v>
      </c>
      <c r="M39">
        <v>1.9275998516842701</v>
      </c>
      <c r="N39">
        <v>3.2679609840000001</v>
      </c>
      <c r="O39">
        <v>0.33061795399999999</v>
      </c>
      <c r="P39">
        <v>10.1169492420109</v>
      </c>
      <c r="Q39">
        <v>0</v>
      </c>
      <c r="R39">
        <v>4.6944383600000004</v>
      </c>
      <c r="S39">
        <v>121.265774279</v>
      </c>
      <c r="T39">
        <v>2</v>
      </c>
      <c r="U39">
        <v>-1.6978604725992901</v>
      </c>
      <c r="V39">
        <v>1.7503934179654701</v>
      </c>
      <c r="W39">
        <v>3.3299110729999999</v>
      </c>
      <c r="X39">
        <v>0.349690907</v>
      </c>
      <c r="Y39">
        <v>10.5015088791832</v>
      </c>
      <c r="Z39">
        <v>0</v>
      </c>
      <c r="AA39" s="76">
        <f t="shared" si="18"/>
        <v>0.95065507399999927</v>
      </c>
      <c r="AB39" s="61">
        <f t="shared" si="19"/>
        <v>94.833351899999997</v>
      </c>
      <c r="AC39" s="77">
        <f t="shared" si="20"/>
        <v>0.25</v>
      </c>
      <c r="AD39" s="77" t="e">
        <f t="shared" si="21"/>
        <v>#VALUE!</v>
      </c>
      <c r="AE39" s="15">
        <f t="shared" si="22"/>
        <v>0.17720643371879996</v>
      </c>
      <c r="AF39" s="15">
        <f t="shared" si="23"/>
        <v>-6.1950088999999764E-2</v>
      </c>
      <c r="AG39" s="15">
        <f t="shared" si="24"/>
        <v>-1.9072953000000004E-2</v>
      </c>
      <c r="AH39" s="77">
        <f t="shared" si="25"/>
        <v>-0.38455963717230013</v>
      </c>
      <c r="AI39" s="78">
        <f t="shared" si="26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39">
    <cfRule type="colorScale" priority="7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3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39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39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39">
    <cfRule type="colorScale" priority="7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8" t="s">
        <v>0</v>
      </c>
      <c r="D2" s="89"/>
      <c r="E2" s="89"/>
      <c r="F2" s="89"/>
      <c r="G2" s="89"/>
      <c r="H2" s="89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4" t="s">
        <v>1</v>
      </c>
      <c r="F2" s="84"/>
      <c r="G2" s="84"/>
      <c r="H2" s="84"/>
      <c r="I2" s="84"/>
      <c r="J2" s="84"/>
      <c r="K2" s="84"/>
      <c r="L2" s="84"/>
      <c r="M2" s="84"/>
      <c r="N2" s="85" t="s">
        <v>2</v>
      </c>
      <c r="O2" s="85"/>
      <c r="P2" s="85"/>
      <c r="Q2" s="85"/>
      <c r="R2" s="85"/>
      <c r="S2" s="85"/>
      <c r="T2" s="85"/>
      <c r="U2" s="85"/>
      <c r="V2" s="85"/>
      <c r="W2" s="86" t="s">
        <v>3</v>
      </c>
      <c r="X2" s="86"/>
      <c r="Y2" s="86"/>
      <c r="Z2" s="86"/>
      <c r="AA2" s="86"/>
      <c r="AB2" s="86"/>
      <c r="AC2" s="86"/>
      <c r="AD2" s="86"/>
      <c r="AE2" s="87"/>
    </row>
    <row r="3" spans="2:31" ht="15.75" thickBot="1" x14ac:dyDescent="0.3">
      <c r="B3" s="57" t="s">
        <v>6</v>
      </c>
      <c r="C3" s="56" t="s">
        <v>8</v>
      </c>
      <c r="D3" s="56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0" t="s">
        <v>32</v>
      </c>
      <c r="C4" s="51">
        <v>10.356030000000001</v>
      </c>
      <c r="D4" s="51">
        <v>103.73005999999999</v>
      </c>
      <c r="E4" s="52">
        <v>6.1007306369999998</v>
      </c>
      <c r="F4" s="60">
        <v>244.31369917699999</v>
      </c>
      <c r="G4" s="51">
        <v>1.047222222</v>
      </c>
      <c r="H4" s="51">
        <v>4.5713058490461402E-2</v>
      </c>
      <c r="I4" s="51">
        <v>0.98318783966769596</v>
      </c>
      <c r="J4" s="51">
        <v>0.37236080100000002</v>
      </c>
      <c r="K4" s="51">
        <v>1.3949130000000001E-2</v>
      </c>
      <c r="L4" s="51">
        <v>3.7461327729821901</v>
      </c>
      <c r="M4" s="51">
        <v>0</v>
      </c>
      <c r="N4" s="52">
        <v>6.1007306369999998</v>
      </c>
      <c r="O4" s="60">
        <v>244.31369917699999</v>
      </c>
      <c r="P4" s="51">
        <v>1.047222222</v>
      </c>
      <c r="Q4" s="51">
        <v>4.5713058490461402E-2</v>
      </c>
      <c r="R4" s="51">
        <v>0.98318783966769596</v>
      </c>
      <c r="S4" s="51">
        <v>0.37682388</v>
      </c>
      <c r="T4" s="51">
        <v>4.2414359999999998E-2</v>
      </c>
      <c r="U4" s="51">
        <v>11.255751625932</v>
      </c>
      <c r="V4" s="51">
        <v>0</v>
      </c>
      <c r="W4" s="7">
        <f t="shared" ref="W4:AE32" si="0">E4-N4</f>
        <v>0</v>
      </c>
      <c r="X4" s="60">
        <f t="shared" si="0"/>
        <v>0</v>
      </c>
      <c r="Y4" s="51">
        <f t="shared" si="0"/>
        <v>0</v>
      </c>
      <c r="Z4" s="51">
        <f t="shared" si="0"/>
        <v>0</v>
      </c>
      <c r="AA4" s="51">
        <f t="shared" si="0"/>
        <v>0</v>
      </c>
      <c r="AB4" s="51">
        <f t="shared" si="0"/>
        <v>-4.4630789999999809E-3</v>
      </c>
      <c r="AC4" s="51">
        <f t="shared" ref="AC4:AC31" si="1">K4-T4</f>
        <v>-2.8465229999999998E-2</v>
      </c>
      <c r="AD4" s="51">
        <f t="shared" si="0"/>
        <v>-7.50961885294981</v>
      </c>
      <c r="AE4" s="53">
        <f t="shared" si="0"/>
        <v>0</v>
      </c>
    </row>
    <row r="5" spans="2:31" x14ac:dyDescent="0.25">
      <c r="B5" s="54" t="s">
        <v>34</v>
      </c>
      <c r="C5" s="15">
        <v>10.55603</v>
      </c>
      <c r="D5" s="15">
        <v>104.1875</v>
      </c>
      <c r="E5" s="6">
        <v>6.1079829869999998</v>
      </c>
      <c r="F5" s="61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1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1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4" t="s">
        <v>36</v>
      </c>
      <c r="C6" s="15">
        <v>12.006030000000001</v>
      </c>
      <c r="D6" s="15">
        <v>106.75</v>
      </c>
      <c r="E6" s="6">
        <v>5.9364829730000004</v>
      </c>
      <c r="F6" s="61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1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1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4" t="s">
        <v>38</v>
      </c>
      <c r="C7" s="15">
        <v>13.856030000000001</v>
      </c>
      <c r="D7" s="15">
        <v>110.28567</v>
      </c>
      <c r="E7" s="6">
        <v>5.8087883720000004</v>
      </c>
      <c r="F7" s="61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1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1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4" t="s">
        <v>40</v>
      </c>
      <c r="C8" s="18">
        <v>14.95603</v>
      </c>
      <c r="D8" s="18">
        <v>113.0625</v>
      </c>
      <c r="E8" s="6">
        <v>5.8039625429999999</v>
      </c>
      <c r="F8" s="62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2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1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4" t="s">
        <v>42</v>
      </c>
      <c r="C9" s="18">
        <v>16.356030000000001</v>
      </c>
      <c r="D9" s="18">
        <v>115.699219</v>
      </c>
      <c r="E9" s="6">
        <v>5.9636515360000004</v>
      </c>
      <c r="F9" s="62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2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1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4" t="s">
        <v>44</v>
      </c>
      <c r="C10" s="18">
        <v>8.3560300000000005</v>
      </c>
      <c r="D10" s="18">
        <v>104.35</v>
      </c>
      <c r="E10" s="6">
        <v>5.9637123919999997</v>
      </c>
      <c r="F10" s="62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2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1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4" t="s">
        <v>46</v>
      </c>
      <c r="C11" s="18">
        <v>8.0560299999999998</v>
      </c>
      <c r="D11" s="18">
        <v>103.54</v>
      </c>
      <c r="E11" s="6">
        <v>5.957985324</v>
      </c>
      <c r="F11" s="62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2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1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4" t="s">
        <v>156</v>
      </c>
      <c r="C12" s="20">
        <v>9.7205100000000009</v>
      </c>
      <c r="D12" s="20">
        <v>111.30897</v>
      </c>
      <c r="E12" s="6">
        <v>5.8305767529999999</v>
      </c>
      <c r="F12" s="63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3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1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4" t="s">
        <v>158</v>
      </c>
      <c r="C13" s="20">
        <v>12.070510000000001</v>
      </c>
      <c r="D13" s="20">
        <v>121.25</v>
      </c>
      <c r="E13" s="6">
        <v>5.7802313290000003</v>
      </c>
      <c r="F13" s="63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3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1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4" t="s">
        <v>160</v>
      </c>
      <c r="C14" s="20">
        <v>9.1060300000000005</v>
      </c>
      <c r="D14" s="20">
        <v>111</v>
      </c>
      <c r="E14" s="6">
        <v>5.8041480080000003</v>
      </c>
      <c r="F14" s="63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3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1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4" t="s">
        <v>162</v>
      </c>
      <c r="C15" s="20">
        <v>11.856030000000001</v>
      </c>
      <c r="D15" s="20">
        <v>105.94096</v>
      </c>
      <c r="E15" s="6">
        <v>5.4495066510000001</v>
      </c>
      <c r="F15" s="63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3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1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4" t="s">
        <v>164</v>
      </c>
      <c r="C16" s="20">
        <v>12.156029999999999</v>
      </c>
      <c r="D16" s="20">
        <v>106.1875</v>
      </c>
      <c r="E16" s="6">
        <v>5.8965366369999996</v>
      </c>
      <c r="F16" s="63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3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1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4" t="s">
        <v>166</v>
      </c>
      <c r="C17" s="20">
        <v>9.3560300000000005</v>
      </c>
      <c r="D17" s="20">
        <v>115.72168499999999</v>
      </c>
      <c r="E17" s="6">
        <v>6.078599112</v>
      </c>
      <c r="F17" s="63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3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1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4" t="s">
        <v>168</v>
      </c>
      <c r="C18" s="20">
        <v>10.606030000000001</v>
      </c>
      <c r="D18" s="20">
        <v>103.5625</v>
      </c>
      <c r="E18" s="6">
        <v>6.25517973</v>
      </c>
      <c r="F18" s="63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3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1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4" t="s">
        <v>170</v>
      </c>
      <c r="C19" s="20">
        <v>11.356030000000001</v>
      </c>
      <c r="D19" s="20">
        <v>105.4375</v>
      </c>
      <c r="E19" s="6">
        <v>6.0922279079999999</v>
      </c>
      <c r="F19" s="63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3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1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4" t="s">
        <v>172</v>
      </c>
      <c r="C20" s="20">
        <v>12.856030000000001</v>
      </c>
      <c r="D20" s="20">
        <v>108.359375</v>
      </c>
      <c r="E20" s="6">
        <v>5.8777098990000001</v>
      </c>
      <c r="F20" s="63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3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1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4" t="s">
        <v>174</v>
      </c>
      <c r="C21" s="20">
        <v>14.106030000000001</v>
      </c>
      <c r="D21" s="20">
        <v>111.304688</v>
      </c>
      <c r="E21" s="6">
        <v>5.7479182870000001</v>
      </c>
      <c r="F21" s="63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3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1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4" t="s">
        <v>176</v>
      </c>
      <c r="C22" s="20">
        <v>17.256029999999999</v>
      </c>
      <c r="D22" s="20">
        <v>117.01355</v>
      </c>
      <c r="E22" s="6">
        <v>6.0580622709999998</v>
      </c>
      <c r="F22" s="63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3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1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4" t="s">
        <v>178</v>
      </c>
      <c r="C23" s="20">
        <v>15.356030000000001</v>
      </c>
      <c r="D23" s="20">
        <v>111.421875</v>
      </c>
      <c r="E23" s="6">
        <v>6.4818093470000004</v>
      </c>
      <c r="F23" s="63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3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1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4" t="s">
        <v>27</v>
      </c>
      <c r="C24" s="24">
        <v>16.220510000000001</v>
      </c>
      <c r="D24" s="24">
        <v>103.8</v>
      </c>
      <c r="E24" s="6">
        <v>5.5557319529999996</v>
      </c>
      <c r="F24" s="64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4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4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4" t="s">
        <v>29</v>
      </c>
      <c r="C25" s="11">
        <v>11.070510000000001</v>
      </c>
      <c r="D25" s="11">
        <v>105.971155</v>
      </c>
      <c r="E25" s="6">
        <v>5.8726454529999996</v>
      </c>
      <c r="F25" s="65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5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5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4" t="s">
        <v>140</v>
      </c>
      <c r="C26" s="20">
        <v>15.470510000000001</v>
      </c>
      <c r="D26" s="20">
        <v>125.00109500000001</v>
      </c>
      <c r="E26" s="6">
        <v>5.6761561990000002</v>
      </c>
      <c r="F26" s="63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3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1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4" t="s">
        <v>142</v>
      </c>
      <c r="C27" s="20">
        <v>12.620509999999999</v>
      </c>
      <c r="D27" s="20">
        <v>112.54398999999999</v>
      </c>
      <c r="E27" s="6">
        <v>6.5601431290000001</v>
      </c>
      <c r="F27" s="63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3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1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4" t="s">
        <v>144</v>
      </c>
      <c r="C28" s="20">
        <v>12.820510000000001</v>
      </c>
      <c r="D28" s="20">
        <v>119.43558</v>
      </c>
      <c r="E28" s="6">
        <v>5.9727422199999998</v>
      </c>
      <c r="F28" s="63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3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1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4" t="s">
        <v>146</v>
      </c>
      <c r="C29" s="20">
        <v>9.2628699999999995</v>
      </c>
      <c r="D29" s="20">
        <v>108.080865</v>
      </c>
      <c r="E29" s="6">
        <v>6.1759514150000001</v>
      </c>
      <c r="F29" s="63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3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1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4" t="s">
        <v>148</v>
      </c>
      <c r="C30" s="20">
        <v>9.4705100000000009</v>
      </c>
      <c r="D30" s="20">
        <v>109.43523999999999</v>
      </c>
      <c r="E30" s="6">
        <v>6.0191402590000003</v>
      </c>
      <c r="F30" s="63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3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1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4" t="s">
        <v>150</v>
      </c>
      <c r="C31" s="20">
        <v>16.720510000000001</v>
      </c>
      <c r="D31" s="20">
        <v>121.68104</v>
      </c>
      <c r="E31" s="6">
        <v>6.8883031309999998</v>
      </c>
      <c r="F31" s="63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3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1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4" t="s">
        <v>152</v>
      </c>
      <c r="C32" s="20">
        <v>15.720510000000001</v>
      </c>
      <c r="D32" s="20">
        <v>119</v>
      </c>
      <c r="E32" s="6">
        <v>6.7735410829999996</v>
      </c>
      <c r="F32" s="63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3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1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5" t="s">
        <v>154</v>
      </c>
      <c r="C33" s="30">
        <v>11.070510000000001</v>
      </c>
      <c r="D33" s="30">
        <v>112</v>
      </c>
      <c r="E33" s="31">
        <v>5.969331736</v>
      </c>
      <c r="F33" s="66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6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7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3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4" t="s">
        <v>1</v>
      </c>
      <c r="G3" s="84"/>
      <c r="H3" s="84"/>
      <c r="I3" s="84"/>
      <c r="J3" s="84"/>
      <c r="K3" s="84"/>
      <c r="L3" s="84"/>
      <c r="M3" s="85" t="s">
        <v>2</v>
      </c>
      <c r="N3" s="85"/>
      <c r="O3" s="85"/>
      <c r="P3" s="85"/>
      <c r="Q3" s="85"/>
      <c r="R3" s="85"/>
      <c r="S3" s="85"/>
      <c r="T3" s="86" t="s">
        <v>3</v>
      </c>
      <c r="U3" s="86"/>
      <c r="V3" s="86"/>
      <c r="W3" s="86"/>
      <c r="X3" s="86"/>
      <c r="Y3" s="86"/>
      <c r="Z3" s="87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8" t="s">
        <v>178</v>
      </c>
      <c r="D5" s="20">
        <v>15.356030000000001</v>
      </c>
      <c r="E5" s="20">
        <v>111.421875</v>
      </c>
      <c r="F5" s="6">
        <v>6.4818093470000004</v>
      </c>
      <c r="G5" s="63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3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1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8" t="s">
        <v>176</v>
      </c>
      <c r="D6" s="20">
        <v>17.256029999999999</v>
      </c>
      <c r="E6" s="20">
        <v>117.01355</v>
      </c>
      <c r="F6" s="6">
        <v>6.0580622709999998</v>
      </c>
      <c r="G6" s="63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3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1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8" t="s">
        <v>174</v>
      </c>
      <c r="D7" s="20">
        <v>14.106030000000001</v>
      </c>
      <c r="E7" s="20">
        <v>111.304688</v>
      </c>
      <c r="F7" s="6">
        <v>5.7479182870000001</v>
      </c>
      <c r="G7" s="63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3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1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8" t="s">
        <v>172</v>
      </c>
      <c r="D8" s="20">
        <v>12.856030000000001</v>
      </c>
      <c r="E8" s="20">
        <v>108.359375</v>
      </c>
      <c r="F8" s="6">
        <v>5.8777098990000001</v>
      </c>
      <c r="G8" s="63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3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1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8" t="s">
        <v>170</v>
      </c>
      <c r="D9" s="20">
        <v>11.356030000000001</v>
      </c>
      <c r="E9" s="20">
        <v>105.4375</v>
      </c>
      <c r="F9" s="6">
        <v>6.0922279079999999</v>
      </c>
      <c r="G9" s="63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3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1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8" t="s">
        <v>168</v>
      </c>
      <c r="D10" s="20">
        <v>10.606030000000001</v>
      </c>
      <c r="E10" s="20">
        <v>103.5625</v>
      </c>
      <c r="F10" s="6">
        <v>6.25517973</v>
      </c>
      <c r="G10" s="63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3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1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8" t="s">
        <v>166</v>
      </c>
      <c r="D11" s="20">
        <v>9.3560300000000005</v>
      </c>
      <c r="E11" s="20">
        <v>115.72168499999999</v>
      </c>
      <c r="F11" s="6">
        <v>5.2707839520000004</v>
      </c>
      <c r="G11" s="63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3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1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8" t="s">
        <v>164</v>
      </c>
      <c r="D12" s="20">
        <v>12.156029999999999</v>
      </c>
      <c r="E12" s="20">
        <v>106.1875</v>
      </c>
      <c r="F12" s="6">
        <v>5.8965366369999996</v>
      </c>
      <c r="G12" s="63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3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1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8" t="s">
        <v>162</v>
      </c>
      <c r="D13" s="20">
        <v>11.856030000000001</v>
      </c>
      <c r="E13" s="20">
        <v>105.94096</v>
      </c>
      <c r="F13" s="6">
        <v>5.4495066510000001</v>
      </c>
      <c r="G13" s="63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3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1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8" t="s">
        <v>160</v>
      </c>
      <c r="D14" s="20">
        <v>9.1060300000000005</v>
      </c>
      <c r="E14" s="20">
        <v>111</v>
      </c>
      <c r="F14" s="6">
        <v>5.8041480080000003</v>
      </c>
      <c r="G14" s="63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3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1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8" t="s">
        <v>158</v>
      </c>
      <c r="D15" s="20">
        <v>12.070510000000001</v>
      </c>
      <c r="E15" s="20">
        <v>121.25</v>
      </c>
      <c r="F15" s="6">
        <v>1.115083099</v>
      </c>
      <c r="G15" s="63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3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1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8" t="s">
        <v>156</v>
      </c>
      <c r="D16" s="20">
        <v>9.7205100000000009</v>
      </c>
      <c r="E16" s="20">
        <v>111.30897</v>
      </c>
      <c r="F16" s="6">
        <v>5.4752920129999998</v>
      </c>
      <c r="G16" s="63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3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1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8" t="s">
        <v>46</v>
      </c>
      <c r="D17" s="20">
        <v>8.0560299999999998</v>
      </c>
      <c r="E17" s="20">
        <v>103.54</v>
      </c>
      <c r="F17" s="6">
        <v>-12.466876012</v>
      </c>
      <c r="G17" s="63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3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1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8" t="s">
        <v>44</v>
      </c>
      <c r="D18" s="20">
        <v>8.3560300000000005</v>
      </c>
      <c r="E18" s="20">
        <v>104.35</v>
      </c>
      <c r="F18" s="6">
        <v>-15.023692344000001</v>
      </c>
      <c r="G18" s="63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3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1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8" t="s">
        <v>42</v>
      </c>
      <c r="D19" s="20">
        <v>16.356030000000001</v>
      </c>
      <c r="E19" s="20">
        <v>115.699219</v>
      </c>
      <c r="F19" s="6">
        <v>5.9636515360000004</v>
      </c>
      <c r="G19" s="63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3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1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8" t="s">
        <v>40</v>
      </c>
      <c r="D20" s="20">
        <v>14.95603</v>
      </c>
      <c r="E20" s="20">
        <v>113.0625</v>
      </c>
      <c r="F20" s="6">
        <v>5.8039625429999999</v>
      </c>
      <c r="G20" s="63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3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1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8" t="s">
        <v>38</v>
      </c>
      <c r="D21" s="20">
        <v>13.856030000000001</v>
      </c>
      <c r="E21" s="20">
        <v>110.28567</v>
      </c>
      <c r="F21" s="6">
        <v>5.8087883720000004</v>
      </c>
      <c r="G21" s="63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3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1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8" t="s">
        <v>36</v>
      </c>
      <c r="D22" s="18">
        <v>12.006030000000001</v>
      </c>
      <c r="E22" s="18">
        <v>106.75</v>
      </c>
      <c r="F22" s="6">
        <v>5.9364829730000004</v>
      </c>
      <c r="G22" s="62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2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1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8" t="s">
        <v>34</v>
      </c>
      <c r="D23" s="18">
        <v>10.55603</v>
      </c>
      <c r="E23" s="18">
        <v>104.1875</v>
      </c>
      <c r="F23" s="6">
        <v>6.1079829869999998</v>
      </c>
      <c r="G23" s="62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2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1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8" t="s">
        <v>32</v>
      </c>
      <c r="D24" s="18">
        <v>10.356030000000001</v>
      </c>
      <c r="E24" s="18">
        <v>103.73005999999999</v>
      </c>
      <c r="F24" s="6">
        <v>6.1007306369999998</v>
      </c>
      <c r="G24" s="62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2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1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8" t="s">
        <v>154</v>
      </c>
      <c r="D25" s="20">
        <v>11.070510000000001</v>
      </c>
      <c r="E25" s="20">
        <v>112</v>
      </c>
      <c r="F25" s="6">
        <v>2.2697166989999999</v>
      </c>
      <c r="G25" s="63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3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1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8" t="s">
        <v>152</v>
      </c>
      <c r="D26" s="20">
        <v>15.720510000000001</v>
      </c>
      <c r="E26" s="20">
        <v>119</v>
      </c>
      <c r="F26" s="6">
        <v>7.1028148929999997</v>
      </c>
      <c r="G26" s="63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3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1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8" t="s">
        <v>150</v>
      </c>
      <c r="D27" s="20">
        <v>16.720510000000001</v>
      </c>
      <c r="E27" s="20">
        <v>121.68104</v>
      </c>
      <c r="F27" s="6">
        <v>7.565632795</v>
      </c>
      <c r="G27" s="63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3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1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8" t="s">
        <v>148</v>
      </c>
      <c r="D28" s="28">
        <v>9.4705100000000009</v>
      </c>
      <c r="E28" s="28">
        <v>109.43523999999999</v>
      </c>
      <c r="F28" s="6">
        <v>5.9194966569999998</v>
      </c>
      <c r="G28" s="68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8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8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8" t="s">
        <v>146</v>
      </c>
      <c r="D29" s="20">
        <v>9.2628699999999995</v>
      </c>
      <c r="E29" s="20">
        <v>108.080865</v>
      </c>
      <c r="F29" s="6">
        <v>6.1759514150000001</v>
      </c>
      <c r="G29" s="63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3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1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8" t="s">
        <v>144</v>
      </c>
      <c r="D30" s="20">
        <v>12.820510000000001</v>
      </c>
      <c r="E30" s="20">
        <v>119.43558</v>
      </c>
      <c r="F30" s="6">
        <v>5.9727422199999998</v>
      </c>
      <c r="G30" s="63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3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1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8" t="s">
        <v>142</v>
      </c>
      <c r="D31" s="20">
        <v>12.620509999999999</v>
      </c>
      <c r="E31" s="20">
        <v>112.54398999999999</v>
      </c>
      <c r="F31" s="6">
        <v>7.0634481109999996</v>
      </c>
      <c r="G31" s="63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3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1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8" t="s">
        <v>140</v>
      </c>
      <c r="D32" s="20">
        <v>15.470510000000001</v>
      </c>
      <c r="E32" s="20">
        <v>125.00109500000001</v>
      </c>
      <c r="F32" s="6">
        <v>5.6051646740000001</v>
      </c>
      <c r="G32" s="63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3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1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8" t="s">
        <v>29</v>
      </c>
      <c r="D33" s="18">
        <v>11.070510000000001</v>
      </c>
      <c r="E33" s="18">
        <v>105.971155</v>
      </c>
      <c r="F33" s="6">
        <v>5.8726454529999996</v>
      </c>
      <c r="G33" s="62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2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1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59" t="s">
        <v>27</v>
      </c>
      <c r="D34" s="33">
        <v>16.220510000000001</v>
      </c>
      <c r="E34" s="33">
        <v>103.8</v>
      </c>
      <c r="F34" s="31">
        <v>5.5495377550000002</v>
      </c>
      <c r="G34" s="67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7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7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69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69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69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69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69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69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69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69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69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69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69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0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0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0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0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0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0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0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0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0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0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0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0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0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0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0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0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0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0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0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0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0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1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1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1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1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1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1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1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1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1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1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1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1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1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1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1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1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1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1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1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1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1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1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1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1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1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1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2"/>
      <c r="D93" s="40"/>
      <c r="E93" s="40"/>
      <c r="F93" s="31"/>
      <c r="G93" s="40"/>
      <c r="H93" s="40"/>
      <c r="I93" s="40"/>
      <c r="J93" s="40"/>
      <c r="K93" s="40"/>
      <c r="L93" s="40"/>
      <c r="M93" s="31"/>
      <c r="N93" s="40"/>
      <c r="O93" s="40"/>
      <c r="P93" s="40"/>
      <c r="Q93" s="40"/>
      <c r="R93" s="40"/>
      <c r="S93" s="40"/>
      <c r="T93" s="32"/>
      <c r="U93" s="40"/>
      <c r="V93" s="40"/>
      <c r="W93" s="40"/>
      <c r="X93" s="40"/>
      <c r="Y93" s="40"/>
      <c r="Z93" s="41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8" t="s">
        <v>202</v>
      </c>
      <c r="C2" s="89"/>
      <c r="D2" s="89"/>
      <c r="E2" s="89"/>
      <c r="F2" s="89"/>
      <c r="G2" s="89"/>
      <c r="H2" s="84" t="s">
        <v>1</v>
      </c>
      <c r="I2" s="84"/>
      <c r="J2" s="84"/>
      <c r="K2" s="84"/>
      <c r="L2" s="84"/>
      <c r="M2" s="84"/>
      <c r="N2" s="84"/>
      <c r="O2" s="85" t="s">
        <v>2</v>
      </c>
      <c r="P2" s="85"/>
      <c r="Q2" s="85"/>
      <c r="R2" s="85"/>
      <c r="S2" s="85"/>
      <c r="T2" s="85"/>
      <c r="U2" s="85"/>
      <c r="V2" s="86" t="s">
        <v>3</v>
      </c>
      <c r="W2" s="86"/>
      <c r="X2" s="86"/>
      <c r="Y2" s="86"/>
      <c r="Z2" s="86"/>
      <c r="AA2" s="86"/>
      <c r="AB2" s="87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2" t="s">
        <v>31</v>
      </c>
      <c r="D4" s="47" t="s">
        <v>178</v>
      </c>
      <c r="E4" s="47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2" t="s">
        <v>31</v>
      </c>
      <c r="D5" s="47" t="s">
        <v>176</v>
      </c>
      <c r="E5" s="47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2" t="s">
        <v>31</v>
      </c>
      <c r="D6" s="47" t="s">
        <v>174</v>
      </c>
      <c r="E6" s="47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2" t="s">
        <v>31</v>
      </c>
      <c r="D7" s="47" t="s">
        <v>172</v>
      </c>
      <c r="E7" s="47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2" t="s">
        <v>31</v>
      </c>
      <c r="D8" s="47" t="s">
        <v>170</v>
      </c>
      <c r="E8" s="47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2" t="s">
        <v>31</v>
      </c>
      <c r="D9" s="47" t="s">
        <v>168</v>
      </c>
      <c r="E9" s="47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2" t="s">
        <v>31</v>
      </c>
      <c r="D10" s="47" t="s">
        <v>166</v>
      </c>
      <c r="E10" s="47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2" t="s">
        <v>31</v>
      </c>
      <c r="D11" s="47" t="s">
        <v>164</v>
      </c>
      <c r="E11" s="47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2" t="s">
        <v>31</v>
      </c>
      <c r="D12" s="47" t="s">
        <v>162</v>
      </c>
      <c r="E12" s="47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2" t="s">
        <v>31</v>
      </c>
      <c r="D13" s="47" t="s">
        <v>160</v>
      </c>
      <c r="E13" s="47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2" t="s">
        <v>31</v>
      </c>
      <c r="D14" s="47" t="s">
        <v>158</v>
      </c>
      <c r="E14" s="47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2" t="s">
        <v>31</v>
      </c>
      <c r="D15" s="47" t="s">
        <v>156</v>
      </c>
      <c r="E15" s="47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6" t="s">
        <v>31</v>
      </c>
      <c r="D16" s="47" t="s">
        <v>46</v>
      </c>
      <c r="E16" s="47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6" t="s">
        <v>31</v>
      </c>
      <c r="D17" s="47" t="s">
        <v>44</v>
      </c>
      <c r="E17" s="47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6" t="s">
        <v>31</v>
      </c>
      <c r="D18" s="47" t="s">
        <v>42</v>
      </c>
      <c r="E18" s="47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6" t="s">
        <v>31</v>
      </c>
      <c r="D19" s="47" t="s">
        <v>40</v>
      </c>
      <c r="E19" s="47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6" t="s">
        <v>31</v>
      </c>
      <c r="D20" s="47" t="s">
        <v>38</v>
      </c>
      <c r="E20" s="47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6" t="s">
        <v>31</v>
      </c>
      <c r="D21" s="47" t="s">
        <v>36</v>
      </c>
      <c r="E21" s="47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6" t="s">
        <v>31</v>
      </c>
      <c r="D22" s="47" t="s">
        <v>34</v>
      </c>
      <c r="E22" s="47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6" t="s">
        <v>31</v>
      </c>
      <c r="D23" s="47" t="s">
        <v>32</v>
      </c>
      <c r="E23" s="47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2" t="s">
        <v>26</v>
      </c>
      <c r="D24" s="47" t="s">
        <v>154</v>
      </c>
      <c r="E24" s="47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2" t="s">
        <v>26</v>
      </c>
      <c r="D25" s="47" t="s">
        <v>152</v>
      </c>
      <c r="E25" s="47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2" t="s">
        <v>26</v>
      </c>
      <c r="D26" s="47" t="s">
        <v>150</v>
      </c>
      <c r="E26" s="47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3" t="s">
        <v>26</v>
      </c>
      <c r="D27" s="47" t="s">
        <v>148</v>
      </c>
      <c r="E27" s="47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4" t="s">
        <v>26</v>
      </c>
      <c r="D28" s="47" t="s">
        <v>146</v>
      </c>
      <c r="E28" s="47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4" t="s">
        <v>26</v>
      </c>
      <c r="D29" s="47" t="s">
        <v>144</v>
      </c>
      <c r="E29" s="47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4" t="s">
        <v>26</v>
      </c>
      <c r="D30" s="47" t="s">
        <v>142</v>
      </c>
      <c r="E30" s="47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4" t="s">
        <v>26</v>
      </c>
      <c r="D31" s="47" t="s">
        <v>140</v>
      </c>
      <c r="E31" s="47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6" t="s">
        <v>26</v>
      </c>
      <c r="D32" s="47" t="s">
        <v>29</v>
      </c>
      <c r="E32" s="47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7" t="s">
        <v>27</v>
      </c>
      <c r="E33" s="47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2" t="s">
        <v>19</v>
      </c>
      <c r="D34" s="48" t="s">
        <v>62</v>
      </c>
      <c r="E34" s="48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2" t="s">
        <v>19</v>
      </c>
      <c r="D35" s="48" t="s">
        <v>60</v>
      </c>
      <c r="E35" s="48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2" t="s">
        <v>19</v>
      </c>
      <c r="D36" s="48" t="s">
        <v>58</v>
      </c>
      <c r="E36" s="48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4" t="s">
        <v>19</v>
      </c>
      <c r="D37" s="48" t="s">
        <v>56</v>
      </c>
      <c r="E37" s="48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4" t="s">
        <v>19</v>
      </c>
      <c r="D38" s="48" t="s">
        <v>54</v>
      </c>
      <c r="E38" s="48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8" t="s">
        <v>52</v>
      </c>
      <c r="E39" s="48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6" t="s">
        <v>19</v>
      </c>
      <c r="D40" s="48" t="s">
        <v>50</v>
      </c>
      <c r="E40" s="48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6" t="s">
        <v>19</v>
      </c>
      <c r="D41" s="48" t="s">
        <v>48</v>
      </c>
      <c r="E41" s="48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6" t="s">
        <v>19</v>
      </c>
      <c r="D42" s="48" t="s">
        <v>24</v>
      </c>
      <c r="E42" s="48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8" t="s">
        <v>22</v>
      </c>
      <c r="E43" s="48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8" t="s">
        <v>20</v>
      </c>
      <c r="E44" s="48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2" t="s">
        <v>64</v>
      </c>
      <c r="D45" s="49" t="s">
        <v>105</v>
      </c>
      <c r="E45" s="49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2" t="s">
        <v>64</v>
      </c>
      <c r="D46" s="49" t="s">
        <v>103</v>
      </c>
      <c r="E46" s="49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4" t="s">
        <v>64</v>
      </c>
      <c r="D47" s="49" t="s">
        <v>101</v>
      </c>
      <c r="E47" s="49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4" t="s">
        <v>64</v>
      </c>
      <c r="D48" s="49" t="s">
        <v>99</v>
      </c>
      <c r="E48" s="49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49" t="s">
        <v>97</v>
      </c>
      <c r="E49" s="49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4" t="s">
        <v>64</v>
      </c>
      <c r="D50" s="49" t="s">
        <v>95</v>
      </c>
      <c r="E50" s="49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4" t="s">
        <v>64</v>
      </c>
      <c r="D51" s="49" t="s">
        <v>93</v>
      </c>
      <c r="E51" s="49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4" t="s">
        <v>64</v>
      </c>
      <c r="D52" s="49" t="s">
        <v>91</v>
      </c>
      <c r="E52" s="49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4" t="s">
        <v>64</v>
      </c>
      <c r="D53" s="49" t="s">
        <v>89</v>
      </c>
      <c r="E53" s="49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4" t="s">
        <v>64</v>
      </c>
      <c r="D54" s="49" t="s">
        <v>87</v>
      </c>
      <c r="E54" s="49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4" t="s">
        <v>64</v>
      </c>
      <c r="D55" s="49" t="s">
        <v>85</v>
      </c>
      <c r="E55" s="49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4" t="s">
        <v>64</v>
      </c>
      <c r="D56" s="49" t="s">
        <v>83</v>
      </c>
      <c r="E56" s="49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4" t="s">
        <v>64</v>
      </c>
      <c r="D57" s="49" t="s">
        <v>81</v>
      </c>
      <c r="E57" s="49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5" t="s">
        <v>64</v>
      </c>
      <c r="D58" s="49" t="s">
        <v>79</v>
      </c>
      <c r="E58" s="49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5" t="s">
        <v>64</v>
      </c>
      <c r="D59" s="49" t="s">
        <v>77</v>
      </c>
      <c r="E59" s="49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5" t="s">
        <v>64</v>
      </c>
      <c r="D60" s="49" t="s">
        <v>75</v>
      </c>
      <c r="E60" s="49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5" t="s">
        <v>64</v>
      </c>
      <c r="D61" s="49" t="s">
        <v>73</v>
      </c>
      <c r="E61" s="49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6" t="s">
        <v>64</v>
      </c>
      <c r="D62" s="49" t="s">
        <v>71</v>
      </c>
      <c r="E62" s="49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6" t="s">
        <v>64</v>
      </c>
      <c r="D63" s="49" t="s">
        <v>69</v>
      </c>
      <c r="E63" s="49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6" t="s">
        <v>64</v>
      </c>
      <c r="D64" s="49" t="s">
        <v>67</v>
      </c>
      <c r="E64" s="49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6" t="s">
        <v>64</v>
      </c>
      <c r="D65" s="49" t="s">
        <v>65</v>
      </c>
      <c r="E65" s="49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2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2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2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2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2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2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4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4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4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4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5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5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5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5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5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5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6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6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6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6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6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6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6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6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8">
        <v>45939</v>
      </c>
      <c r="C92" s="39" t="s">
        <v>107</v>
      </c>
      <c r="D92" s="37" t="s">
        <v>108</v>
      </c>
      <c r="E92" s="37" t="s">
        <v>109</v>
      </c>
      <c r="F92" s="40">
        <v>6.55</v>
      </c>
      <c r="G92" s="40">
        <v>102.098595</v>
      </c>
      <c r="H92" s="31">
        <v>5.8667418150000001</v>
      </c>
      <c r="I92" s="40">
        <v>225.36990662900001</v>
      </c>
      <c r="J92" s="40">
        <v>3.0444444439999998</v>
      </c>
      <c r="K92" s="40">
        <v>4.222433949</v>
      </c>
      <c r="L92" s="40">
        <v>3.9112842759999999</v>
      </c>
      <c r="M92" s="40">
        <v>92.631035162226993</v>
      </c>
      <c r="N92" s="40">
        <v>0</v>
      </c>
      <c r="O92" s="31">
        <v>5.8667418150000001</v>
      </c>
      <c r="P92" s="40">
        <v>225.36990662900001</v>
      </c>
      <c r="Q92" s="40">
        <v>3.0444444439999998</v>
      </c>
      <c r="R92" s="40">
        <v>4.3561418979999997</v>
      </c>
      <c r="S92" s="40">
        <v>4.0332723100000001</v>
      </c>
      <c r="T92" s="40">
        <v>92.588175602171404</v>
      </c>
      <c r="U92" s="40">
        <v>0</v>
      </c>
      <c r="V92" s="32">
        <f t="shared" si="14"/>
        <v>0</v>
      </c>
      <c r="W92" s="40">
        <f t="shared" si="15"/>
        <v>0</v>
      </c>
      <c r="X92" s="40">
        <f t="shared" si="16"/>
        <v>0</v>
      </c>
      <c r="Y92" s="40">
        <f t="shared" si="17"/>
        <v>-0.13370794899999972</v>
      </c>
      <c r="Z92" s="40">
        <f t="shared" si="18"/>
        <v>-0.12198803400000013</v>
      </c>
      <c r="AA92" s="40">
        <f t="shared" si="19"/>
        <v>4.2859560055589441E-2</v>
      </c>
      <c r="AB92" s="41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2026-02-27T22:21:11Z</dcterms:modified>
</cp:coreProperties>
</file>