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S:\QR\hzeng\howard-toolbox\formatter\"/>
    </mc:Choice>
  </mc:AlternateContent>
  <xr:revisionPtr revIDLastSave="0" documentId="13_ncr:1_{4849C9AA-6B6B-4045-9011-819DC3CD28BE}" xr6:coauthVersionLast="47" xr6:coauthVersionMax="47" xr10:uidLastSave="{00000000-0000-0000-0000-000000000000}"/>
  <bookViews>
    <workbookView xWindow="13785" yWindow="-21600" windowWidth="42885" windowHeight="21285" xr2:uid="{00000000-000D-0000-FFFF-FFFF00000000}"/>
  </bookViews>
  <sheets>
    <sheet name="Base" sheetId="1" r:id="rId1"/>
    <sheet name="Sheet1" sheetId="5" r:id="rId2"/>
    <sheet name="CRT  Base" sheetId="3" r:id="rId3"/>
    <sheet name="CRT SuperBear" sheetId="4" r:id="rId4"/>
    <sheet name="SuperBear" sheetId="2" r:id="rId5"/>
  </sheets>
  <definedNames>
    <definedName name="_xlnm._FilterDatabase" localSheetId="0" hidden="1">Base!$C$3:$AI$3</definedName>
    <definedName name="_xlnm._FilterDatabase" localSheetId="4" hidden="1">SuperBear!$B$3:$AH$3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" i="1" l="1"/>
  <c r="AB5" i="1"/>
  <c r="AC5" i="1"/>
  <c r="AD5" i="1"/>
  <c r="AE5" i="1"/>
  <c r="AF5" i="1"/>
  <c r="AG5" i="1"/>
  <c r="AH5" i="1"/>
  <c r="AI5" i="1"/>
  <c r="AA6" i="1"/>
  <c r="AB6" i="1"/>
  <c r="AC6" i="1"/>
  <c r="AD6" i="1"/>
  <c r="AE6" i="1"/>
  <c r="AF6" i="1"/>
  <c r="AG6" i="1"/>
  <c r="AH6" i="1"/>
  <c r="AI6" i="1"/>
  <c r="AA7" i="1"/>
  <c r="AB7" i="1"/>
  <c r="AC7" i="1"/>
  <c r="AD7" i="1"/>
  <c r="AE7" i="1"/>
  <c r="AF7" i="1"/>
  <c r="AG7" i="1"/>
  <c r="AH7" i="1"/>
  <c r="AI7" i="1"/>
  <c r="AA8" i="1"/>
  <c r="AB8" i="1"/>
  <c r="AC8" i="1"/>
  <c r="AD8" i="1"/>
  <c r="AE8" i="1"/>
  <c r="AF8" i="1"/>
  <c r="AG8" i="1"/>
  <c r="AH8" i="1"/>
  <c r="AI8" i="1"/>
  <c r="AA9" i="1"/>
  <c r="AB9" i="1"/>
  <c r="AC9" i="1"/>
  <c r="AD9" i="1"/>
  <c r="AE9" i="1"/>
  <c r="AF9" i="1"/>
  <c r="AG9" i="1"/>
  <c r="AH9" i="1"/>
  <c r="AI9" i="1"/>
  <c r="AA10" i="1"/>
  <c r="AB10" i="1"/>
  <c r="AC10" i="1"/>
  <c r="AD10" i="1"/>
  <c r="AE10" i="1"/>
  <c r="AF10" i="1"/>
  <c r="AG10" i="1"/>
  <c r="AH10" i="1"/>
  <c r="AI10" i="1"/>
  <c r="AA11" i="1"/>
  <c r="AB11" i="1"/>
  <c r="AC11" i="1"/>
  <c r="AD11" i="1"/>
  <c r="AE11" i="1"/>
  <c r="AF11" i="1"/>
  <c r="AG11" i="1"/>
  <c r="AH11" i="1"/>
  <c r="AI11" i="1"/>
  <c r="AA12" i="1"/>
  <c r="AB12" i="1"/>
  <c r="AC12" i="1"/>
  <c r="AD12" i="1"/>
  <c r="AE12" i="1"/>
  <c r="AF12" i="1"/>
  <c r="AG12" i="1"/>
  <c r="AH12" i="1"/>
  <c r="AI12" i="1"/>
  <c r="AA13" i="1"/>
  <c r="AB13" i="1"/>
  <c r="AC13" i="1"/>
  <c r="AD13" i="1"/>
  <c r="AE13" i="1"/>
  <c r="AF13" i="1"/>
  <c r="AG13" i="1"/>
  <c r="AH13" i="1"/>
  <c r="AI13" i="1"/>
  <c r="AA14" i="1"/>
  <c r="AB14" i="1"/>
  <c r="AC14" i="1"/>
  <c r="AD14" i="1"/>
  <c r="AE14" i="1"/>
  <c r="AF14" i="1"/>
  <c r="AG14" i="1"/>
  <c r="AH14" i="1"/>
  <c r="AI14" i="1"/>
  <c r="AA15" i="1"/>
  <c r="AB15" i="1"/>
  <c r="AC15" i="1"/>
  <c r="AD15" i="1"/>
  <c r="AE15" i="1"/>
  <c r="AF15" i="1"/>
  <c r="AG15" i="1"/>
  <c r="AH15" i="1"/>
  <c r="AI15" i="1"/>
  <c r="AA16" i="1"/>
  <c r="AB16" i="1"/>
  <c r="AC16" i="1"/>
  <c r="AD16" i="1"/>
  <c r="AE16" i="1"/>
  <c r="AF16" i="1"/>
  <c r="AG16" i="1"/>
  <c r="AH16" i="1"/>
  <c r="AI16" i="1"/>
  <c r="AA17" i="1"/>
  <c r="AB17" i="1"/>
  <c r="AC17" i="1"/>
  <c r="AD17" i="1"/>
  <c r="AE17" i="1"/>
  <c r="AF17" i="1"/>
  <c r="AG17" i="1"/>
  <c r="AH17" i="1"/>
  <c r="AI17" i="1"/>
  <c r="AA6" i="5"/>
  <c r="AB6" i="5"/>
  <c r="AC6" i="5"/>
  <c r="AD6" i="5"/>
  <c r="AE6" i="5"/>
  <c r="AF6" i="5"/>
  <c r="AG6" i="5"/>
  <c r="AH6" i="5"/>
  <c r="AI6" i="5"/>
  <c r="AA7" i="5"/>
  <c r="AB7" i="5"/>
  <c r="AC7" i="5"/>
  <c r="AD7" i="5"/>
  <c r="AE7" i="5"/>
  <c r="AF7" i="5"/>
  <c r="AG7" i="5"/>
  <c r="AH7" i="5"/>
  <c r="AI7" i="5"/>
  <c r="AA8" i="5"/>
  <c r="AB8" i="5"/>
  <c r="AC8" i="5"/>
  <c r="AD8" i="5"/>
  <c r="AE8" i="5"/>
  <c r="AF8" i="5"/>
  <c r="AG8" i="5"/>
  <c r="AH8" i="5"/>
  <c r="AI8" i="5"/>
  <c r="AA9" i="5"/>
  <c r="AB9" i="5"/>
  <c r="AC9" i="5"/>
  <c r="AD9" i="5"/>
  <c r="AE9" i="5"/>
  <c r="AF9" i="5"/>
  <c r="AG9" i="5"/>
  <c r="AH9" i="5"/>
  <c r="AI9" i="5"/>
  <c r="AA10" i="5"/>
  <c r="AB10" i="5"/>
  <c r="AC10" i="5"/>
  <c r="AD10" i="5"/>
  <c r="AE10" i="5"/>
  <c r="AF10" i="5"/>
  <c r="AG10" i="5"/>
  <c r="AH10" i="5"/>
  <c r="AI10" i="5"/>
  <c r="AA11" i="5"/>
  <c r="AB11" i="5"/>
  <c r="AC11" i="5"/>
  <c r="AD11" i="5"/>
  <c r="AE11" i="5"/>
  <c r="AF11" i="5"/>
  <c r="AG11" i="5"/>
  <c r="AH11" i="5"/>
  <c r="AI11" i="5"/>
  <c r="AA12" i="5"/>
  <c r="AB12" i="5"/>
  <c r="AC12" i="5"/>
  <c r="AD12" i="5"/>
  <c r="AE12" i="5"/>
  <c r="AF12" i="5"/>
  <c r="AG12" i="5"/>
  <c r="AH12" i="5"/>
  <c r="AI12" i="5"/>
  <c r="AA13" i="5"/>
  <c r="AB13" i="5"/>
  <c r="AC13" i="5"/>
  <c r="AD13" i="5"/>
  <c r="AE13" i="5"/>
  <c r="AF13" i="5"/>
  <c r="AG13" i="5"/>
  <c r="AH13" i="5"/>
  <c r="AI13" i="5"/>
  <c r="AA14" i="5"/>
  <c r="AB14" i="5"/>
  <c r="AC14" i="5"/>
  <c r="AD14" i="5"/>
  <c r="AE14" i="5"/>
  <c r="AF14" i="5"/>
  <c r="AG14" i="5"/>
  <c r="AH14" i="5"/>
  <c r="AI14" i="5"/>
  <c r="AA15" i="5"/>
  <c r="AB15" i="5"/>
  <c r="AC15" i="5"/>
  <c r="AD15" i="5"/>
  <c r="AE15" i="5"/>
  <c r="AF15" i="5"/>
  <c r="AG15" i="5"/>
  <c r="AH15" i="5"/>
  <c r="AI15" i="5"/>
  <c r="AA16" i="5"/>
  <c r="AB16" i="5"/>
  <c r="AC16" i="5"/>
  <c r="AD16" i="5"/>
  <c r="AE16" i="5"/>
  <c r="AF16" i="5"/>
  <c r="AG16" i="5"/>
  <c r="AH16" i="5"/>
  <c r="AI16" i="5"/>
  <c r="AA17" i="5"/>
  <c r="AB17" i="5"/>
  <c r="AC17" i="5"/>
  <c r="AD17" i="5"/>
  <c r="AE17" i="5"/>
  <c r="AF17" i="5"/>
  <c r="AG17" i="5"/>
  <c r="AH17" i="5"/>
  <c r="AI17" i="5"/>
  <c r="AA18" i="5"/>
  <c r="AB18" i="5"/>
  <c r="AC18" i="5"/>
  <c r="AD18" i="5"/>
  <c r="AE18" i="5"/>
  <c r="AF18" i="5"/>
  <c r="AG18" i="5"/>
  <c r="AH18" i="5"/>
  <c r="AI18" i="5"/>
  <c r="AA19" i="5"/>
  <c r="AB19" i="5"/>
  <c r="AC19" i="5"/>
  <c r="AD19" i="5"/>
  <c r="AE19" i="5"/>
  <c r="AF19" i="5"/>
  <c r="AG19" i="5"/>
  <c r="AH19" i="5"/>
  <c r="AI19" i="5"/>
  <c r="AA20" i="5"/>
  <c r="AB20" i="5"/>
  <c r="AC20" i="5"/>
  <c r="AD20" i="5"/>
  <c r="AE20" i="5"/>
  <c r="AF20" i="5"/>
  <c r="AG20" i="5"/>
  <c r="AH20" i="5"/>
  <c r="AI20" i="5"/>
  <c r="AA21" i="5"/>
  <c r="AB21" i="5"/>
  <c r="AC21" i="5"/>
  <c r="AD21" i="5"/>
  <c r="AE21" i="5"/>
  <c r="AF21" i="5"/>
  <c r="AG21" i="5"/>
  <c r="AH21" i="5"/>
  <c r="AI21" i="5"/>
  <c r="AA22" i="5"/>
  <c r="AB22" i="5"/>
  <c r="AC22" i="5"/>
  <c r="AD22" i="5"/>
  <c r="AE22" i="5"/>
  <c r="AF22" i="5"/>
  <c r="AG22" i="5"/>
  <c r="AH22" i="5"/>
  <c r="AI22" i="5"/>
  <c r="AA23" i="5"/>
  <c r="AB23" i="5"/>
  <c r="AC23" i="5"/>
  <c r="AD23" i="5"/>
  <c r="AE23" i="5"/>
  <c r="AF23" i="5"/>
  <c r="AG23" i="5"/>
  <c r="AH23" i="5"/>
  <c r="AI23" i="5"/>
  <c r="AA24" i="5"/>
  <c r="AB24" i="5"/>
  <c r="AC24" i="5"/>
  <c r="AD24" i="5"/>
  <c r="AE24" i="5"/>
  <c r="AF24" i="5"/>
  <c r="AG24" i="5"/>
  <c r="AH24" i="5"/>
  <c r="AI24" i="5"/>
  <c r="AA25" i="5"/>
  <c r="AB25" i="5"/>
  <c r="AC25" i="5"/>
  <c r="AD25" i="5"/>
  <c r="AE25" i="5"/>
  <c r="AF25" i="5"/>
  <c r="AG25" i="5"/>
  <c r="AH25" i="5"/>
  <c r="AI25" i="5"/>
  <c r="AA26" i="5"/>
  <c r="AB26" i="5"/>
  <c r="AC26" i="5"/>
  <c r="AD26" i="5"/>
  <c r="AE26" i="5"/>
  <c r="AF26" i="5"/>
  <c r="AG26" i="5"/>
  <c r="AH26" i="5"/>
  <c r="AI26" i="5"/>
  <c r="AA27" i="5"/>
  <c r="AB27" i="5"/>
  <c r="AC27" i="5"/>
  <c r="AD27" i="5"/>
  <c r="AE27" i="5"/>
  <c r="AF27" i="5"/>
  <c r="AG27" i="5"/>
  <c r="AH27" i="5"/>
  <c r="AI27" i="5"/>
  <c r="AA28" i="5"/>
  <c r="AB28" i="5"/>
  <c r="AC28" i="5"/>
  <c r="AD28" i="5"/>
  <c r="AE28" i="5"/>
  <c r="AF28" i="5"/>
  <c r="AG28" i="5"/>
  <c r="AH28" i="5"/>
  <c r="AI28" i="5"/>
  <c r="AA29" i="5"/>
  <c r="AB29" i="5"/>
  <c r="AC29" i="5"/>
  <c r="AD29" i="5"/>
  <c r="AE29" i="5"/>
  <c r="AF29" i="5"/>
  <c r="AG29" i="5"/>
  <c r="AH29" i="5"/>
  <c r="AI29" i="5"/>
  <c r="AA30" i="5"/>
  <c r="AB30" i="5"/>
  <c r="AC30" i="5"/>
  <c r="AD30" i="5"/>
  <c r="AE30" i="5"/>
  <c r="AF30" i="5"/>
  <c r="AG30" i="5"/>
  <c r="AH30" i="5"/>
  <c r="AI30" i="5"/>
  <c r="AA31" i="5"/>
  <c r="AB31" i="5"/>
  <c r="AC31" i="5"/>
  <c r="AD31" i="5"/>
  <c r="AE31" i="5"/>
  <c r="AF31" i="5"/>
  <c r="AG31" i="5"/>
  <c r="AH31" i="5"/>
  <c r="AI31" i="5"/>
  <c r="AA32" i="5"/>
  <c r="AB32" i="5"/>
  <c r="AC32" i="5"/>
  <c r="AD32" i="5"/>
  <c r="AE32" i="5"/>
  <c r="AF32" i="5"/>
  <c r="AG32" i="5"/>
  <c r="AH32" i="5"/>
  <c r="AI32" i="5"/>
  <c r="AA33" i="5"/>
  <c r="AB33" i="5"/>
  <c r="AC33" i="5"/>
  <c r="AD33" i="5"/>
  <c r="AE33" i="5"/>
  <c r="AF33" i="5"/>
  <c r="AG33" i="5"/>
  <c r="AH33" i="5"/>
  <c r="AI33" i="5"/>
  <c r="AA34" i="5"/>
  <c r="AB34" i="5"/>
  <c r="AC34" i="5"/>
  <c r="AD34" i="5"/>
  <c r="AE34" i="5"/>
  <c r="AF34" i="5"/>
  <c r="AG34" i="5"/>
  <c r="AH34" i="5"/>
  <c r="AI34" i="5"/>
  <c r="AA35" i="5"/>
  <c r="AB35" i="5"/>
  <c r="AC35" i="5"/>
  <c r="AD35" i="5"/>
  <c r="AE35" i="5"/>
  <c r="AF35" i="5"/>
  <c r="AG35" i="5"/>
  <c r="AH35" i="5"/>
  <c r="AI35" i="5"/>
  <c r="AA36" i="5"/>
  <c r="AB36" i="5"/>
  <c r="AC36" i="5"/>
  <c r="AD36" i="5"/>
  <c r="AE36" i="5"/>
  <c r="AF36" i="5"/>
  <c r="AG36" i="5"/>
  <c r="AH36" i="5"/>
  <c r="AI36" i="5"/>
  <c r="AA37" i="5"/>
  <c r="AB37" i="5"/>
  <c r="AC37" i="5"/>
  <c r="AD37" i="5"/>
  <c r="AE37" i="5"/>
  <c r="AF37" i="5"/>
  <c r="AG37" i="5"/>
  <c r="AH37" i="5"/>
  <c r="AI37" i="5"/>
  <c r="AA38" i="5"/>
  <c r="AB38" i="5"/>
  <c r="AC38" i="5"/>
  <c r="AD38" i="5"/>
  <c r="AE38" i="5"/>
  <c r="AF38" i="5"/>
  <c r="AG38" i="5"/>
  <c r="AH38" i="5"/>
  <c r="AI38" i="5"/>
  <c r="AA39" i="5"/>
  <c r="AB39" i="5"/>
  <c r="AC39" i="5"/>
  <c r="AD39" i="5"/>
  <c r="AE39" i="5"/>
  <c r="AF39" i="5"/>
  <c r="AG39" i="5"/>
  <c r="AH39" i="5"/>
  <c r="AI39" i="5"/>
  <c r="AA40" i="5"/>
  <c r="AB40" i="5"/>
  <c r="AC40" i="5"/>
  <c r="AD40" i="5"/>
  <c r="AE40" i="5"/>
  <c r="AF40" i="5"/>
  <c r="AG40" i="5"/>
  <c r="AH40" i="5"/>
  <c r="AI40" i="5"/>
  <c r="AA41" i="5"/>
  <c r="AB41" i="5"/>
  <c r="AC41" i="5"/>
  <c r="AD41" i="5"/>
  <c r="AE41" i="5"/>
  <c r="AF41" i="5"/>
  <c r="AG41" i="5"/>
  <c r="AH41" i="5"/>
  <c r="AI41" i="5"/>
  <c r="AA42" i="5"/>
  <c r="AB42" i="5"/>
  <c r="AC42" i="5"/>
  <c r="AD42" i="5"/>
  <c r="AE42" i="5"/>
  <c r="AF42" i="5"/>
  <c r="AG42" i="5"/>
  <c r="AH42" i="5"/>
  <c r="AI42" i="5"/>
  <c r="AA43" i="5"/>
  <c r="AB43" i="5"/>
  <c r="AC43" i="5"/>
  <c r="AD43" i="5"/>
  <c r="AE43" i="5"/>
  <c r="AF43" i="5"/>
  <c r="AG43" i="5"/>
  <c r="AH43" i="5"/>
  <c r="AI43" i="5"/>
  <c r="AA44" i="5"/>
  <c r="AB44" i="5"/>
  <c r="AC44" i="5"/>
  <c r="AD44" i="5"/>
  <c r="AE44" i="5"/>
  <c r="AF44" i="5"/>
  <c r="AG44" i="5"/>
  <c r="AH44" i="5"/>
  <c r="AI44" i="5"/>
  <c r="AA45" i="5"/>
  <c r="AB45" i="5"/>
  <c r="AC45" i="5"/>
  <c r="AD45" i="5"/>
  <c r="AE45" i="5"/>
  <c r="AF45" i="5"/>
  <c r="AG45" i="5"/>
  <c r="AH45" i="5"/>
  <c r="AI45" i="5"/>
  <c r="AA46" i="5"/>
  <c r="AB46" i="5"/>
  <c r="AC46" i="5"/>
  <c r="AD46" i="5"/>
  <c r="AE46" i="5"/>
  <c r="AF46" i="5"/>
  <c r="AG46" i="5"/>
  <c r="AH46" i="5"/>
  <c r="AI46" i="5"/>
  <c r="AA47" i="5"/>
  <c r="AB47" i="5"/>
  <c r="AC47" i="5"/>
  <c r="AD47" i="5"/>
  <c r="AE47" i="5"/>
  <c r="AF47" i="5"/>
  <c r="AG47" i="5"/>
  <c r="AH47" i="5"/>
  <c r="AI47" i="5"/>
  <c r="AA48" i="5"/>
  <c r="AB48" i="5"/>
  <c r="AC48" i="5"/>
  <c r="AD48" i="5"/>
  <c r="AE48" i="5"/>
  <c r="AF48" i="5"/>
  <c r="AG48" i="5"/>
  <c r="AH48" i="5"/>
  <c r="AI48" i="5"/>
  <c r="AA49" i="5"/>
  <c r="AB49" i="5"/>
  <c r="AC49" i="5"/>
  <c r="AD49" i="5"/>
  <c r="AE49" i="5"/>
  <c r="AF49" i="5"/>
  <c r="AG49" i="5"/>
  <c r="AH49" i="5"/>
  <c r="AI49" i="5"/>
  <c r="AA50" i="5"/>
  <c r="AB50" i="5"/>
  <c r="AC50" i="5"/>
  <c r="AD50" i="5"/>
  <c r="AE50" i="5"/>
  <c r="AF50" i="5"/>
  <c r="AG50" i="5"/>
  <c r="AH50" i="5"/>
  <c r="AI50" i="5"/>
  <c r="AA51" i="5"/>
  <c r="AB51" i="5"/>
  <c r="AC51" i="5"/>
  <c r="AD51" i="5"/>
  <c r="AE51" i="5"/>
  <c r="AF51" i="5"/>
  <c r="AG51" i="5"/>
  <c r="AH51" i="5"/>
  <c r="AI51" i="5"/>
  <c r="AA52" i="5"/>
  <c r="AB52" i="5"/>
  <c r="AC52" i="5"/>
  <c r="AD52" i="5"/>
  <c r="AE52" i="5"/>
  <c r="AF52" i="5"/>
  <c r="AG52" i="5"/>
  <c r="AH52" i="5"/>
  <c r="AI52" i="5"/>
  <c r="AA53" i="5"/>
  <c r="AB53" i="5"/>
  <c r="AC53" i="5"/>
  <c r="AD53" i="5"/>
  <c r="AE53" i="5"/>
  <c r="AF53" i="5"/>
  <c r="AG53" i="5"/>
  <c r="AH53" i="5"/>
  <c r="AI53" i="5"/>
  <c r="AA54" i="5"/>
  <c r="AB54" i="5"/>
  <c r="AC54" i="5"/>
  <c r="AD54" i="5"/>
  <c r="AE54" i="5"/>
  <c r="AF54" i="5"/>
  <c r="AG54" i="5"/>
  <c r="AH54" i="5"/>
  <c r="AI54" i="5"/>
  <c r="AA55" i="5"/>
  <c r="AB55" i="5"/>
  <c r="AC55" i="5"/>
  <c r="AD55" i="5"/>
  <c r="AE55" i="5"/>
  <c r="AF55" i="5"/>
  <c r="AG55" i="5"/>
  <c r="AH55" i="5"/>
  <c r="AI55" i="5"/>
  <c r="AA56" i="5"/>
  <c r="AB56" i="5"/>
  <c r="AC56" i="5"/>
  <c r="AD56" i="5"/>
  <c r="AE56" i="5"/>
  <c r="AF56" i="5"/>
  <c r="AG56" i="5"/>
  <c r="AH56" i="5"/>
  <c r="AI56" i="5"/>
  <c r="AA57" i="5"/>
  <c r="AB57" i="5"/>
  <c r="AC57" i="5"/>
  <c r="AD57" i="5"/>
  <c r="AE57" i="5"/>
  <c r="AF57" i="5"/>
  <c r="AG57" i="5"/>
  <c r="AH57" i="5"/>
  <c r="AI57" i="5"/>
  <c r="AA58" i="5"/>
  <c r="AB58" i="5"/>
  <c r="AC58" i="5"/>
  <c r="AD58" i="5"/>
  <c r="AE58" i="5"/>
  <c r="AF58" i="5"/>
  <c r="AG58" i="5"/>
  <c r="AH58" i="5"/>
  <c r="AI58" i="5"/>
  <c r="AA59" i="5"/>
  <c r="AB59" i="5"/>
  <c r="AC59" i="5"/>
  <c r="AD59" i="5"/>
  <c r="AE59" i="5"/>
  <c r="AF59" i="5"/>
  <c r="AG59" i="5"/>
  <c r="AH59" i="5"/>
  <c r="AI59" i="5"/>
  <c r="AA60" i="5"/>
  <c r="AB60" i="5"/>
  <c r="AC60" i="5"/>
  <c r="AD60" i="5"/>
  <c r="AE60" i="5"/>
  <c r="AF60" i="5"/>
  <c r="AG60" i="5"/>
  <c r="AH60" i="5"/>
  <c r="AI60" i="5"/>
  <c r="AA61" i="5"/>
  <c r="AB61" i="5"/>
  <c r="AC61" i="5"/>
  <c r="AD61" i="5"/>
  <c r="AE61" i="5"/>
  <c r="AF61" i="5"/>
  <c r="AG61" i="5"/>
  <c r="AH61" i="5"/>
  <c r="AI61" i="5"/>
  <c r="AA62" i="5"/>
  <c r="AB62" i="5"/>
  <c r="AC62" i="5"/>
  <c r="AD62" i="5"/>
  <c r="AE62" i="5"/>
  <c r="AF62" i="5"/>
  <c r="AG62" i="5"/>
  <c r="AH62" i="5"/>
  <c r="AI62" i="5"/>
  <c r="AA63" i="5"/>
  <c r="AB63" i="5"/>
  <c r="AC63" i="5"/>
  <c r="AD63" i="5"/>
  <c r="AE63" i="5"/>
  <c r="AF63" i="5"/>
  <c r="AG63" i="5"/>
  <c r="AH63" i="5"/>
  <c r="AI63" i="5"/>
  <c r="AA64" i="5"/>
  <c r="AB64" i="5"/>
  <c r="AC64" i="5"/>
  <c r="AD64" i="5"/>
  <c r="AE64" i="5"/>
  <c r="AF64" i="5"/>
  <c r="AG64" i="5"/>
  <c r="AH64" i="5"/>
  <c r="AI64" i="5"/>
  <c r="AA65" i="5"/>
  <c r="AB65" i="5"/>
  <c r="AC65" i="5"/>
  <c r="AD65" i="5"/>
  <c r="AE65" i="5"/>
  <c r="AF65" i="5"/>
  <c r="AG65" i="5"/>
  <c r="AH65" i="5"/>
  <c r="AI65" i="5"/>
  <c r="AA66" i="5"/>
  <c r="AB66" i="5"/>
  <c r="AC66" i="5"/>
  <c r="AD66" i="5"/>
  <c r="AE66" i="5"/>
  <c r="AF66" i="5"/>
  <c r="AG66" i="5"/>
  <c r="AH66" i="5"/>
  <c r="AI66" i="5"/>
  <c r="AA67" i="5"/>
  <c r="AB67" i="5"/>
  <c r="AC67" i="5"/>
  <c r="AD67" i="5"/>
  <c r="AE67" i="5"/>
  <c r="AF67" i="5"/>
  <c r="AG67" i="5"/>
  <c r="AH67" i="5"/>
  <c r="AI67" i="5"/>
  <c r="AA68" i="5"/>
  <c r="AB68" i="5"/>
  <c r="AC68" i="5"/>
  <c r="AD68" i="5"/>
  <c r="AE68" i="5"/>
  <c r="AF68" i="5"/>
  <c r="AG68" i="5"/>
  <c r="AH68" i="5"/>
  <c r="AI68" i="5"/>
  <c r="AA69" i="5"/>
  <c r="AB69" i="5"/>
  <c r="AC69" i="5"/>
  <c r="AD69" i="5"/>
  <c r="AE69" i="5"/>
  <c r="AF69" i="5"/>
  <c r="AG69" i="5"/>
  <c r="AH69" i="5"/>
  <c r="AI69" i="5"/>
  <c r="AA70" i="5"/>
  <c r="AB70" i="5"/>
  <c r="AC70" i="5"/>
  <c r="AD70" i="5"/>
  <c r="AE70" i="5"/>
  <c r="AF70" i="5"/>
  <c r="AG70" i="5"/>
  <c r="AH70" i="5"/>
  <c r="AI70" i="5"/>
  <c r="AA71" i="5"/>
  <c r="AB71" i="5"/>
  <c r="AC71" i="5"/>
  <c r="AD71" i="5"/>
  <c r="AE71" i="5"/>
  <c r="AF71" i="5"/>
  <c r="AG71" i="5"/>
  <c r="AH71" i="5"/>
  <c r="AI71" i="5"/>
  <c r="AA72" i="5"/>
  <c r="AB72" i="5"/>
  <c r="AC72" i="5"/>
  <c r="AD72" i="5"/>
  <c r="AE72" i="5"/>
  <c r="AF72" i="5"/>
  <c r="AG72" i="5"/>
  <c r="AH72" i="5"/>
  <c r="AI72" i="5"/>
  <c r="AA73" i="5"/>
  <c r="AB73" i="5"/>
  <c r="AC73" i="5"/>
  <c r="AD73" i="5"/>
  <c r="AE73" i="5"/>
  <c r="AF73" i="5"/>
  <c r="AG73" i="5"/>
  <c r="AH73" i="5"/>
  <c r="AI73" i="5"/>
  <c r="AA74" i="5"/>
  <c r="AB74" i="5"/>
  <c r="AC74" i="5"/>
  <c r="AD74" i="5"/>
  <c r="AE74" i="5"/>
  <c r="AF74" i="5"/>
  <c r="AG74" i="5"/>
  <c r="AH74" i="5"/>
  <c r="AI74" i="5"/>
  <c r="AA75" i="5"/>
  <c r="AB75" i="5"/>
  <c r="AC75" i="5"/>
  <c r="AD75" i="5"/>
  <c r="AE75" i="5"/>
  <c r="AF75" i="5"/>
  <c r="AG75" i="5"/>
  <c r="AH75" i="5"/>
  <c r="AI75" i="5"/>
  <c r="AA76" i="5"/>
  <c r="AB76" i="5"/>
  <c r="AC76" i="5"/>
  <c r="AD76" i="5"/>
  <c r="AE76" i="5"/>
  <c r="AF76" i="5"/>
  <c r="AG76" i="5"/>
  <c r="AH76" i="5"/>
  <c r="AI76" i="5"/>
  <c r="AA77" i="5"/>
  <c r="AB77" i="5"/>
  <c r="AC77" i="5"/>
  <c r="AD77" i="5"/>
  <c r="AE77" i="5"/>
  <c r="AF77" i="5"/>
  <c r="AG77" i="5"/>
  <c r="AH77" i="5"/>
  <c r="AI77" i="5"/>
  <c r="AA78" i="5"/>
  <c r="AB78" i="5"/>
  <c r="AC78" i="5"/>
  <c r="AD78" i="5"/>
  <c r="AE78" i="5"/>
  <c r="AF78" i="5"/>
  <c r="AG78" i="5"/>
  <c r="AH78" i="5"/>
  <c r="AI78" i="5"/>
  <c r="AA79" i="5"/>
  <c r="AB79" i="5"/>
  <c r="AC79" i="5"/>
  <c r="AD79" i="5"/>
  <c r="AE79" i="5"/>
  <c r="AF79" i="5"/>
  <c r="AG79" i="5"/>
  <c r="AH79" i="5"/>
  <c r="AI79" i="5"/>
  <c r="AA80" i="5"/>
  <c r="AB80" i="5"/>
  <c r="AC80" i="5"/>
  <c r="AD80" i="5"/>
  <c r="AE80" i="5"/>
  <c r="AF80" i="5"/>
  <c r="AG80" i="5"/>
  <c r="AH80" i="5"/>
  <c r="AI80" i="5"/>
  <c r="AA81" i="5"/>
  <c r="AB81" i="5"/>
  <c r="AC81" i="5"/>
  <c r="AD81" i="5"/>
  <c r="AE81" i="5"/>
  <c r="AF81" i="5"/>
  <c r="AG81" i="5"/>
  <c r="AH81" i="5"/>
  <c r="AI81" i="5"/>
  <c r="AA82" i="5"/>
  <c r="AB82" i="5"/>
  <c r="AC82" i="5"/>
  <c r="AD82" i="5"/>
  <c r="AE82" i="5"/>
  <c r="AF82" i="5"/>
  <c r="AG82" i="5"/>
  <c r="AH82" i="5"/>
  <c r="AI82" i="5"/>
  <c r="AA83" i="5"/>
  <c r="AB83" i="5"/>
  <c r="AC83" i="5"/>
  <c r="AD83" i="5"/>
  <c r="AE83" i="5"/>
  <c r="AF83" i="5"/>
  <c r="AG83" i="5"/>
  <c r="AH83" i="5"/>
  <c r="AI83" i="5"/>
  <c r="AA84" i="5"/>
  <c r="AB84" i="5"/>
  <c r="AC84" i="5"/>
  <c r="AD84" i="5"/>
  <c r="AE84" i="5"/>
  <c r="AF84" i="5"/>
  <c r="AG84" i="5"/>
  <c r="AH84" i="5"/>
  <c r="AI84" i="5"/>
  <c r="AA85" i="5"/>
  <c r="AB85" i="5"/>
  <c r="AC85" i="5"/>
  <c r="AD85" i="5"/>
  <c r="AE85" i="5"/>
  <c r="AF85" i="5"/>
  <c r="AG85" i="5"/>
  <c r="AH85" i="5"/>
  <c r="AI85" i="5"/>
  <c r="AA86" i="5"/>
  <c r="AB86" i="5"/>
  <c r="AC86" i="5"/>
  <c r="AD86" i="5"/>
  <c r="AE86" i="5"/>
  <c r="AF86" i="5"/>
  <c r="AG86" i="5"/>
  <c r="AH86" i="5"/>
  <c r="AI86" i="5"/>
  <c r="AA87" i="5"/>
  <c r="AB87" i="5"/>
  <c r="AC87" i="5"/>
  <c r="AD87" i="5"/>
  <c r="AE87" i="5"/>
  <c r="AF87" i="5"/>
  <c r="AG87" i="5"/>
  <c r="AH87" i="5"/>
  <c r="AI87" i="5"/>
  <c r="AA88" i="5"/>
  <c r="AB88" i="5"/>
  <c r="AC88" i="5"/>
  <c r="AD88" i="5"/>
  <c r="AE88" i="5"/>
  <c r="AF88" i="5"/>
  <c r="AG88" i="5"/>
  <c r="AH88" i="5"/>
  <c r="AI88" i="5"/>
  <c r="AA89" i="5"/>
  <c r="AB89" i="5"/>
  <c r="AC89" i="5"/>
  <c r="AD89" i="5"/>
  <c r="AE89" i="5"/>
  <c r="AF89" i="5"/>
  <c r="AG89" i="5"/>
  <c r="AH89" i="5"/>
  <c r="AI89" i="5"/>
  <c r="AA90" i="5"/>
  <c r="AB90" i="5"/>
  <c r="AC90" i="5"/>
  <c r="AD90" i="5"/>
  <c r="AE90" i="5"/>
  <c r="AF90" i="5"/>
  <c r="AG90" i="5"/>
  <c r="AH90" i="5"/>
  <c r="AI90" i="5"/>
  <c r="AA91" i="5"/>
  <c r="AB91" i="5"/>
  <c r="AC91" i="5"/>
  <c r="AD91" i="5"/>
  <c r="AE91" i="5"/>
  <c r="AF91" i="5"/>
  <c r="AG91" i="5"/>
  <c r="AH91" i="5"/>
  <c r="AI91" i="5"/>
  <c r="AA92" i="5"/>
  <c r="AB92" i="5"/>
  <c r="AC92" i="5"/>
  <c r="AD92" i="5"/>
  <c r="AE92" i="5"/>
  <c r="AF92" i="5"/>
  <c r="AG92" i="5"/>
  <c r="AH92" i="5"/>
  <c r="AI92" i="5"/>
  <c r="AA93" i="5"/>
  <c r="AB93" i="5"/>
  <c r="AC93" i="5"/>
  <c r="AD93" i="5"/>
  <c r="AE93" i="5"/>
  <c r="AF93" i="5"/>
  <c r="AG93" i="5"/>
  <c r="AH93" i="5"/>
  <c r="AI93" i="5"/>
  <c r="AA94" i="5"/>
  <c r="AB94" i="5"/>
  <c r="AC94" i="5"/>
  <c r="AD94" i="5"/>
  <c r="AE94" i="5"/>
  <c r="AF94" i="5"/>
  <c r="AG94" i="5"/>
  <c r="AH94" i="5"/>
  <c r="AI94" i="5"/>
  <c r="AA95" i="5"/>
  <c r="AB95" i="5"/>
  <c r="AC95" i="5"/>
  <c r="AD95" i="5"/>
  <c r="AE95" i="5"/>
  <c r="AF95" i="5"/>
  <c r="AG95" i="5"/>
  <c r="AH95" i="5"/>
  <c r="AI95" i="5"/>
  <c r="AA96" i="5"/>
  <c r="AB96" i="5"/>
  <c r="AC96" i="5"/>
  <c r="AD96" i="5"/>
  <c r="AE96" i="5"/>
  <c r="AF96" i="5"/>
  <c r="AG96" i="5"/>
  <c r="AH96" i="5"/>
  <c r="AI96" i="5"/>
  <c r="AA97" i="5"/>
  <c r="AB97" i="5"/>
  <c r="AC97" i="5"/>
  <c r="AD97" i="5"/>
  <c r="AE97" i="5"/>
  <c r="AF97" i="5"/>
  <c r="AG97" i="5"/>
  <c r="AH97" i="5"/>
  <c r="AI97" i="5"/>
  <c r="AA98" i="5"/>
  <c r="AB98" i="5"/>
  <c r="AC98" i="5"/>
  <c r="AD98" i="5"/>
  <c r="AE98" i="5"/>
  <c r="AF98" i="5"/>
  <c r="AG98" i="5"/>
  <c r="AH98" i="5"/>
  <c r="AI98" i="5"/>
  <c r="AA99" i="5"/>
  <c r="AB99" i="5"/>
  <c r="AC99" i="5"/>
  <c r="AD99" i="5"/>
  <c r="AE99" i="5"/>
  <c r="AF99" i="5"/>
  <c r="AG99" i="5"/>
  <c r="AH99" i="5"/>
  <c r="AI99" i="5"/>
  <c r="AA100" i="5"/>
  <c r="AB100" i="5"/>
  <c r="AC100" i="5"/>
  <c r="AD100" i="5"/>
  <c r="AE100" i="5"/>
  <c r="AF100" i="5"/>
  <c r="AG100" i="5"/>
  <c r="AH100" i="5"/>
  <c r="AI100" i="5"/>
  <c r="AA101" i="5"/>
  <c r="AB101" i="5"/>
  <c r="AC101" i="5"/>
  <c r="AD101" i="5"/>
  <c r="AE101" i="5"/>
  <c r="AF101" i="5"/>
  <c r="AG101" i="5"/>
  <c r="AH101" i="5"/>
  <c r="AI101" i="5"/>
  <c r="AA102" i="5"/>
  <c r="AB102" i="5"/>
  <c r="AC102" i="5"/>
  <c r="AD102" i="5"/>
  <c r="AE102" i="5"/>
  <c r="AF102" i="5"/>
  <c r="AG102" i="5"/>
  <c r="AH102" i="5"/>
  <c r="AI102" i="5"/>
  <c r="AA103" i="5"/>
  <c r="AB103" i="5"/>
  <c r="AC103" i="5"/>
  <c r="AD103" i="5"/>
  <c r="AE103" i="5"/>
  <c r="AF103" i="5"/>
  <c r="AG103" i="5"/>
  <c r="AH103" i="5"/>
  <c r="AI103" i="5"/>
  <c r="AA104" i="5"/>
  <c r="AB104" i="5"/>
  <c r="AC104" i="5"/>
  <c r="AD104" i="5"/>
  <c r="AE104" i="5"/>
  <c r="AF104" i="5"/>
  <c r="AG104" i="5"/>
  <c r="AH104" i="5"/>
  <c r="AI104" i="5"/>
  <c r="AA105" i="5"/>
  <c r="AB105" i="5"/>
  <c r="AC105" i="5"/>
  <c r="AD105" i="5"/>
  <c r="AE105" i="5"/>
  <c r="AF105" i="5"/>
  <c r="AG105" i="5"/>
  <c r="AH105" i="5"/>
  <c r="AI105" i="5"/>
  <c r="AA106" i="5"/>
  <c r="AB106" i="5"/>
  <c r="AC106" i="5"/>
  <c r="AD106" i="5"/>
  <c r="AE106" i="5"/>
  <c r="AF106" i="5"/>
  <c r="AG106" i="5"/>
  <c r="AH106" i="5"/>
  <c r="AI106" i="5"/>
  <c r="AA107" i="5"/>
  <c r="AB107" i="5"/>
  <c r="AC107" i="5"/>
  <c r="AD107" i="5"/>
  <c r="AE107" i="5"/>
  <c r="AF107" i="5"/>
  <c r="AG107" i="5"/>
  <c r="AH107" i="5"/>
  <c r="AI107" i="5"/>
  <c r="AA108" i="5"/>
  <c r="AB108" i="5"/>
  <c r="AC108" i="5"/>
  <c r="AD108" i="5"/>
  <c r="AE108" i="5"/>
  <c r="AF108" i="5"/>
  <c r="AG108" i="5"/>
  <c r="AH108" i="5"/>
  <c r="AI108" i="5"/>
  <c r="AA109" i="5"/>
  <c r="AB109" i="5"/>
  <c r="AC109" i="5"/>
  <c r="AD109" i="5"/>
  <c r="AE109" i="5"/>
  <c r="AF109" i="5"/>
  <c r="AG109" i="5"/>
  <c r="AH109" i="5"/>
  <c r="AI109" i="5"/>
  <c r="AA110" i="5"/>
  <c r="AB110" i="5"/>
  <c r="AC110" i="5"/>
  <c r="AD110" i="5"/>
  <c r="AE110" i="5"/>
  <c r="AF110" i="5"/>
  <c r="AG110" i="5"/>
  <c r="AH110" i="5"/>
  <c r="AI110" i="5"/>
  <c r="AA111" i="5"/>
  <c r="AB111" i="5"/>
  <c r="AC111" i="5"/>
  <c r="AD111" i="5"/>
  <c r="AE111" i="5"/>
  <c r="AF111" i="5"/>
  <c r="AG111" i="5"/>
  <c r="AH111" i="5"/>
  <c r="AI111" i="5"/>
  <c r="AA112" i="5"/>
  <c r="AB112" i="5"/>
  <c r="AC112" i="5"/>
  <c r="AD112" i="5"/>
  <c r="AE112" i="5"/>
  <c r="AF112" i="5"/>
  <c r="AG112" i="5"/>
  <c r="AH112" i="5"/>
  <c r="AI112" i="5"/>
  <c r="AA113" i="5"/>
  <c r="AB113" i="5"/>
  <c r="AC113" i="5"/>
  <c r="AD113" i="5"/>
  <c r="AE113" i="5"/>
  <c r="AF113" i="5"/>
  <c r="AG113" i="5"/>
  <c r="AH113" i="5"/>
  <c r="AI113" i="5"/>
  <c r="AA114" i="5"/>
  <c r="AB114" i="5"/>
  <c r="AC114" i="5"/>
  <c r="AD114" i="5"/>
  <c r="AE114" i="5"/>
  <c r="AF114" i="5"/>
  <c r="AG114" i="5"/>
  <c r="AH114" i="5"/>
  <c r="AI114" i="5"/>
  <c r="AA115" i="5"/>
  <c r="AB115" i="5"/>
  <c r="AC115" i="5"/>
  <c r="AD115" i="5"/>
  <c r="AE115" i="5"/>
  <c r="AF115" i="5"/>
  <c r="AG115" i="5"/>
  <c r="AH115" i="5"/>
  <c r="AI115" i="5"/>
  <c r="AA116" i="5"/>
  <c r="AB116" i="5"/>
  <c r="AC116" i="5"/>
  <c r="AD116" i="5"/>
  <c r="AE116" i="5"/>
  <c r="AF116" i="5"/>
  <c r="AG116" i="5"/>
  <c r="AH116" i="5"/>
  <c r="AI116" i="5"/>
  <c r="AA117" i="5"/>
  <c r="AB117" i="5"/>
  <c r="AC117" i="5"/>
  <c r="AD117" i="5"/>
  <c r="AE117" i="5"/>
  <c r="AF117" i="5"/>
  <c r="AG117" i="5"/>
  <c r="AH117" i="5"/>
  <c r="AI117" i="5"/>
  <c r="AA118" i="5"/>
  <c r="AB118" i="5"/>
  <c r="AC118" i="5"/>
  <c r="AD118" i="5"/>
  <c r="AE118" i="5"/>
  <c r="AF118" i="5"/>
  <c r="AG118" i="5"/>
  <c r="AH118" i="5"/>
  <c r="AI118" i="5"/>
  <c r="AA119" i="5"/>
  <c r="AB119" i="5"/>
  <c r="AC119" i="5"/>
  <c r="AD119" i="5"/>
  <c r="AE119" i="5"/>
  <c r="AF119" i="5"/>
  <c r="AG119" i="5"/>
  <c r="AH119" i="5"/>
  <c r="AI119" i="5"/>
  <c r="AA120" i="5"/>
  <c r="AB120" i="5"/>
  <c r="AC120" i="5"/>
  <c r="AD120" i="5"/>
  <c r="AE120" i="5"/>
  <c r="AF120" i="5"/>
  <c r="AG120" i="5"/>
  <c r="AH120" i="5"/>
  <c r="AI120" i="5"/>
  <c r="AA121" i="5"/>
  <c r="AB121" i="5"/>
  <c r="AC121" i="5"/>
  <c r="AD121" i="5"/>
  <c r="AE121" i="5"/>
  <c r="AF121" i="5"/>
  <c r="AG121" i="5"/>
  <c r="AH121" i="5"/>
  <c r="AI121" i="5"/>
  <c r="AA122" i="5"/>
  <c r="AB122" i="5"/>
  <c r="AC122" i="5"/>
  <c r="AD122" i="5"/>
  <c r="AE122" i="5"/>
  <c r="AF122" i="5"/>
  <c r="AG122" i="5"/>
  <c r="AH122" i="5"/>
  <c r="AI122" i="5"/>
  <c r="AA123" i="5"/>
  <c r="AB123" i="5"/>
  <c r="AC123" i="5"/>
  <c r="AD123" i="5"/>
  <c r="AE123" i="5"/>
  <c r="AF123" i="5"/>
  <c r="AG123" i="5"/>
  <c r="AH123" i="5"/>
  <c r="AI123" i="5"/>
  <c r="AA124" i="5"/>
  <c r="AB124" i="5"/>
  <c r="AC124" i="5"/>
  <c r="AD124" i="5"/>
  <c r="AE124" i="5"/>
  <c r="AF124" i="5"/>
  <c r="AG124" i="5"/>
  <c r="AH124" i="5"/>
  <c r="AI124" i="5"/>
  <c r="AA125" i="5"/>
  <c r="AB125" i="5"/>
  <c r="AC125" i="5"/>
  <c r="AD125" i="5"/>
  <c r="AE125" i="5"/>
  <c r="AF125" i="5"/>
  <c r="AG125" i="5"/>
  <c r="AH125" i="5"/>
  <c r="AI125" i="5"/>
  <c r="AA126" i="5"/>
  <c r="AB126" i="5"/>
  <c r="AC126" i="5"/>
  <c r="AD126" i="5"/>
  <c r="AE126" i="5"/>
  <c r="AF126" i="5"/>
  <c r="AG126" i="5"/>
  <c r="AH126" i="5"/>
  <c r="AI126" i="5"/>
  <c r="AI5" i="5" l="1"/>
  <c r="AH5" i="5"/>
  <c r="AG5" i="5"/>
  <c r="AF5" i="5"/>
  <c r="AE5" i="5"/>
  <c r="AD5" i="5"/>
  <c r="AC5" i="5"/>
  <c r="AB5" i="5"/>
  <c r="AA5" i="5"/>
  <c r="AI4" i="5"/>
  <c r="AH4" i="5"/>
  <c r="AG4" i="5"/>
  <c r="AF4" i="5"/>
  <c r="AE4" i="5"/>
  <c r="AD4" i="5"/>
  <c r="AC4" i="5"/>
  <c r="AB4" i="5"/>
  <c r="AA4" i="5"/>
  <c r="AA4" i="1"/>
  <c r="AB4" i="1"/>
  <c r="AC4" i="1"/>
  <c r="AD4" i="1"/>
  <c r="AE4" i="1"/>
  <c r="AF4" i="1"/>
  <c r="AG4" i="1"/>
  <c r="AH4" i="1"/>
  <c r="AI4" i="1"/>
  <c r="AB92" i="2" l="1"/>
  <c r="AA92" i="2"/>
  <c r="Z92" i="2"/>
  <c r="Y92" i="2"/>
  <c r="X92" i="2"/>
  <c r="W92" i="2"/>
  <c r="V92" i="2"/>
  <c r="AB91" i="2"/>
  <c r="AA91" i="2"/>
  <c r="Z91" i="2"/>
  <c r="Y91" i="2"/>
  <c r="X91" i="2"/>
  <c r="W91" i="2"/>
  <c r="V91" i="2"/>
  <c r="AB90" i="2"/>
  <c r="AA90" i="2"/>
  <c r="Z90" i="2"/>
  <c r="Y90" i="2"/>
  <c r="X90" i="2"/>
  <c r="W90" i="2"/>
  <c r="V90" i="2"/>
  <c r="AB89" i="2"/>
  <c r="AA89" i="2"/>
  <c r="Z89" i="2"/>
  <c r="Y89" i="2"/>
  <c r="X89" i="2"/>
  <c r="W89" i="2"/>
  <c r="V89" i="2"/>
  <c r="AB88" i="2"/>
  <c r="AA88" i="2"/>
  <c r="Z88" i="2"/>
  <c r="Y88" i="2"/>
  <c r="X88" i="2"/>
  <c r="W88" i="2"/>
  <c r="V88" i="2"/>
  <c r="AB87" i="2"/>
  <c r="AA87" i="2"/>
  <c r="Z87" i="2"/>
  <c r="Y87" i="2"/>
  <c r="X87" i="2"/>
  <c r="W87" i="2"/>
  <c r="V87" i="2"/>
  <c r="AB86" i="2"/>
  <c r="AA86" i="2"/>
  <c r="Z86" i="2"/>
  <c r="Y86" i="2"/>
  <c r="X86" i="2"/>
  <c r="W86" i="2"/>
  <c r="V86" i="2"/>
  <c r="AB85" i="2"/>
  <c r="AA85" i="2"/>
  <c r="Z85" i="2"/>
  <c r="Y85" i="2"/>
  <c r="X85" i="2"/>
  <c r="W85" i="2"/>
  <c r="V85" i="2"/>
  <c r="AB84" i="2"/>
  <c r="AA84" i="2"/>
  <c r="Z84" i="2"/>
  <c r="Y84" i="2"/>
  <c r="X84" i="2"/>
  <c r="W84" i="2"/>
  <c r="V84" i="2"/>
  <c r="AB83" i="2"/>
  <c r="AA83" i="2"/>
  <c r="Z83" i="2"/>
  <c r="Y83" i="2"/>
  <c r="X83" i="2"/>
  <c r="W83" i="2"/>
  <c r="V83" i="2"/>
  <c r="AB82" i="2"/>
  <c r="AA82" i="2"/>
  <c r="Z82" i="2"/>
  <c r="Y82" i="2"/>
  <c r="X82" i="2"/>
  <c r="W82" i="2"/>
  <c r="V82" i="2"/>
  <c r="AB81" i="2"/>
  <c r="AA81" i="2"/>
  <c r="Z81" i="2"/>
  <c r="Y81" i="2"/>
  <c r="X81" i="2"/>
  <c r="W81" i="2"/>
  <c r="V81" i="2"/>
  <c r="AB80" i="2"/>
  <c r="AA80" i="2"/>
  <c r="Z80" i="2"/>
  <c r="Y80" i="2"/>
  <c r="X80" i="2"/>
  <c r="W80" i="2"/>
  <c r="V80" i="2"/>
  <c r="AB79" i="2"/>
  <c r="AA79" i="2"/>
  <c r="Z79" i="2"/>
  <c r="Y79" i="2"/>
  <c r="X79" i="2"/>
  <c r="W79" i="2"/>
  <c r="V79" i="2"/>
  <c r="AB78" i="2"/>
  <c r="AA78" i="2"/>
  <c r="Z78" i="2"/>
  <c r="Y78" i="2"/>
  <c r="X78" i="2"/>
  <c r="W78" i="2"/>
  <c r="V78" i="2"/>
  <c r="AB77" i="2"/>
  <c r="AA77" i="2"/>
  <c r="Z77" i="2"/>
  <c r="Y77" i="2"/>
  <c r="X77" i="2"/>
  <c r="W77" i="2"/>
  <c r="V77" i="2"/>
  <c r="AB76" i="2"/>
  <c r="AA76" i="2"/>
  <c r="Z76" i="2"/>
  <c r="Y76" i="2"/>
  <c r="X76" i="2"/>
  <c r="W76" i="2"/>
  <c r="V76" i="2"/>
  <c r="AB75" i="2"/>
  <c r="AA75" i="2"/>
  <c r="Z75" i="2"/>
  <c r="Y75" i="2"/>
  <c r="X75" i="2"/>
  <c r="W75" i="2"/>
  <c r="V75" i="2"/>
  <c r="AB74" i="2"/>
  <c r="AA74" i="2"/>
  <c r="Z74" i="2"/>
  <c r="Y74" i="2"/>
  <c r="X74" i="2"/>
  <c r="W74" i="2"/>
  <c r="V74" i="2"/>
  <c r="AB73" i="2"/>
  <c r="AA73" i="2"/>
  <c r="Z73" i="2"/>
  <c r="Y73" i="2"/>
  <c r="X73" i="2"/>
  <c r="W73" i="2"/>
  <c r="V73" i="2"/>
  <c r="AB72" i="2"/>
  <c r="AA72" i="2"/>
  <c r="Z72" i="2"/>
  <c r="Y72" i="2"/>
  <c r="X72" i="2"/>
  <c r="W72" i="2"/>
  <c r="V72" i="2"/>
  <c r="AB71" i="2"/>
  <c r="AA71" i="2"/>
  <c r="Z71" i="2"/>
  <c r="Y71" i="2"/>
  <c r="X71" i="2"/>
  <c r="W71" i="2"/>
  <c r="V71" i="2"/>
  <c r="AB70" i="2"/>
  <c r="AA70" i="2"/>
  <c r="Z70" i="2"/>
  <c r="Y70" i="2"/>
  <c r="X70" i="2"/>
  <c r="W70" i="2"/>
  <c r="V70" i="2"/>
  <c r="AB69" i="2"/>
  <c r="AA69" i="2"/>
  <c r="Z69" i="2"/>
  <c r="Y69" i="2"/>
  <c r="X69" i="2"/>
  <c r="W69" i="2"/>
  <c r="V69" i="2"/>
  <c r="AB68" i="2"/>
  <c r="AA68" i="2"/>
  <c r="Z68" i="2"/>
  <c r="Y68" i="2"/>
  <c r="X68" i="2"/>
  <c r="W68" i="2"/>
  <c r="V68" i="2"/>
  <c r="AB67" i="2"/>
  <c r="AA67" i="2"/>
  <c r="Z67" i="2"/>
  <c r="Y67" i="2"/>
  <c r="X67" i="2"/>
  <c r="W67" i="2"/>
  <c r="V67" i="2"/>
  <c r="AB66" i="2"/>
  <c r="AA66" i="2"/>
  <c r="Z66" i="2"/>
  <c r="Y66" i="2"/>
  <c r="X66" i="2"/>
  <c r="W66" i="2"/>
  <c r="V66" i="2"/>
  <c r="AB65" i="2"/>
  <c r="AA65" i="2"/>
  <c r="Z65" i="2"/>
  <c r="Y65" i="2"/>
  <c r="X65" i="2"/>
  <c r="W65" i="2"/>
  <c r="V65" i="2"/>
  <c r="AB64" i="2"/>
  <c r="AA64" i="2"/>
  <c r="Z64" i="2"/>
  <c r="Y64" i="2"/>
  <c r="X64" i="2"/>
  <c r="W64" i="2"/>
  <c r="V64" i="2"/>
  <c r="AB63" i="2"/>
  <c r="AA63" i="2"/>
  <c r="Z63" i="2"/>
  <c r="Y63" i="2"/>
  <c r="X63" i="2"/>
  <c r="W63" i="2"/>
  <c r="V63" i="2"/>
  <c r="AB62" i="2"/>
  <c r="AA62" i="2"/>
  <c r="Z62" i="2"/>
  <c r="Y62" i="2"/>
  <c r="X62" i="2"/>
  <c r="W62" i="2"/>
  <c r="V62" i="2"/>
  <c r="AB61" i="2"/>
  <c r="AA61" i="2"/>
  <c r="Z61" i="2"/>
  <c r="Y61" i="2"/>
  <c r="X61" i="2"/>
  <c r="W61" i="2"/>
  <c r="V61" i="2"/>
  <c r="AB60" i="2"/>
  <c r="AA60" i="2"/>
  <c r="Z60" i="2"/>
  <c r="Y60" i="2"/>
  <c r="X60" i="2"/>
  <c r="W60" i="2"/>
  <c r="V60" i="2"/>
  <c r="AB59" i="2"/>
  <c r="AA59" i="2"/>
  <c r="Z59" i="2"/>
  <c r="Y59" i="2"/>
  <c r="X59" i="2"/>
  <c r="W59" i="2"/>
  <c r="V59" i="2"/>
  <c r="AB58" i="2"/>
  <c r="AA58" i="2"/>
  <c r="Z58" i="2"/>
  <c r="Y58" i="2"/>
  <c r="X58" i="2"/>
  <c r="W58" i="2"/>
  <c r="V58" i="2"/>
  <c r="AB57" i="2"/>
  <c r="AA57" i="2"/>
  <c r="Z57" i="2"/>
  <c r="Y57" i="2"/>
  <c r="X57" i="2"/>
  <c r="W57" i="2"/>
  <c r="V57" i="2"/>
  <c r="AB56" i="2"/>
  <c r="AA56" i="2"/>
  <c r="Z56" i="2"/>
  <c r="Y56" i="2"/>
  <c r="X56" i="2"/>
  <c r="W56" i="2"/>
  <c r="V56" i="2"/>
  <c r="AB55" i="2"/>
  <c r="AA55" i="2"/>
  <c r="Z55" i="2"/>
  <c r="Y55" i="2"/>
  <c r="X55" i="2"/>
  <c r="W55" i="2"/>
  <c r="V55" i="2"/>
  <c r="AB54" i="2"/>
  <c r="AA54" i="2"/>
  <c r="Z54" i="2"/>
  <c r="Y54" i="2"/>
  <c r="X54" i="2"/>
  <c r="W54" i="2"/>
  <c r="V54" i="2"/>
  <c r="AB53" i="2"/>
  <c r="AA53" i="2"/>
  <c r="Z53" i="2"/>
  <c r="Y53" i="2"/>
  <c r="X53" i="2"/>
  <c r="W53" i="2"/>
  <c r="V53" i="2"/>
  <c r="AB52" i="2"/>
  <c r="AA52" i="2"/>
  <c r="Z52" i="2"/>
  <c r="Y52" i="2"/>
  <c r="X52" i="2"/>
  <c r="W52" i="2"/>
  <c r="V52" i="2"/>
  <c r="AB51" i="2"/>
  <c r="AA51" i="2"/>
  <c r="Z51" i="2"/>
  <c r="Y51" i="2"/>
  <c r="X51" i="2"/>
  <c r="W51" i="2"/>
  <c r="V51" i="2"/>
  <c r="AB50" i="2"/>
  <c r="AA50" i="2"/>
  <c r="Z50" i="2"/>
  <c r="Y50" i="2"/>
  <c r="X50" i="2"/>
  <c r="W50" i="2"/>
  <c r="V50" i="2"/>
  <c r="AB49" i="2"/>
  <c r="AA49" i="2"/>
  <c r="Z49" i="2"/>
  <c r="Y49" i="2"/>
  <c r="X49" i="2"/>
  <c r="W49" i="2"/>
  <c r="V49" i="2"/>
  <c r="AB48" i="2"/>
  <c r="AA48" i="2"/>
  <c r="Z48" i="2"/>
  <c r="Y48" i="2"/>
  <c r="X48" i="2"/>
  <c r="W48" i="2"/>
  <c r="V48" i="2"/>
  <c r="AB47" i="2"/>
  <c r="AA47" i="2"/>
  <c r="Z47" i="2"/>
  <c r="Y47" i="2"/>
  <c r="X47" i="2"/>
  <c r="W47" i="2"/>
  <c r="V47" i="2"/>
  <c r="AB46" i="2"/>
  <c r="AA46" i="2"/>
  <c r="Z46" i="2"/>
  <c r="Y46" i="2"/>
  <c r="X46" i="2"/>
  <c r="W46" i="2"/>
  <c r="V46" i="2"/>
  <c r="AB45" i="2"/>
  <c r="AA45" i="2"/>
  <c r="Z45" i="2"/>
  <c r="Y45" i="2"/>
  <c r="X45" i="2"/>
  <c r="W45" i="2"/>
  <c r="V45" i="2"/>
  <c r="AB44" i="2"/>
  <c r="AA44" i="2"/>
  <c r="Z44" i="2"/>
  <c r="Y44" i="2"/>
  <c r="X44" i="2"/>
  <c r="W44" i="2"/>
  <c r="V44" i="2"/>
  <c r="AB43" i="2"/>
  <c r="AA43" i="2"/>
  <c r="Z43" i="2"/>
  <c r="Y43" i="2"/>
  <c r="X43" i="2"/>
  <c r="W43" i="2"/>
  <c r="V43" i="2"/>
  <c r="AB42" i="2"/>
  <c r="AA42" i="2"/>
  <c r="Z42" i="2"/>
  <c r="Y42" i="2"/>
  <c r="X42" i="2"/>
  <c r="W42" i="2"/>
  <c r="V42" i="2"/>
  <c r="AB41" i="2"/>
  <c r="AA41" i="2"/>
  <c r="Z41" i="2"/>
  <c r="Y41" i="2"/>
  <c r="X41" i="2"/>
  <c r="W41" i="2"/>
  <c r="V41" i="2"/>
  <c r="AB40" i="2"/>
  <c r="AA40" i="2"/>
  <c r="Z40" i="2"/>
  <c r="Y40" i="2"/>
  <c r="X40" i="2"/>
  <c r="W40" i="2"/>
  <c r="V40" i="2"/>
  <c r="AB39" i="2"/>
  <c r="AA39" i="2"/>
  <c r="Z39" i="2"/>
  <c r="Y39" i="2"/>
  <c r="X39" i="2"/>
  <c r="W39" i="2"/>
  <c r="V39" i="2"/>
  <c r="AB38" i="2"/>
  <c r="AA38" i="2"/>
  <c r="Z38" i="2"/>
  <c r="Y38" i="2"/>
  <c r="X38" i="2"/>
  <c r="W38" i="2"/>
  <c r="V38" i="2"/>
  <c r="AB37" i="2"/>
  <c r="AA37" i="2"/>
  <c r="Z37" i="2"/>
  <c r="Y37" i="2"/>
  <c r="X37" i="2"/>
  <c r="W37" i="2"/>
  <c r="V37" i="2"/>
  <c r="AB36" i="2"/>
  <c r="AA36" i="2"/>
  <c r="Z36" i="2"/>
  <c r="Y36" i="2"/>
  <c r="X36" i="2"/>
  <c r="W36" i="2"/>
  <c r="V36" i="2"/>
  <c r="AB35" i="2"/>
  <c r="AA35" i="2"/>
  <c r="Z35" i="2"/>
  <c r="Y35" i="2"/>
  <c r="X35" i="2"/>
  <c r="W35" i="2"/>
  <c r="V35" i="2"/>
  <c r="AB34" i="2"/>
  <c r="AA34" i="2"/>
  <c r="Z34" i="2"/>
  <c r="Y34" i="2"/>
  <c r="X34" i="2"/>
  <c r="W34" i="2"/>
  <c r="V34" i="2"/>
  <c r="AB33" i="2"/>
  <c r="AA33" i="2"/>
  <c r="Z33" i="2"/>
  <c r="Y33" i="2"/>
  <c r="X33" i="2"/>
  <c r="W33" i="2"/>
  <c r="V33" i="2"/>
  <c r="AB32" i="2"/>
  <c r="AA32" i="2"/>
  <c r="Z32" i="2"/>
  <c r="Y32" i="2"/>
  <c r="X32" i="2"/>
  <c r="W32" i="2"/>
  <c r="V32" i="2"/>
  <c r="AB31" i="2"/>
  <c r="AA31" i="2"/>
  <c r="Z31" i="2"/>
  <c r="Y31" i="2"/>
  <c r="X31" i="2"/>
  <c r="W31" i="2"/>
  <c r="V31" i="2"/>
  <c r="AB30" i="2"/>
  <c r="AA30" i="2"/>
  <c r="Z30" i="2"/>
  <c r="Y30" i="2"/>
  <c r="X30" i="2"/>
  <c r="W30" i="2"/>
  <c r="V30" i="2"/>
  <c r="AB29" i="2"/>
  <c r="AA29" i="2"/>
  <c r="Z29" i="2"/>
  <c r="Y29" i="2"/>
  <c r="X29" i="2"/>
  <c r="W29" i="2"/>
  <c r="V29" i="2"/>
  <c r="AB28" i="2"/>
  <c r="AA28" i="2"/>
  <c r="Z28" i="2"/>
  <c r="Y28" i="2"/>
  <c r="X28" i="2"/>
  <c r="W28" i="2"/>
  <c r="V28" i="2"/>
  <c r="AB27" i="2"/>
  <c r="AA27" i="2"/>
  <c r="Z27" i="2"/>
  <c r="Y27" i="2"/>
  <c r="X27" i="2"/>
  <c r="W27" i="2"/>
  <c r="V27" i="2"/>
  <c r="AB26" i="2"/>
  <c r="AA26" i="2"/>
  <c r="Z26" i="2"/>
  <c r="Y26" i="2"/>
  <c r="X26" i="2"/>
  <c r="W26" i="2"/>
  <c r="V26" i="2"/>
  <c r="AB25" i="2"/>
  <c r="AA25" i="2"/>
  <c r="Z25" i="2"/>
  <c r="Y25" i="2"/>
  <c r="X25" i="2"/>
  <c r="W25" i="2"/>
  <c r="V25" i="2"/>
  <c r="AB24" i="2"/>
  <c r="AA24" i="2"/>
  <c r="Z24" i="2"/>
  <c r="Y24" i="2"/>
  <c r="X24" i="2"/>
  <c r="W24" i="2"/>
  <c r="V24" i="2"/>
  <c r="AB23" i="2"/>
  <c r="AA23" i="2"/>
  <c r="Z23" i="2"/>
  <c r="Y23" i="2"/>
  <c r="X23" i="2"/>
  <c r="W23" i="2"/>
  <c r="V23" i="2"/>
  <c r="AB22" i="2"/>
  <c r="AA22" i="2"/>
  <c r="Z22" i="2"/>
  <c r="Y22" i="2"/>
  <c r="X22" i="2"/>
  <c r="W22" i="2"/>
  <c r="V22" i="2"/>
  <c r="AB21" i="2"/>
  <c r="AA21" i="2"/>
  <c r="Z21" i="2"/>
  <c r="Y21" i="2"/>
  <c r="X21" i="2"/>
  <c r="W21" i="2"/>
  <c r="V21" i="2"/>
  <c r="AB20" i="2"/>
  <c r="AA20" i="2"/>
  <c r="Z20" i="2"/>
  <c r="Y20" i="2"/>
  <c r="X20" i="2"/>
  <c r="W20" i="2"/>
  <c r="V20" i="2"/>
  <c r="AB19" i="2"/>
  <c r="AA19" i="2"/>
  <c r="Z19" i="2"/>
  <c r="Y19" i="2"/>
  <c r="X19" i="2"/>
  <c r="W19" i="2"/>
  <c r="V19" i="2"/>
  <c r="AB18" i="2"/>
  <c r="AA18" i="2"/>
  <c r="Z18" i="2"/>
  <c r="Y18" i="2"/>
  <c r="X18" i="2"/>
  <c r="W18" i="2"/>
  <c r="V18" i="2"/>
  <c r="AB17" i="2"/>
  <c r="AA17" i="2"/>
  <c r="Z17" i="2"/>
  <c r="Y17" i="2"/>
  <c r="X17" i="2"/>
  <c r="W17" i="2"/>
  <c r="V17" i="2"/>
  <c r="AB16" i="2"/>
  <c r="AA16" i="2"/>
  <c r="Z16" i="2"/>
  <c r="Y16" i="2"/>
  <c r="X16" i="2"/>
  <c r="W16" i="2"/>
  <c r="V16" i="2"/>
  <c r="AB15" i="2"/>
  <c r="AA15" i="2"/>
  <c r="Z15" i="2"/>
  <c r="Y15" i="2"/>
  <c r="X15" i="2"/>
  <c r="W15" i="2"/>
  <c r="V15" i="2"/>
  <c r="AB14" i="2"/>
  <c r="AA14" i="2"/>
  <c r="Z14" i="2"/>
  <c r="Y14" i="2"/>
  <c r="X14" i="2"/>
  <c r="W14" i="2"/>
  <c r="V14" i="2"/>
  <c r="AB13" i="2"/>
  <c r="AA13" i="2"/>
  <c r="Z13" i="2"/>
  <c r="Y13" i="2"/>
  <c r="X13" i="2"/>
  <c r="W13" i="2"/>
  <c r="V13" i="2"/>
  <c r="AB12" i="2"/>
  <c r="AA12" i="2"/>
  <c r="Z12" i="2"/>
  <c r="Y12" i="2"/>
  <c r="X12" i="2"/>
  <c r="W12" i="2"/>
  <c r="V12" i="2"/>
  <c r="AB11" i="2"/>
  <c r="AA11" i="2"/>
  <c r="Z11" i="2"/>
  <c r="Y11" i="2"/>
  <c r="X11" i="2"/>
  <c r="W11" i="2"/>
  <c r="V11" i="2"/>
  <c r="AB10" i="2"/>
  <c r="AA10" i="2"/>
  <c r="Z10" i="2"/>
  <c r="Y10" i="2"/>
  <c r="X10" i="2"/>
  <c r="W10" i="2"/>
  <c r="V10" i="2"/>
  <c r="AB9" i="2"/>
  <c r="AA9" i="2"/>
  <c r="Z9" i="2"/>
  <c r="Y9" i="2"/>
  <c r="X9" i="2"/>
  <c r="W9" i="2"/>
  <c r="V9" i="2"/>
  <c r="AB8" i="2"/>
  <c r="AA8" i="2"/>
  <c r="Z8" i="2"/>
  <c r="Y8" i="2"/>
  <c r="X8" i="2"/>
  <c r="W8" i="2"/>
  <c r="V8" i="2"/>
  <c r="AB7" i="2"/>
  <c r="AA7" i="2"/>
  <c r="Z7" i="2"/>
  <c r="Y7" i="2"/>
  <c r="X7" i="2"/>
  <c r="W7" i="2"/>
  <c r="V7" i="2"/>
  <c r="AB6" i="2"/>
  <c r="AA6" i="2"/>
  <c r="Z6" i="2"/>
  <c r="Y6" i="2"/>
  <c r="X6" i="2"/>
  <c r="W6" i="2"/>
  <c r="V6" i="2"/>
  <c r="AB5" i="2"/>
  <c r="AA5" i="2"/>
  <c r="Z5" i="2"/>
  <c r="Y5" i="2"/>
  <c r="X5" i="2"/>
  <c r="W5" i="2"/>
  <c r="V5" i="2"/>
  <c r="AB4" i="2"/>
  <c r="AA4" i="2"/>
  <c r="Z4" i="2"/>
  <c r="Y4" i="2"/>
  <c r="X4" i="2"/>
  <c r="W4" i="2"/>
  <c r="V4" i="2"/>
  <c r="Z34" i="4"/>
  <c r="Y34" i="4"/>
  <c r="X34" i="4"/>
  <c r="W34" i="4"/>
  <c r="V34" i="4"/>
  <c r="U34" i="4"/>
  <c r="T34" i="4"/>
  <c r="Z33" i="4"/>
  <c r="Y33" i="4"/>
  <c r="X33" i="4"/>
  <c r="W33" i="4"/>
  <c r="V33" i="4"/>
  <c r="U33" i="4"/>
  <c r="T33" i="4"/>
  <c r="Z32" i="4"/>
  <c r="Y32" i="4"/>
  <c r="X32" i="4"/>
  <c r="W32" i="4"/>
  <c r="V32" i="4"/>
  <c r="U32" i="4"/>
  <c r="T32" i="4"/>
  <c r="Z31" i="4"/>
  <c r="Y31" i="4"/>
  <c r="X31" i="4"/>
  <c r="W31" i="4"/>
  <c r="V31" i="4"/>
  <c r="U31" i="4"/>
  <c r="T31" i="4"/>
  <c r="Z30" i="4"/>
  <c r="Y30" i="4"/>
  <c r="X30" i="4"/>
  <c r="W30" i="4"/>
  <c r="V30" i="4"/>
  <c r="U30" i="4"/>
  <c r="T30" i="4"/>
  <c r="Z29" i="4"/>
  <c r="Y29" i="4"/>
  <c r="X29" i="4"/>
  <c r="W29" i="4"/>
  <c r="V29" i="4"/>
  <c r="U29" i="4"/>
  <c r="T29" i="4"/>
  <c r="Z28" i="4"/>
  <c r="Y28" i="4"/>
  <c r="X28" i="4"/>
  <c r="W28" i="4"/>
  <c r="V28" i="4"/>
  <c r="U28" i="4"/>
  <c r="T28" i="4"/>
  <c r="Z27" i="4"/>
  <c r="Y27" i="4"/>
  <c r="X27" i="4"/>
  <c r="W27" i="4"/>
  <c r="V27" i="4"/>
  <c r="U27" i="4"/>
  <c r="T27" i="4"/>
  <c r="Z26" i="4"/>
  <c r="Y26" i="4"/>
  <c r="X26" i="4"/>
  <c r="W26" i="4"/>
  <c r="V26" i="4"/>
  <c r="U26" i="4"/>
  <c r="T26" i="4"/>
  <c r="Z25" i="4"/>
  <c r="Y25" i="4"/>
  <c r="X25" i="4"/>
  <c r="W25" i="4"/>
  <c r="V25" i="4"/>
  <c r="U25" i="4"/>
  <c r="T25" i="4"/>
  <c r="Z24" i="4"/>
  <c r="Y24" i="4"/>
  <c r="X24" i="4"/>
  <c r="W24" i="4"/>
  <c r="V24" i="4"/>
  <c r="U24" i="4"/>
  <c r="T24" i="4"/>
  <c r="Z23" i="4"/>
  <c r="Y23" i="4"/>
  <c r="X23" i="4"/>
  <c r="W23" i="4"/>
  <c r="V23" i="4"/>
  <c r="U23" i="4"/>
  <c r="T23" i="4"/>
  <c r="Z22" i="4"/>
  <c r="Y22" i="4"/>
  <c r="X22" i="4"/>
  <c r="W22" i="4"/>
  <c r="V22" i="4"/>
  <c r="U22" i="4"/>
  <c r="T22" i="4"/>
  <c r="Z21" i="4"/>
  <c r="Y21" i="4"/>
  <c r="X21" i="4"/>
  <c r="W21" i="4"/>
  <c r="V21" i="4"/>
  <c r="U21" i="4"/>
  <c r="T21" i="4"/>
  <c r="Z20" i="4"/>
  <c r="Y20" i="4"/>
  <c r="X20" i="4"/>
  <c r="W20" i="4"/>
  <c r="V20" i="4"/>
  <c r="U20" i="4"/>
  <c r="T20" i="4"/>
  <c r="Z19" i="4"/>
  <c r="Y19" i="4"/>
  <c r="X19" i="4"/>
  <c r="W19" i="4"/>
  <c r="V19" i="4"/>
  <c r="U19" i="4"/>
  <c r="T19" i="4"/>
  <c r="Z18" i="4"/>
  <c r="Y18" i="4"/>
  <c r="X18" i="4"/>
  <c r="W18" i="4"/>
  <c r="V18" i="4"/>
  <c r="U18" i="4"/>
  <c r="T18" i="4"/>
  <c r="Z17" i="4"/>
  <c r="Y17" i="4"/>
  <c r="X17" i="4"/>
  <c r="W17" i="4"/>
  <c r="V17" i="4"/>
  <c r="U17" i="4"/>
  <c r="T17" i="4"/>
  <c r="Z16" i="4"/>
  <c r="Y16" i="4"/>
  <c r="X16" i="4"/>
  <c r="W16" i="4"/>
  <c r="V16" i="4"/>
  <c r="U16" i="4"/>
  <c r="T16" i="4"/>
  <c r="Z15" i="4"/>
  <c r="Y15" i="4"/>
  <c r="X15" i="4"/>
  <c r="W15" i="4"/>
  <c r="V15" i="4"/>
  <c r="U15" i="4"/>
  <c r="T15" i="4"/>
  <c r="Z14" i="4"/>
  <c r="Y14" i="4"/>
  <c r="X14" i="4"/>
  <c r="W14" i="4"/>
  <c r="V14" i="4"/>
  <c r="U14" i="4"/>
  <c r="T14" i="4"/>
  <c r="Z13" i="4"/>
  <c r="Y13" i="4"/>
  <c r="X13" i="4"/>
  <c r="W13" i="4"/>
  <c r="V13" i="4"/>
  <c r="U13" i="4"/>
  <c r="T13" i="4"/>
  <c r="Z12" i="4"/>
  <c r="Y12" i="4"/>
  <c r="X12" i="4"/>
  <c r="W12" i="4"/>
  <c r="V12" i="4"/>
  <c r="U12" i="4"/>
  <c r="T12" i="4"/>
  <c r="Z11" i="4"/>
  <c r="Y11" i="4"/>
  <c r="X11" i="4"/>
  <c r="W11" i="4"/>
  <c r="V11" i="4"/>
  <c r="U11" i="4"/>
  <c r="T11" i="4"/>
  <c r="Z10" i="4"/>
  <c r="Y10" i="4"/>
  <c r="X10" i="4"/>
  <c r="W10" i="4"/>
  <c r="V10" i="4"/>
  <c r="U10" i="4"/>
  <c r="T10" i="4"/>
  <c r="Z9" i="4"/>
  <c r="Y9" i="4"/>
  <c r="X9" i="4"/>
  <c r="W9" i="4"/>
  <c r="V9" i="4"/>
  <c r="U9" i="4"/>
  <c r="T9" i="4"/>
  <c r="Z8" i="4"/>
  <c r="Y8" i="4"/>
  <c r="X8" i="4"/>
  <c r="W8" i="4"/>
  <c r="V8" i="4"/>
  <c r="U8" i="4"/>
  <c r="T8" i="4"/>
  <c r="Z7" i="4"/>
  <c r="Y7" i="4"/>
  <c r="X7" i="4"/>
  <c r="W7" i="4"/>
  <c r="V7" i="4"/>
  <c r="U7" i="4"/>
  <c r="T7" i="4"/>
  <c r="Z6" i="4"/>
  <c r="Y6" i="4"/>
  <c r="X6" i="4"/>
  <c r="W6" i="4"/>
  <c r="V6" i="4"/>
  <c r="U6" i="4"/>
  <c r="T6" i="4"/>
  <c r="Z5" i="4"/>
  <c r="Y5" i="4"/>
  <c r="X5" i="4"/>
  <c r="W5" i="4"/>
  <c r="V5" i="4"/>
  <c r="U5" i="4"/>
  <c r="T5" i="4"/>
  <c r="AE33" i="3"/>
  <c r="AD33" i="3"/>
  <c r="AC33" i="3"/>
  <c r="AB33" i="3"/>
  <c r="AA33" i="3"/>
  <c r="Z33" i="3"/>
  <c r="Y33" i="3"/>
  <c r="X33" i="3"/>
  <c r="W33" i="3"/>
  <c r="AE32" i="3"/>
  <c r="AD32" i="3"/>
  <c r="AC32" i="3"/>
  <c r="AB32" i="3"/>
  <c r="AA32" i="3"/>
  <c r="Z32" i="3"/>
  <c r="Y32" i="3"/>
  <c r="X32" i="3"/>
  <c r="W32" i="3"/>
  <c r="AE31" i="3"/>
  <c r="AD31" i="3"/>
  <c r="AC31" i="3"/>
  <c r="AB31" i="3"/>
  <c r="AA31" i="3"/>
  <c r="Z31" i="3"/>
  <c r="Y31" i="3"/>
  <c r="X31" i="3"/>
  <c r="W31" i="3"/>
  <c r="AE30" i="3"/>
  <c r="AD30" i="3"/>
  <c r="AC30" i="3"/>
  <c r="AB30" i="3"/>
  <c r="AA30" i="3"/>
  <c r="Z30" i="3"/>
  <c r="Y30" i="3"/>
  <c r="X30" i="3"/>
  <c r="W30" i="3"/>
  <c r="AE29" i="3"/>
  <c r="AD29" i="3"/>
  <c r="AC29" i="3"/>
  <c r="AB29" i="3"/>
  <c r="AA29" i="3"/>
  <c r="Z29" i="3"/>
  <c r="Y29" i="3"/>
  <c r="X29" i="3"/>
  <c r="W29" i="3"/>
  <c r="AE28" i="3"/>
  <c r="AD28" i="3"/>
  <c r="AC28" i="3"/>
  <c r="AB28" i="3"/>
  <c r="AA28" i="3"/>
  <c r="Z28" i="3"/>
  <c r="Y28" i="3"/>
  <c r="X28" i="3"/>
  <c r="W28" i="3"/>
  <c r="AE27" i="3"/>
  <c r="AD27" i="3"/>
  <c r="AC27" i="3"/>
  <c r="AB27" i="3"/>
  <c r="AA27" i="3"/>
  <c r="Z27" i="3"/>
  <c r="Y27" i="3"/>
  <c r="X27" i="3"/>
  <c r="W27" i="3"/>
  <c r="AE26" i="3"/>
  <c r="AD26" i="3"/>
  <c r="AC26" i="3"/>
  <c r="AB26" i="3"/>
  <c r="AA26" i="3"/>
  <c r="Z26" i="3"/>
  <c r="Y26" i="3"/>
  <c r="X26" i="3"/>
  <c r="W26" i="3"/>
  <c r="AE25" i="3"/>
  <c r="AD25" i="3"/>
  <c r="AC25" i="3"/>
  <c r="AB25" i="3"/>
  <c r="AA25" i="3"/>
  <c r="Z25" i="3"/>
  <c r="Y25" i="3"/>
  <c r="X25" i="3"/>
  <c r="W25" i="3"/>
  <c r="AE24" i="3"/>
  <c r="AD24" i="3"/>
  <c r="AC24" i="3"/>
  <c r="AB24" i="3"/>
  <c r="AA24" i="3"/>
  <c r="Z24" i="3"/>
  <c r="Y24" i="3"/>
  <c r="X24" i="3"/>
  <c r="W24" i="3"/>
  <c r="AE23" i="3"/>
  <c r="AD23" i="3"/>
  <c r="AC23" i="3"/>
  <c r="AB23" i="3"/>
  <c r="AA23" i="3"/>
  <c r="Z23" i="3"/>
  <c r="Y23" i="3"/>
  <c r="X23" i="3"/>
  <c r="W23" i="3"/>
  <c r="AE22" i="3"/>
  <c r="AD22" i="3"/>
  <c r="AC22" i="3"/>
  <c r="AB22" i="3"/>
  <c r="AA22" i="3"/>
  <c r="Z22" i="3"/>
  <c r="Y22" i="3"/>
  <c r="X22" i="3"/>
  <c r="W22" i="3"/>
  <c r="AE21" i="3"/>
  <c r="AD21" i="3"/>
  <c r="AC21" i="3"/>
  <c r="AB21" i="3"/>
  <c r="AA21" i="3"/>
  <c r="Z21" i="3"/>
  <c r="Y21" i="3"/>
  <c r="X21" i="3"/>
  <c r="W21" i="3"/>
  <c r="AE20" i="3"/>
  <c r="AD20" i="3"/>
  <c r="AC20" i="3"/>
  <c r="AB20" i="3"/>
  <c r="AA20" i="3"/>
  <c r="Z20" i="3"/>
  <c r="Y20" i="3"/>
  <c r="X20" i="3"/>
  <c r="W20" i="3"/>
  <c r="AE19" i="3"/>
  <c r="AD19" i="3"/>
  <c r="AC19" i="3"/>
  <c r="AB19" i="3"/>
  <c r="AA19" i="3"/>
  <c r="Z19" i="3"/>
  <c r="Y19" i="3"/>
  <c r="X19" i="3"/>
  <c r="W19" i="3"/>
  <c r="AE18" i="3"/>
  <c r="AD18" i="3"/>
  <c r="AC18" i="3"/>
  <c r="AB18" i="3"/>
  <c r="AA18" i="3"/>
  <c r="Z18" i="3"/>
  <c r="Y18" i="3"/>
  <c r="X18" i="3"/>
  <c r="W18" i="3"/>
  <c r="AE17" i="3"/>
  <c r="AD17" i="3"/>
  <c r="AC17" i="3"/>
  <c r="AB17" i="3"/>
  <c r="AA17" i="3"/>
  <c r="Z17" i="3"/>
  <c r="Y17" i="3"/>
  <c r="X17" i="3"/>
  <c r="W17" i="3"/>
  <c r="AE16" i="3"/>
  <c r="AD16" i="3"/>
  <c r="AC16" i="3"/>
  <c r="AB16" i="3"/>
  <c r="AA16" i="3"/>
  <c r="Z16" i="3"/>
  <c r="Y16" i="3"/>
  <c r="X16" i="3"/>
  <c r="W16" i="3"/>
  <c r="AE15" i="3"/>
  <c r="AD15" i="3"/>
  <c r="AC15" i="3"/>
  <c r="AB15" i="3"/>
  <c r="AA15" i="3"/>
  <c r="Z15" i="3"/>
  <c r="Y15" i="3"/>
  <c r="X15" i="3"/>
  <c r="W15" i="3"/>
  <c r="AE14" i="3"/>
  <c r="AD14" i="3"/>
  <c r="AC14" i="3"/>
  <c r="AB14" i="3"/>
  <c r="AA14" i="3"/>
  <c r="Z14" i="3"/>
  <c r="Y14" i="3"/>
  <c r="X14" i="3"/>
  <c r="W14" i="3"/>
  <c r="AE13" i="3"/>
  <c r="AD13" i="3"/>
  <c r="AC13" i="3"/>
  <c r="AB13" i="3"/>
  <c r="AA13" i="3"/>
  <c r="Z13" i="3"/>
  <c r="Y13" i="3"/>
  <c r="X13" i="3"/>
  <c r="W13" i="3"/>
  <c r="AE12" i="3"/>
  <c r="AD12" i="3"/>
  <c r="AC12" i="3"/>
  <c r="AB12" i="3"/>
  <c r="AA12" i="3"/>
  <c r="Z12" i="3"/>
  <c r="Y12" i="3"/>
  <c r="X12" i="3"/>
  <c r="W12" i="3"/>
  <c r="AE11" i="3"/>
  <c r="AD11" i="3"/>
  <c r="AC11" i="3"/>
  <c r="AB11" i="3"/>
  <c r="AA11" i="3"/>
  <c r="Z11" i="3"/>
  <c r="Y11" i="3"/>
  <c r="X11" i="3"/>
  <c r="W11" i="3"/>
  <c r="AE10" i="3"/>
  <c r="AD10" i="3"/>
  <c r="AC10" i="3"/>
  <c r="AB10" i="3"/>
  <c r="AA10" i="3"/>
  <c r="Z10" i="3"/>
  <c r="Y10" i="3"/>
  <c r="X10" i="3"/>
  <c r="W10" i="3"/>
  <c r="AE9" i="3"/>
  <c r="AD9" i="3"/>
  <c r="AC9" i="3"/>
  <c r="AB9" i="3"/>
  <c r="AA9" i="3"/>
  <c r="Z9" i="3"/>
  <c r="Y9" i="3"/>
  <c r="X9" i="3"/>
  <c r="W9" i="3"/>
  <c r="AE8" i="3"/>
  <c r="AD8" i="3"/>
  <c r="AC8" i="3"/>
  <c r="AB8" i="3"/>
  <c r="AA8" i="3"/>
  <c r="Z8" i="3"/>
  <c r="Y8" i="3"/>
  <c r="X8" i="3"/>
  <c r="W8" i="3"/>
  <c r="AE7" i="3"/>
  <c r="AD7" i="3"/>
  <c r="AC7" i="3"/>
  <c r="AB7" i="3"/>
  <c r="AA7" i="3"/>
  <c r="Z7" i="3"/>
  <c r="Y7" i="3"/>
  <c r="X7" i="3"/>
  <c r="W7" i="3"/>
  <c r="AE6" i="3"/>
  <c r="AD6" i="3"/>
  <c r="AC6" i="3"/>
  <c r="AB6" i="3"/>
  <c r="AA6" i="3"/>
  <c r="Z6" i="3"/>
  <c r="Y6" i="3"/>
  <c r="X6" i="3"/>
  <c r="W6" i="3"/>
  <c r="AE5" i="3"/>
  <c r="AD5" i="3"/>
  <c r="AC5" i="3"/>
  <c r="AB5" i="3"/>
  <c r="AA5" i="3"/>
  <c r="Z5" i="3"/>
  <c r="Y5" i="3"/>
  <c r="X5" i="3"/>
  <c r="W5" i="3"/>
  <c r="AE4" i="3"/>
  <c r="AD4" i="3"/>
  <c r="AC4" i="3"/>
  <c r="AB4" i="3"/>
  <c r="AA4" i="3"/>
  <c r="Z4" i="3"/>
  <c r="Y4" i="3"/>
  <c r="X4" i="3"/>
  <c r="W4" i="3"/>
</calcChain>
</file>

<file path=xl/sharedStrings.xml><?xml version="1.0" encoding="utf-8"?>
<sst xmlns="http://schemas.openxmlformats.org/spreadsheetml/2006/main" count="1067" uniqueCount="312">
  <si>
    <t>Base</t>
  </si>
  <si>
    <t>New</t>
  </si>
  <si>
    <t>Prod</t>
  </si>
  <si>
    <t>Diff (New - Prod)</t>
  </si>
  <si>
    <t>Date</t>
  </si>
  <si>
    <t>Asset Subtype</t>
  </si>
  <si>
    <t>Description</t>
  </si>
  <si>
    <t>Cusip</t>
  </si>
  <si>
    <t>Coupon</t>
  </si>
  <si>
    <t>Mark</t>
  </si>
  <si>
    <t>Yield</t>
  </si>
  <si>
    <t>Zspread</t>
  </si>
  <si>
    <t>WAL</t>
  </si>
  <si>
    <t>Eff Dur</t>
  </si>
  <si>
    <t>Sprd Dur</t>
  </si>
  <si>
    <t>Rem Def</t>
  </si>
  <si>
    <t>Cum loss</t>
  </si>
  <si>
    <t>Sev</t>
  </si>
  <si>
    <t>Writedown</t>
  </si>
  <si>
    <t>Non-QM</t>
  </si>
  <si>
    <t>ADMT 2023-NQM3 B2</t>
  </si>
  <si>
    <t>00249FAF4</t>
  </si>
  <si>
    <t>BRAVO 2021-NQM1 B1</t>
  </si>
  <si>
    <t>10569TAE8</t>
  </si>
  <si>
    <t>CHNGE 2022-1 B1</t>
  </si>
  <si>
    <t>17030JAC0</t>
  </si>
  <si>
    <t>Short CRT-B2</t>
  </si>
  <si>
    <t>CAS 2016-C01 1B</t>
  </si>
  <si>
    <t>30711XBQ6</t>
  </si>
  <si>
    <t>CAS 2020-SBT1 2B1</t>
  </si>
  <si>
    <t>20753VDL9</t>
  </si>
  <si>
    <t>CRT-B2</t>
  </si>
  <si>
    <t>CAS 2021-R01 1B2</t>
  </si>
  <si>
    <t>20754RAJ5</t>
  </si>
  <si>
    <t>CAS 2021-R02 2B2</t>
  </si>
  <si>
    <t>20754KAJ0</t>
  </si>
  <si>
    <t>CAS 2022-R02 2B2</t>
  </si>
  <si>
    <t>20754BAJ0</t>
  </si>
  <si>
    <t>CAS 2022-R04 1B2</t>
  </si>
  <si>
    <t>20753YAL6</t>
  </si>
  <si>
    <t>CAS 2022-R06 1B2</t>
  </si>
  <si>
    <t>20754NAR6</t>
  </si>
  <si>
    <t>CAS 2022-R07 1B2</t>
  </si>
  <si>
    <t>20754MAL1</t>
  </si>
  <si>
    <t>CAS 2024-R01 1B2</t>
  </si>
  <si>
    <t>20753UAJ9</t>
  </si>
  <si>
    <t>CAS 2024-R02 1B2</t>
  </si>
  <si>
    <t>20754GAJ9</t>
  </si>
  <si>
    <t>CHNGE 2022-2 B2</t>
  </si>
  <si>
    <t>12546YAD3</t>
  </si>
  <si>
    <t>COLT 2022-3 B2</t>
  </si>
  <si>
    <t>12659YAF1</t>
  </si>
  <si>
    <t>COLT 2024-5 B1</t>
  </si>
  <si>
    <t>19685AAE9</t>
  </si>
  <si>
    <t>SAN 2025-NQM1 B1</t>
  </si>
  <si>
    <t>80262BAF7</t>
  </si>
  <si>
    <t>SGR 2022-1 B2</t>
  </si>
  <si>
    <t>78433QAF2</t>
  </si>
  <si>
    <t>VERUS 2022-1 B2</t>
  </si>
  <si>
    <t>92538WAF4</t>
  </si>
  <si>
    <t>VERUS 2022-3 B2</t>
  </si>
  <si>
    <t>92538UAF8</t>
  </si>
  <si>
    <t>VISIO 2023-1 B1</t>
  </si>
  <si>
    <t>927958AE8</t>
  </si>
  <si>
    <t>Prime Fixed</t>
  </si>
  <si>
    <t>CHASE 2024-6 A11X</t>
  </si>
  <si>
    <t>161931AQ3</t>
  </si>
  <si>
    <t>CHASE 2024-9 A11X</t>
  </si>
  <si>
    <t>16160QAY0</t>
  </si>
  <si>
    <t>CHASE 2025-2 AX1</t>
  </si>
  <si>
    <t>16159VBH8</t>
  </si>
  <si>
    <t>CHASE 2025-6 AX1</t>
  </si>
  <si>
    <t>161922BL2</t>
  </si>
  <si>
    <t>GCAT 2024-INV3 AX1</t>
  </si>
  <si>
    <t>36830FBA3</t>
  </si>
  <si>
    <t>GSMBS 2024-PJ1 A3X</t>
  </si>
  <si>
    <t>36268VAF9</t>
  </si>
  <si>
    <t>JPMMT 2019-5 AX4</t>
  </si>
  <si>
    <t>46591FAX2</t>
  </si>
  <si>
    <t>JPMMT 2024-12 AX1</t>
  </si>
  <si>
    <t>46658TBH6</t>
  </si>
  <si>
    <t>JPMMT 2024-4 AX1</t>
  </si>
  <si>
    <t>46657WAX6</t>
  </si>
  <si>
    <t>JPMMT 2024-4 AX2</t>
  </si>
  <si>
    <t>46657WAY4</t>
  </si>
  <si>
    <t>JPMMT 2024-INV1 AX1</t>
  </si>
  <si>
    <t>46658PAX0</t>
  </si>
  <si>
    <t>JPMMT 2025-3 B1</t>
  </si>
  <si>
    <t>46593RAJ5</t>
  </si>
  <si>
    <t>JPMMT 2025-5MPR B1</t>
  </si>
  <si>
    <t>46593VAK3</t>
  </si>
  <si>
    <t>JPMMT 2025-INV1 AX1</t>
  </si>
  <si>
    <t>466910AW6</t>
  </si>
  <si>
    <t>MCMLT 2019-GS1 B5</t>
  </si>
  <si>
    <t>59981BAP9</t>
  </si>
  <si>
    <t>MSRM 2024-3 A7IO</t>
  </si>
  <si>
    <t>61776QBQ8</t>
  </si>
  <si>
    <t>RCKT 2024-INV1 AX2</t>
  </si>
  <si>
    <t>74938QBB9</t>
  </si>
  <si>
    <t>RMCT 2024-J1 A25X</t>
  </si>
  <si>
    <t>75023DBQ8</t>
  </si>
  <si>
    <t>RMCT 2024-J1 AX</t>
  </si>
  <si>
    <t>75023DCD6</t>
  </si>
  <si>
    <t>TPMT 2019-4 B5</t>
  </si>
  <si>
    <t>89178BAJ3</t>
  </si>
  <si>
    <t>TPMT 2024-4 M2</t>
  </si>
  <si>
    <t>89183GAE6</t>
  </si>
  <si>
    <t>Single Borrower</t>
  </si>
  <si>
    <t>ACHM 2024-HE1 C</t>
  </si>
  <si>
    <t>00449TAC9</t>
  </si>
  <si>
    <t>EFMT 2024-CES1 B1</t>
  </si>
  <si>
    <t>281907AE5</t>
  </si>
  <si>
    <t>FIGRE 2023-HE1 CE</t>
  </si>
  <si>
    <t>302455AD2</t>
  </si>
  <si>
    <t>FIGRE 2023-HE1A2 CE</t>
  </si>
  <si>
    <t>31684EAD9</t>
  </si>
  <si>
    <t>FIGRE 2023-HE3 CE</t>
  </si>
  <si>
    <t>31684CAE1</t>
  </si>
  <si>
    <t>FIGRE 2024-HE1 CE</t>
  </si>
  <si>
    <t>31684HAG5</t>
  </si>
  <si>
    <t>FIGRE 2024-HE3 CE</t>
  </si>
  <si>
    <t>31684GAG7</t>
  </si>
  <si>
    <t>FIGRE 2024-HE3 F</t>
  </si>
  <si>
    <t>31684GAF9</t>
  </si>
  <si>
    <t>FIGRE 2024-HE6 G</t>
  </si>
  <si>
    <t>31684DAG4</t>
  </si>
  <si>
    <t>FIGRE 2024-HE6 XS</t>
  </si>
  <si>
    <t>31684DAH2</t>
  </si>
  <si>
    <t>FIGRE 2024-SL1 B3</t>
  </si>
  <si>
    <t>31684JAG1</t>
  </si>
  <si>
    <t>FIGRE 2024-SL1 XS</t>
  </si>
  <si>
    <t>31684JAH9</t>
  </si>
  <si>
    <t>FIGRE 2025-HE2 G</t>
  </si>
  <si>
    <t>31684KAG8</t>
  </si>
  <si>
    <t>FIGRE 2025-HE2 XS</t>
  </si>
  <si>
    <t>31684KAH6</t>
  </si>
  <si>
    <t>GRADE 2023-FIG3 CE</t>
  </si>
  <si>
    <t>79582AAD9</t>
  </si>
  <si>
    <t>GRADE 2024-FIG5 CE</t>
  </si>
  <si>
    <t>79582MAF8</t>
  </si>
  <si>
    <t>STACR 2018-HQA2 B2</t>
  </si>
  <si>
    <t>35563XBE1</t>
  </si>
  <si>
    <t>STACR 2019-DNA3 B2</t>
  </si>
  <si>
    <t>35564TBE9</t>
  </si>
  <si>
    <t>STACR 2019-FTR1 B2</t>
  </si>
  <si>
    <t>35564PAC2</t>
  </si>
  <si>
    <t>STACR 2019-FTR3 B2</t>
  </si>
  <si>
    <t>35565EAE2</t>
  </si>
  <si>
    <t>STACR 2019-FTR4 B2</t>
  </si>
  <si>
    <t>35565GAE7</t>
  </si>
  <si>
    <t>STACR 2019-HQA1 B2</t>
  </si>
  <si>
    <t>35563MBE5</t>
  </si>
  <si>
    <t>STACR 2019-HQA2 B2</t>
  </si>
  <si>
    <t>35564MBE4</t>
  </si>
  <si>
    <t>STACR 2019-HQA4 B2</t>
  </si>
  <si>
    <t>35565CBE5</t>
  </si>
  <si>
    <t>STACR 2020-DNA1 B2</t>
  </si>
  <si>
    <t>35565HBE4</t>
  </si>
  <si>
    <t>STACR 2020-HQA2 B2</t>
  </si>
  <si>
    <t>35565LBE5</t>
  </si>
  <si>
    <t>STACR 2021-DNA1 B2</t>
  </si>
  <si>
    <t>35564KBE8</t>
  </si>
  <si>
    <t>STACR 2021-DNA6 B2</t>
  </si>
  <si>
    <t>35564KLV9</t>
  </si>
  <si>
    <t>STACR 2021-DNA7 B2</t>
  </si>
  <si>
    <t>35564KNE5</t>
  </si>
  <si>
    <t>STACR 2021-HQA1 B2</t>
  </si>
  <si>
    <t>35564KCP2</t>
  </si>
  <si>
    <t>STACR 2021-HQA3 B2</t>
  </si>
  <si>
    <t>35564KKL2</t>
  </si>
  <si>
    <t>STACR 2021-HQA4 B2</t>
  </si>
  <si>
    <t>35564KPP8</t>
  </si>
  <si>
    <t>STACR 2022-DNA2 B2</t>
  </si>
  <si>
    <t>35564KSQ3</t>
  </si>
  <si>
    <t>STACR 2022-DNA3 B2</t>
  </si>
  <si>
    <t>35564KWG0</t>
  </si>
  <si>
    <t>STACR 2022-DNA5 B2</t>
  </si>
  <si>
    <t>35564KZY8</t>
  </si>
  <si>
    <t>STACR 2022-HQA1 B2</t>
  </si>
  <si>
    <t>35564KUL1</t>
  </si>
  <si>
    <t>GSMBS 2024-HE1 B1</t>
  </si>
  <si>
    <t>36270AAE4</t>
  </si>
  <si>
    <t>NLT 2025-CES1 B1</t>
  </si>
  <si>
    <t>629162AE8</t>
  </si>
  <si>
    <t>RCKT 2025-CES3 B1</t>
  </si>
  <si>
    <t>749420AF2</t>
  </si>
  <si>
    <t>RCKT 2025-CES7 B1</t>
  </si>
  <si>
    <t>74943AAJ1</t>
  </si>
  <si>
    <t>SAIF 2024-CES1 B1</t>
  </si>
  <si>
    <t>78436VAE1</t>
  </si>
  <si>
    <t>VSTA 2024-CES1 B1</t>
  </si>
  <si>
    <t>92839HAE6</t>
  </si>
  <si>
    <t>VSTA 2024-CES2 B1</t>
  </si>
  <si>
    <t>92841YAE5</t>
  </si>
  <si>
    <t>VSTA 2024-CES2 B2</t>
  </si>
  <si>
    <t>92841YAF2</t>
  </si>
  <si>
    <t>VSTA 2024-CES3 B2</t>
  </si>
  <si>
    <t>92841WAF6</t>
  </si>
  <si>
    <t>VSTA 2024-CES3 M1</t>
  </si>
  <si>
    <t>92841WAD1</t>
  </si>
  <si>
    <t>VSTA 2025-CES1 B1</t>
  </si>
  <si>
    <t>92842DAE0</t>
  </si>
  <si>
    <t>SuperBear</t>
  </si>
  <si>
    <t>GRADE 2025-FIG6 B1</t>
  </si>
  <si>
    <t>79582CAE3</t>
  </si>
  <si>
    <t>GRADE 2025-FIG6 B2</t>
  </si>
  <si>
    <t>79582CAF0</t>
  </si>
  <si>
    <t>BASEPRICE</t>
  </si>
  <si>
    <t>CRT-B1</t>
  </si>
  <si>
    <t>CAS 2019-HRP1 B1</t>
  </si>
  <si>
    <t>20754PAD2</t>
  </si>
  <si>
    <t>STACR 2021-DNA5 B2</t>
  </si>
  <si>
    <t>35564KJB6</t>
  </si>
  <si>
    <t>MI-CRT</t>
  </si>
  <si>
    <t>BMIR 2022-2 B1</t>
  </si>
  <si>
    <t>07876GAE0</t>
  </si>
  <si>
    <t>BMIR 2025-1 B1</t>
  </si>
  <si>
    <t>07876NAE5</t>
  </si>
  <si>
    <t>BMIR 2025-1 M1B</t>
  </si>
  <si>
    <t>07876NAB1</t>
  </si>
  <si>
    <t>BMIR 2025-1 M1C</t>
  </si>
  <si>
    <t>07876NAC9</t>
  </si>
  <si>
    <t>BMIR 2025-1 M2</t>
  </si>
  <si>
    <t>07876NAD7</t>
  </si>
  <si>
    <t>EMIR 2023-1 M2</t>
  </si>
  <si>
    <t>26982EAG1</t>
  </si>
  <si>
    <t>HMIR 2023-1 B1</t>
  </si>
  <si>
    <t>43731BAD3</t>
  </si>
  <si>
    <t>RMIR 2022-1 M1B</t>
  </si>
  <si>
    <t>75049XAB8</t>
  </si>
  <si>
    <t>RMIR 2023-1 B1</t>
  </si>
  <si>
    <t>75050KAD8</t>
  </si>
  <si>
    <t>RMIR 2024-1 M1B</t>
  </si>
  <si>
    <t>75049AAB8</t>
  </si>
  <si>
    <t>TMIR 2021-3 B1</t>
  </si>
  <si>
    <t>89600HAG4</t>
  </si>
  <si>
    <t>TMIR 2023-1 B1</t>
  </si>
  <si>
    <t>89589AAD1</t>
  </si>
  <si>
    <t>TMIR 2023-1 M1B</t>
  </si>
  <si>
    <t>89589AAB5</t>
  </si>
  <si>
    <t>TMIR 2023-1 M2</t>
  </si>
  <si>
    <t>89589AAC3</t>
  </si>
  <si>
    <t>ADMT 2024-NQM1 B1</t>
  </si>
  <si>
    <t>00039GAE9</t>
  </si>
  <si>
    <t>CHNGE 2023-4 B2</t>
  </si>
  <si>
    <t>12569QAG5</t>
  </si>
  <si>
    <t>SBCLN 2023-MTG1 M3</t>
  </si>
  <si>
    <t>80290CBP8</t>
  </si>
  <si>
    <t>NULL</t>
  </si>
  <si>
    <t>CHASE 2025-10 A3X</t>
  </si>
  <si>
    <t>16160BAC1</t>
  </si>
  <si>
    <t>CHASE 2025-12 A11X</t>
  </si>
  <si>
    <t>16160CCC7</t>
  </si>
  <si>
    <t>CHASE 2025-5 A11X</t>
  </si>
  <si>
    <t>161935BB6</t>
  </si>
  <si>
    <t>GSMBS 2024-INV1 AX</t>
  </si>
  <si>
    <t>362952BQ5</t>
  </si>
  <si>
    <t>JPMMT 2025-7MPR B1</t>
  </si>
  <si>
    <t>46594CAK4</t>
  </si>
  <si>
    <t>JPMMT 2025-7MPR B2</t>
  </si>
  <si>
    <t>46594CAL2</t>
  </si>
  <si>
    <t>JPMMT 2025-7MPR B3</t>
  </si>
  <si>
    <t>46594CAM0</t>
  </si>
  <si>
    <t>PMTLT 2025-INV6 AX1</t>
  </si>
  <si>
    <t>69382MBK9</t>
  </si>
  <si>
    <t>SEMT 2025-10 I27F</t>
  </si>
  <si>
    <t>81750CDB8</t>
  </si>
  <si>
    <t>ACHM 2025-HE2 E</t>
  </si>
  <si>
    <t>00112XAE2</t>
  </si>
  <si>
    <t>ACHM 2025-HE2 F</t>
  </si>
  <si>
    <t>00112XAF9</t>
  </si>
  <si>
    <t>COOPR 2025-CES2 B1</t>
  </si>
  <si>
    <t>12674UAG8</t>
  </si>
  <si>
    <t>COOPR 2025-CES2 B2</t>
  </si>
  <si>
    <t>12674UAH6</t>
  </si>
  <si>
    <t>EFMT 2025-CES4 B1</t>
  </si>
  <si>
    <t>267954AE5</t>
  </si>
  <si>
    <t>EFMT 2025-CES4 B2</t>
  </si>
  <si>
    <t>267954AF2</t>
  </si>
  <si>
    <t>FIGRE 2024-SL1 B2</t>
  </si>
  <si>
    <t>31684JAF3</t>
  </si>
  <si>
    <t>FIGRE 2025-FL1 M1</t>
  </si>
  <si>
    <t>31684QAD2</t>
  </si>
  <si>
    <t>FIGRE 2026-HE1 F</t>
  </si>
  <si>
    <t>30249NAH0</t>
  </si>
  <si>
    <t>GRADE 2026-HB1 A1A</t>
  </si>
  <si>
    <t>795939AB3</t>
  </si>
  <si>
    <t>GRADE 2026-HB1 A1X</t>
  </si>
  <si>
    <t>795939AD9</t>
  </si>
  <si>
    <t>GRADE 2026-HB1 B1</t>
  </si>
  <si>
    <t>795939AK3</t>
  </si>
  <si>
    <t>GRADE 2026-HB1 M3</t>
  </si>
  <si>
    <t>795939AJ6</t>
  </si>
  <si>
    <t>GSMBS 2026-CES1 B1</t>
  </si>
  <si>
    <t>36277LAE3</t>
  </si>
  <si>
    <t>JPMMT 2025-CES5 B1</t>
  </si>
  <si>
    <t>46594DAH9</t>
  </si>
  <si>
    <t>KNOCK 2025-1 A1</t>
  </si>
  <si>
    <t>49917PAA1</t>
  </si>
  <si>
    <t>KNOCK 2025-1 A2</t>
  </si>
  <si>
    <t>49917PAB9</t>
  </si>
  <si>
    <t>SAIF 2025-CES1 B1</t>
  </si>
  <si>
    <t>78438CAE1</t>
  </si>
  <si>
    <t>SAIF 2025-CES1 B2</t>
  </si>
  <si>
    <t>78438CAF8</t>
  </si>
  <si>
    <t>VSTA 2024-CES1 M1</t>
  </si>
  <si>
    <t>92839HAD8</t>
  </si>
  <si>
    <t>Subprime</t>
  </si>
  <si>
    <t>SVHE 2007-OPT5 X2</t>
  </si>
  <si>
    <t>83613FAF8</t>
  </si>
  <si>
    <t>JPMMT 2025-7MPR XS</t>
  </si>
  <si>
    <t>46594CAN8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</si>
</sst>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A7D0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rgb="FFFF8001"/>
      </bottom>
      <diagonal/>
    </border>
    <border>
      <left/>
      <right/>
      <top style="medium">
        <color indexed="64"/>
      </top>
      <bottom style="double">
        <color rgb="FFFF800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0" borderId="1" applyNumberFormat="0" applyFill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</cellStyleXfs>
  <cellXfs count="92">
    <xf numFmtId="0" fontId="0" fillId="0" borderId="0" xfId="0"/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3" fontId="6" fillId="0" borderId="3" xfId="1" applyFont="1" applyBorder="1" applyAlignment="1">
      <alignment horizontal="center" vertical="center"/>
    </xf>
    <xf numFmtId="43" fontId="6" fillId="0" borderId="4" xfId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43" fontId="0" fillId="0" borderId="6" xfId="1" applyFont="1" applyBorder="1"/>
    <xf numFmtId="43" fontId="8" fillId="10" borderId="7" xfId="1" applyFont="1" applyFill="1" applyBorder="1"/>
    <xf numFmtId="43" fontId="8" fillId="10" borderId="6" xfId="1" applyFont="1" applyFill="1" applyBorder="1"/>
    <xf numFmtId="14" fontId="8" fillId="10" borderId="12" xfId="4" applyNumberFormat="1" applyFont="1" applyFill="1" applyBorder="1"/>
    <xf numFmtId="0" fontId="8" fillId="10" borderId="0" xfId="4" applyFont="1" applyFill="1" applyBorder="1"/>
    <xf numFmtId="43" fontId="8" fillId="10" borderId="0" xfId="4" applyNumberFormat="1" applyFont="1" applyFill="1" applyBorder="1"/>
    <xf numFmtId="43" fontId="8" fillId="10" borderId="13" xfId="4" applyNumberFormat="1" applyFont="1" applyFill="1" applyBorder="1"/>
    <xf numFmtId="14" fontId="8" fillId="10" borderId="12" xfId="0" applyNumberFormat="1" applyFont="1" applyFill="1" applyBorder="1"/>
    <xf numFmtId="0" fontId="8" fillId="10" borderId="0" xfId="0" applyFont="1" applyFill="1"/>
    <xf numFmtId="43" fontId="8" fillId="10" borderId="0" xfId="1" applyFont="1" applyFill="1" applyBorder="1"/>
    <xf numFmtId="43" fontId="8" fillId="10" borderId="13" xfId="1" applyFont="1" applyFill="1" applyBorder="1"/>
    <xf numFmtId="14" fontId="0" fillId="10" borderId="12" xfId="0" applyNumberFormat="1" applyFill="1" applyBorder="1"/>
    <xf numFmtId="43" fontId="0" fillId="10" borderId="0" xfId="1" applyFont="1" applyFill="1" applyBorder="1"/>
    <xf numFmtId="14" fontId="0" fillId="0" borderId="12" xfId="0" applyNumberFormat="1" applyBorder="1"/>
    <xf numFmtId="43" fontId="0" fillId="0" borderId="0" xfId="1" applyFont="1" applyBorder="1"/>
    <xf numFmtId="43" fontId="0" fillId="0" borderId="13" xfId="1" applyFont="1" applyBorder="1"/>
    <xf numFmtId="14" fontId="8" fillId="10" borderId="12" xfId="2" applyNumberFormat="1" applyFont="1" applyFill="1" applyBorder="1"/>
    <xf numFmtId="0" fontId="8" fillId="10" borderId="0" xfId="2" applyFont="1" applyFill="1" applyBorder="1"/>
    <xf numFmtId="43" fontId="8" fillId="10" borderId="0" xfId="2" applyNumberFormat="1" applyFont="1" applyFill="1" applyBorder="1"/>
    <xf numFmtId="43" fontId="8" fillId="10" borderId="13" xfId="2" applyNumberFormat="1" applyFont="1" applyFill="1" applyBorder="1"/>
    <xf numFmtId="14" fontId="8" fillId="10" borderId="12" xfId="3" applyNumberFormat="1" applyFont="1" applyFill="1" applyBorder="1"/>
    <xf numFmtId="0" fontId="8" fillId="10" borderId="0" xfId="3" applyFont="1" applyFill="1" applyBorder="1"/>
    <xf numFmtId="43" fontId="8" fillId="10" borderId="0" xfId="3" applyNumberFormat="1" applyFont="1" applyFill="1" applyBorder="1"/>
    <xf numFmtId="43" fontId="8" fillId="10" borderId="13" xfId="3" applyNumberFormat="1" applyFont="1" applyFill="1" applyBorder="1"/>
    <xf numFmtId="43" fontId="0" fillId="0" borderId="15" xfId="1" applyFont="1" applyBorder="1"/>
    <xf numFmtId="43" fontId="0" fillId="0" borderId="16" xfId="1" applyFont="1" applyBorder="1"/>
    <xf numFmtId="43" fontId="8" fillId="10" borderId="16" xfId="1" applyFont="1" applyFill="1" applyBorder="1"/>
    <xf numFmtId="43" fontId="8" fillId="10" borderId="15" xfId="1" applyFont="1" applyFill="1" applyBorder="1"/>
    <xf numFmtId="43" fontId="8" fillId="10" borderId="17" xfId="1" applyFont="1" applyFill="1" applyBorder="1"/>
    <xf numFmtId="14" fontId="4" fillId="4" borderId="0" xfId="4" applyNumberFormat="1" applyBorder="1"/>
    <xf numFmtId="0" fontId="1" fillId="5" borderId="0" xfId="6" applyBorder="1"/>
    <xf numFmtId="0" fontId="1" fillId="5" borderId="15" xfId="6" applyBorder="1"/>
    <xf numFmtId="14" fontId="8" fillId="10" borderId="14" xfId="4" applyNumberFormat="1" applyFont="1" applyFill="1" applyBorder="1"/>
    <xf numFmtId="0" fontId="8" fillId="10" borderId="15" xfId="4" applyFont="1" applyFill="1" applyBorder="1"/>
    <xf numFmtId="43" fontId="8" fillId="10" borderId="15" xfId="4" applyNumberFormat="1" applyFont="1" applyFill="1" applyBorder="1"/>
    <xf numFmtId="43" fontId="8" fillId="10" borderId="17" xfId="4" applyNumberFormat="1" applyFont="1" applyFill="1" applyBorder="1"/>
    <xf numFmtId="14" fontId="8" fillId="10" borderId="0" xfId="6" applyNumberFormat="1" applyFont="1" applyFill="1" applyBorder="1"/>
    <xf numFmtId="0" fontId="8" fillId="10" borderId="0" xfId="6" applyFont="1" applyFill="1" applyBorder="1"/>
    <xf numFmtId="14" fontId="8" fillId="10" borderId="0" xfId="3" applyNumberFormat="1" applyFont="1" applyFill="1" applyBorder="1"/>
    <xf numFmtId="14" fontId="8" fillId="10" borderId="0" xfId="2" applyNumberFormat="1" applyFont="1" applyFill="1" applyBorder="1"/>
    <xf numFmtId="14" fontId="8" fillId="10" borderId="0" xfId="4" applyNumberFormat="1" applyFont="1" applyFill="1" applyBorder="1"/>
    <xf numFmtId="0" fontId="1" fillId="8" borderId="0" xfId="9" applyBorder="1"/>
    <xf numFmtId="0" fontId="1" fillId="7" borderId="0" xfId="8" applyBorder="1"/>
    <xf numFmtId="0" fontId="1" fillId="9" borderId="0" xfId="10" applyBorder="1"/>
    <xf numFmtId="0" fontId="8" fillId="10" borderId="18" xfId="4" applyFont="1" applyFill="1" applyBorder="1"/>
    <xf numFmtId="43" fontId="8" fillId="10" borderId="10" xfId="4" applyNumberFormat="1" applyFont="1" applyFill="1" applyBorder="1"/>
    <xf numFmtId="43" fontId="0" fillId="0" borderId="7" xfId="1" applyFont="1" applyBorder="1"/>
    <xf numFmtId="43" fontId="8" fillId="10" borderId="11" xfId="4" applyNumberFormat="1" applyFont="1" applyFill="1" applyBorder="1"/>
    <xf numFmtId="0" fontId="8" fillId="10" borderId="12" xfId="4" applyFont="1" applyFill="1" applyBorder="1"/>
    <xf numFmtId="0" fontId="8" fillId="10" borderId="14" xfId="4" applyFont="1" applyFill="1" applyBorder="1"/>
    <xf numFmtId="43" fontId="6" fillId="0" borderId="15" xfId="1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8" fillId="10" borderId="12" xfId="9" applyFont="1" applyFill="1" applyBorder="1"/>
    <xf numFmtId="0" fontId="8" fillId="10" borderId="14" xfId="9" applyFont="1" applyFill="1" applyBorder="1"/>
    <xf numFmtId="164" fontId="8" fillId="10" borderId="10" xfId="4" applyNumberFormat="1" applyFont="1" applyFill="1" applyBorder="1"/>
    <xf numFmtId="164" fontId="8" fillId="10" borderId="0" xfId="1" applyNumberFormat="1" applyFont="1" applyFill="1" applyBorder="1"/>
    <xf numFmtId="164" fontId="0" fillId="10" borderId="0" xfId="1" applyNumberFormat="1" applyFont="1" applyFill="1" applyBorder="1"/>
    <xf numFmtId="164" fontId="0" fillId="0" borderId="0" xfId="1" applyNumberFormat="1" applyFont="1" applyBorder="1"/>
    <xf numFmtId="164" fontId="8" fillId="10" borderId="0" xfId="2" applyNumberFormat="1" applyFont="1" applyFill="1" applyBorder="1"/>
    <xf numFmtId="164" fontId="8" fillId="10" borderId="0" xfId="4" applyNumberFormat="1" applyFont="1" applyFill="1" applyBorder="1"/>
    <xf numFmtId="164" fontId="0" fillId="0" borderId="15" xfId="1" applyNumberFormat="1" applyFont="1" applyBorder="1"/>
    <xf numFmtId="164" fontId="8" fillId="10" borderId="15" xfId="1" applyNumberFormat="1" applyFont="1" applyFill="1" applyBorder="1"/>
    <xf numFmtId="164" fontId="8" fillId="10" borderId="0" xfId="3" applyNumberFormat="1" applyFont="1" applyFill="1" applyBorder="1"/>
    <xf numFmtId="0" fontId="9" fillId="10" borderId="0" xfId="8" applyFont="1" applyFill="1" applyBorder="1"/>
    <xf numFmtId="0" fontId="9" fillId="10" borderId="0" xfId="10" applyFont="1" applyFill="1" applyBorder="1"/>
    <xf numFmtId="0" fontId="9" fillId="10" borderId="0" xfId="6" applyFont="1" applyFill="1" applyBorder="1"/>
    <xf numFmtId="0" fontId="9" fillId="10" borderId="15" xfId="6" applyFont="1" applyFill="1" applyBorder="1"/>
    <xf numFmtId="0" fontId="9" fillId="10" borderId="0" xfId="0" applyFont="1" applyFill="1"/>
    <xf numFmtId="165" fontId="0" fillId="0" borderId="6" xfId="1" applyNumberFormat="1" applyFont="1" applyBorder="1"/>
    <xf numFmtId="165" fontId="0" fillId="0" borderId="0" xfId="1" applyNumberFormat="1" applyFont="1" applyBorder="1"/>
    <xf numFmtId="165" fontId="8" fillId="10" borderId="6" xfId="1" applyNumberFormat="1" applyFont="1" applyFill="1" applyBorder="1"/>
    <xf numFmtId="165" fontId="8" fillId="10" borderId="0" xfId="1" applyNumberFormat="1" applyFont="1" applyFill="1" applyBorder="1"/>
    <xf numFmtId="165" fontId="8" fillId="10" borderId="13" xfId="1" applyNumberFormat="1" applyFont="1" applyFill="1" applyBorder="1"/>
    <xf numFmtId="14" fontId="1" fillId="6" borderId="0" xfId="7" applyNumberFormat="1" applyBorder="1"/>
    <xf numFmtId="165" fontId="6" fillId="0" borderId="3" xfId="1" applyNumberFormat="1" applyFont="1" applyBorder="1" applyAlignment="1">
      <alignment horizontal="center" vertical="center"/>
    </xf>
    <xf numFmtId="14" fontId="0" fillId="0" borderId="0" xfId="0" applyNumberFormat="1"/>
    <xf numFmtId="0" fontId="6" fillId="0" borderId="15" xfId="0" applyFont="1" applyBorder="1" applyAlignment="1">
      <alignment horizontal="center" vertical="center"/>
    </xf>
    <xf numFmtId="0" fontId="0" fillId="0" borderId="0" xfId="0"/>
    <xf numFmtId="43" fontId="1" fillId="5" borderId="10" xfId="1" applyFill="1" applyBorder="1" applyAlignment="1">
      <alignment horizontal="center" vertical="center"/>
    </xf>
    <xf numFmtId="43" fontId="1" fillId="8" borderId="10" xfId="1" applyFill="1" applyBorder="1" applyAlignment="1">
      <alignment horizontal="center" vertical="center"/>
    </xf>
    <xf numFmtId="0" fontId="1" fillId="6" borderId="10" xfId="7" applyBorder="1" applyAlignment="1">
      <alignment horizontal="center" vertical="center"/>
    </xf>
    <xf numFmtId="0" fontId="1" fillId="6" borderId="11" xfId="7" applyBorder="1" applyAlignment="1">
      <alignment horizontal="center" vertical="center"/>
    </xf>
    <xf numFmtId="0" fontId="7" fillId="0" borderId="8" xfId="5" applyFont="1" applyBorder="1" applyAlignment="1">
      <alignment horizontal="center" vertical="center"/>
    </xf>
    <xf numFmtId="0" fontId="7" fillId="0" borderId="9" xfId="5" applyFont="1" applyBorder="1" applyAlignment="1">
      <alignment horizontal="center" vertical="center"/>
    </xf>
    <xf numFmtId="0" fontId="7" fillId="0" borderId="2" xfId="5" applyFont="1" applyBorder="1" applyAlignment="1">
      <alignment horizontal="center" vertical="center"/>
    </xf>
    <xf numFmtId="0" fontId="7" fillId="0" borderId="3" xfId="5" applyFont="1" applyBorder="1" applyAlignment="1">
      <alignment horizontal="center" vertical="center"/>
    </xf>
  </cellXfs>
  <cellStyles count="11">
    <cellStyle name="40% - Accent2" xfId="7" builtinId="35"/>
    <cellStyle name="40% - Accent4" xfId="9" builtinId="43"/>
    <cellStyle name="60% - Accent1" xfId="6" builtinId="32"/>
    <cellStyle name="60% - Accent2" xfId="8" builtinId="36"/>
    <cellStyle name="60% - Accent6" xfId="10" builtinId="52"/>
    <cellStyle name="Bad" xfId="3" builtinId="27"/>
    <cellStyle name="Comma" xfId="1" builtinId="3"/>
    <cellStyle name="Good" xfId="2" builtinId="26"/>
    <cellStyle name="Linked Cell" xfId="5" builtinId="24"/>
    <cellStyle name="Neutral" xfId="4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I17"/>
  <sheetViews>
    <sheetView showGridLines="0" tabSelected="1" zoomScale="85" zoomScaleNormal="85" workbookViewId="0">
      <selection activeCell="X37" sqref="X37"/>
    </sheetView>
  </sheetViews>
  <sheetFormatPr defaultRowHeight="15" x14ac:dyDescent="0.25"/>
  <cols>
    <col min="2" max="2" width="12.85546875" bestFit="1" customWidth="1"/>
    <col min="3" max="3" width="10.7109375" bestFit="1" customWidth="1"/>
    <col min="4" max="4" width="18.28515625" bestFit="1" customWidth="1"/>
    <col min="5" max="5" width="23.85546875" bestFit="1" customWidth="1"/>
    <col min="6" max="6" width="13.42578125" bestFit="1" customWidth="1"/>
    <col min="7" max="7" width="12.140625" bestFit="1" customWidth="1"/>
    <col min="8" max="8" width="9.28515625" bestFit="1" customWidth="1"/>
    <col min="9" max="9" width="9.140625" bestFit="1" customWidth="1"/>
    <col min="10" max="10" width="12.5703125" bestFit="1" customWidth="1"/>
    <col min="11" max="11" width="8.5703125" bestFit="1" customWidth="1"/>
    <col min="12" max="12" width="11" bestFit="1" customWidth="1"/>
    <col min="13" max="13" width="13.140625" bestFit="1" customWidth="1"/>
    <col min="14" max="14" width="12.85546875" bestFit="1" customWidth="1"/>
    <col min="15" max="15" width="13.42578125" bestFit="1" customWidth="1"/>
    <col min="16" max="16" width="7.7109375" bestFit="1" customWidth="1"/>
    <col min="17" max="17" width="15" bestFit="1" customWidth="1"/>
    <col min="18" max="18" width="9.140625" bestFit="1" customWidth="1"/>
    <col min="19" max="19" width="12.5703125" bestFit="1" customWidth="1"/>
    <col min="20" max="20" width="8.5703125" bestFit="1" customWidth="1"/>
    <col min="21" max="21" width="11" bestFit="1" customWidth="1"/>
    <col min="22" max="22" width="13.140625" bestFit="1" customWidth="1"/>
    <col min="23" max="23" width="12.85546875" bestFit="1" customWidth="1"/>
    <col min="24" max="24" width="13.42578125" bestFit="1" customWidth="1"/>
    <col min="25" max="25" width="7.7109375" bestFit="1" customWidth="1"/>
    <col min="26" max="26" width="15" bestFit="1" customWidth="1"/>
    <col min="27" max="27" width="9.140625" bestFit="1" customWidth="1"/>
    <col min="28" max="28" width="11" bestFit="1" customWidth="1"/>
    <col min="29" max="29" width="7.140625" bestFit="1" customWidth="1"/>
    <col min="30" max="30" width="9.28515625" bestFit="1" customWidth="1"/>
    <col min="31" max="31" width="11.5703125" bestFit="1" customWidth="1"/>
    <col min="32" max="32" width="11.140625" bestFit="1" customWidth="1"/>
    <col min="33" max="33" width="11.7109375" bestFit="1" customWidth="1"/>
    <col min="34" max="34" width="6.28515625" bestFit="1" customWidth="1"/>
    <col min="35" max="35" width="13.42578125" bestFit="1" customWidth="1"/>
  </cols>
  <sheetData>
    <row r="1" spans="2:35" ht="15.75" thickBot="1" x14ac:dyDescent="0.3"/>
    <row r="2" spans="2:35" ht="15.75" thickBot="1" x14ac:dyDescent="0.3">
      <c r="C2" s="83" t="s">
        <v>0</v>
      </c>
      <c r="D2" s="83"/>
      <c r="E2" s="83"/>
      <c r="F2" s="83"/>
      <c r="G2" s="83"/>
      <c r="H2" s="83"/>
      <c r="I2" s="84" t="s">
        <v>1</v>
      </c>
      <c r="J2" s="84"/>
      <c r="K2" s="84"/>
      <c r="L2" s="84"/>
      <c r="M2" s="84"/>
      <c r="N2" s="84"/>
      <c r="O2" s="84"/>
      <c r="P2" s="84"/>
      <c r="Q2" s="84"/>
      <c r="R2" s="85" t="s">
        <v>2</v>
      </c>
      <c r="S2" s="85"/>
      <c r="T2" s="85"/>
      <c r="U2" s="85"/>
      <c r="V2" s="85"/>
      <c r="W2" s="85"/>
      <c r="X2" s="85"/>
      <c r="Y2" s="85"/>
      <c r="Z2" s="85"/>
      <c r="AA2" s="86" t="s">
        <v>3</v>
      </c>
      <c r="AB2" s="86"/>
      <c r="AC2" s="86"/>
      <c r="AD2" s="86"/>
      <c r="AE2" s="86"/>
      <c r="AF2" s="86"/>
      <c r="AG2" s="86"/>
      <c r="AH2" s="86"/>
      <c r="AI2" s="87"/>
    </row>
    <row r="3" spans="2:35" ht="15.75" thickBot="1" x14ac:dyDescent="0.3">
      <c r="C3" s="57" t="s">
        <v>4</v>
      </c>
      <c r="D3" s="82" t="s">
        <v>5</v>
      </c>
      <c r="E3" s="82" t="s">
        <v>6</v>
      </c>
      <c r="F3" s="82" t="s">
        <v>7</v>
      </c>
      <c r="G3" s="56" t="s">
        <v>8</v>
      </c>
      <c r="H3" s="56" t="s">
        <v>9</v>
      </c>
      <c r="I3" s="4" t="s">
        <v>10</v>
      </c>
      <c r="J3" s="3" t="s">
        <v>11</v>
      </c>
      <c r="K3" s="3" t="s">
        <v>12</v>
      </c>
      <c r="L3" s="80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4" t="s">
        <v>10</v>
      </c>
      <c r="S3" s="3" t="s">
        <v>11</v>
      </c>
      <c r="T3" s="3" t="s">
        <v>12</v>
      </c>
      <c r="U3" s="3" t="s">
        <v>13</v>
      </c>
      <c r="V3" s="3" t="s">
        <v>14</v>
      </c>
      <c r="W3" s="3" t="s">
        <v>15</v>
      </c>
      <c r="X3" s="3" t="s">
        <v>16</v>
      </c>
      <c r="Y3" s="3" t="s">
        <v>17</v>
      </c>
      <c r="Z3" s="3" t="s">
        <v>18</v>
      </c>
      <c r="AA3" s="3" t="s">
        <v>10</v>
      </c>
      <c r="AB3" s="2" t="s">
        <v>11</v>
      </c>
      <c r="AC3" s="2" t="s">
        <v>12</v>
      </c>
      <c r="AD3" s="2" t="s">
        <v>13</v>
      </c>
      <c r="AE3" s="2" t="s">
        <v>14</v>
      </c>
      <c r="AF3" s="2" t="s">
        <v>15</v>
      </c>
      <c r="AG3" s="2" t="s">
        <v>16</v>
      </c>
      <c r="AH3" s="2" t="s">
        <v>17</v>
      </c>
      <c r="AI3" s="5" t="s">
        <v>18</v>
      </c>
    </row>
    <row r="4" spans="2:35" x14ac:dyDescent="0.25">
      <c r="B4" t="s">
        <v>207</v>
      </c>
      <c r="C4" s="19">
        <v>46244</v>
      </c>
      <c r="D4" s="79" t="s">
        <v>64</v>
      </c>
      <c r="E4" s="79" t="s">
        <v>65</v>
      </c>
      <c r="F4" t="s">
        <v>66</v>
      </c>
      <c r="G4" s="20">
        <v>3.1339199999999998</v>
      </c>
      <c r="H4" s="20">
        <v>5.0312349999999997</v>
      </c>
      <c r="I4" s="74">
        <v>28.352096634999999</v>
      </c>
      <c r="J4" s="63">
        <v>2408.7077967999999</v>
      </c>
      <c r="K4" s="75">
        <v>3.1785993690000001</v>
      </c>
      <c r="L4" s="75">
        <v>-6.0583982262804197</v>
      </c>
      <c r="M4" s="20">
        <v>1.4750646113727599</v>
      </c>
      <c r="N4" s="20">
        <v>0.67536616999999999</v>
      </c>
      <c r="O4" s="20">
        <v>0.21101488600000001</v>
      </c>
      <c r="P4" s="63">
        <v>31.244515253110801</v>
      </c>
      <c r="Q4" s="63">
        <v>0</v>
      </c>
      <c r="R4" s="74">
        <v>25.930344369</v>
      </c>
      <c r="S4" s="63">
        <v>2166.9339595299998</v>
      </c>
      <c r="T4" s="75">
        <v>2.9890911720000002</v>
      </c>
      <c r="U4" s="75">
        <v>-21.691342980401402</v>
      </c>
      <c r="V4" s="20">
        <v>1.4770366917864</v>
      </c>
      <c r="W4" s="20">
        <v>0.65824554000000002</v>
      </c>
      <c r="X4" s="20">
        <v>0.206722871</v>
      </c>
      <c r="Y4" s="63">
        <v>31.4051305231783</v>
      </c>
      <c r="Z4" s="63">
        <v>0</v>
      </c>
      <c r="AA4" s="76">
        <f t="shared" ref="AA4" si="0">I4-R4</f>
        <v>2.4217522659999986</v>
      </c>
      <c r="AB4" s="61">
        <f t="shared" ref="AB4" si="1">J4-S4</f>
        <v>241.77383727000006</v>
      </c>
      <c r="AC4" s="77">
        <f t="shared" ref="AC4" si="2">K4-T4</f>
        <v>0.18950819699999988</v>
      </c>
      <c r="AD4" s="77">
        <f t="shared" ref="AD4" si="3">L4-U4</f>
        <v>15.632944754120981</v>
      </c>
      <c r="AE4" s="15">
        <f t="shared" ref="AE4" si="4">M4-V4</f>
        <v>-1.9720804136400538E-3</v>
      </c>
      <c r="AF4" s="15">
        <f t="shared" ref="AF4" si="5">N4-W4</f>
        <v>1.712062999999997E-2</v>
      </c>
      <c r="AG4" s="15">
        <f t="shared" ref="AG4" si="6">O4-X4</f>
        <v>4.2920150000000101E-3</v>
      </c>
      <c r="AH4" s="77">
        <f t="shared" ref="AH4" si="7">P4-Y4</f>
        <v>-0.16061527006749898</v>
      </c>
      <c r="AI4" s="78">
        <f t="shared" ref="AI4" si="8">Q4-Z4</f>
        <v>0</v>
      </c>
    </row>
    <row r="5" spans="2:35" x14ac:dyDescent="0.25">
      <c r="B5" t="s">
        <v>207</v>
      </c>
      <c r="C5" s="81">
        <v>46244</v>
      </c>
      <c r="D5" t="s">
        <v>64</v>
      </c>
      <c r="E5" t="s">
        <v>67</v>
      </c>
      <c r="F5" t="s">
        <v>68</v>
      </c>
      <c r="G5">
        <v>2.6339199999999998</v>
      </c>
      <c r="H5">
        <v>4.1680000000000001</v>
      </c>
      <c r="I5">
        <v>27.540608167999999</v>
      </c>
      <c r="J5">
        <v>2327.1595467769998</v>
      </c>
      <c r="K5">
        <v>3.2048381880000001</v>
      </c>
      <c r="L5">
        <v>-3.0634552783109501</v>
      </c>
      <c r="M5">
        <v>1.49270527831094</v>
      </c>
      <c r="N5">
        <v>0.50628346899999999</v>
      </c>
      <c r="O5">
        <v>0.143716284</v>
      </c>
      <c r="P5">
        <v>28.386525099044899</v>
      </c>
      <c r="Q5">
        <v>0</v>
      </c>
      <c r="R5">
        <v>25.268238836999998</v>
      </c>
      <c r="S5">
        <v>2100.1341361740001</v>
      </c>
      <c r="T5">
        <v>3.0326576799999998</v>
      </c>
      <c r="U5">
        <v>-21.717796401151599</v>
      </c>
      <c r="V5">
        <v>1.5017523032629601</v>
      </c>
      <c r="W5">
        <v>0.47814767899999999</v>
      </c>
      <c r="X5">
        <v>0.13604201099999999</v>
      </c>
      <c r="Y5">
        <v>28.4518814949638</v>
      </c>
      <c r="Z5">
        <v>0</v>
      </c>
      <c r="AA5" s="76">
        <f t="shared" ref="AA5:AA17" si="9">I5-R5</f>
        <v>2.2723693310000002</v>
      </c>
      <c r="AB5" s="61">
        <f t="shared" ref="AB5:AB17" si="10">J5-S5</f>
        <v>227.02541060299973</v>
      </c>
      <c r="AC5" s="77">
        <f t="shared" ref="AC5:AC17" si="11">K5-T5</f>
        <v>0.17218050800000029</v>
      </c>
      <c r="AD5" s="77">
        <f t="shared" ref="AD5:AD17" si="12">L5-U5</f>
        <v>18.654341122840648</v>
      </c>
      <c r="AE5" s="15">
        <f t="shared" ref="AE5:AE17" si="13">M5-V5</f>
        <v>-9.047024952020033E-3</v>
      </c>
      <c r="AF5" s="15">
        <f t="shared" ref="AF5:AF17" si="14">N5-W5</f>
        <v>2.8135789999999994E-2</v>
      </c>
      <c r="AG5" s="15">
        <f t="shared" ref="AG5:AG17" si="15">O5-X5</f>
        <v>7.6742730000000092E-3</v>
      </c>
      <c r="AH5" s="77">
        <f t="shared" ref="AH5:AH17" si="16">P5-Y5</f>
        <v>-6.5356395918900745E-2</v>
      </c>
      <c r="AI5" s="78">
        <f t="shared" ref="AI5:AI17" si="17">Q5-Z5</f>
        <v>0</v>
      </c>
    </row>
    <row r="6" spans="2:35" x14ac:dyDescent="0.25">
      <c r="B6" t="s">
        <v>207</v>
      </c>
      <c r="C6" s="81">
        <v>46244</v>
      </c>
      <c r="D6" t="s">
        <v>64</v>
      </c>
      <c r="E6" t="s">
        <v>255</v>
      </c>
      <c r="F6" t="s">
        <v>256</v>
      </c>
      <c r="G6">
        <v>0.96157000000000004</v>
      </c>
      <c r="H6">
        <v>2</v>
      </c>
      <c r="I6">
        <v>13.397001011</v>
      </c>
      <c r="J6">
        <v>910.446848768</v>
      </c>
      <c r="K6">
        <v>5.2926728379999997</v>
      </c>
      <c r="L6">
        <v>-29.166430699999999</v>
      </c>
      <c r="M6">
        <v>1.8676903499999999</v>
      </c>
      <c r="N6">
        <v>1.0135926790000001</v>
      </c>
      <c r="O6">
        <v>0.39916096699999998</v>
      </c>
      <c r="P6">
        <v>39.380806044673498</v>
      </c>
      <c r="Q6">
        <v>0</v>
      </c>
      <c r="R6">
        <v>11.455528332</v>
      </c>
      <c r="S6">
        <v>716.66786478500001</v>
      </c>
      <c r="T6">
        <v>5.2070867539999997</v>
      </c>
      <c r="U6">
        <v>-36.382291100000003</v>
      </c>
      <c r="V6">
        <v>1.8672009000000001</v>
      </c>
      <c r="W6">
        <v>1.0005349290000001</v>
      </c>
      <c r="X6">
        <v>0.39564566800000001</v>
      </c>
      <c r="Y6">
        <v>39.543413881155999</v>
      </c>
      <c r="Z6">
        <v>0</v>
      </c>
      <c r="AA6" s="76">
        <f t="shared" si="9"/>
        <v>1.9414726790000003</v>
      </c>
      <c r="AB6" s="61">
        <f t="shared" si="10"/>
        <v>193.77898398299999</v>
      </c>
      <c r="AC6" s="77">
        <f t="shared" si="11"/>
        <v>8.5586084000000007E-2</v>
      </c>
      <c r="AD6" s="77">
        <f t="shared" si="12"/>
        <v>7.2158604000000039</v>
      </c>
      <c r="AE6" s="15">
        <f t="shared" si="13"/>
        <v>4.8944999999989136E-4</v>
      </c>
      <c r="AF6" s="15">
        <f t="shared" si="14"/>
        <v>1.3057749999999979E-2</v>
      </c>
      <c r="AG6" s="15">
        <f t="shared" si="15"/>
        <v>3.5152989999999718E-3</v>
      </c>
      <c r="AH6" s="77">
        <f t="shared" si="16"/>
        <v>-0.16260783648250055</v>
      </c>
      <c r="AI6" s="78">
        <f t="shared" si="17"/>
        <v>0</v>
      </c>
    </row>
    <row r="7" spans="2:35" x14ac:dyDescent="0.25">
      <c r="B7" t="s">
        <v>207</v>
      </c>
      <c r="C7" s="81">
        <v>46244</v>
      </c>
      <c r="D7" t="s">
        <v>64</v>
      </c>
      <c r="E7" t="s">
        <v>77</v>
      </c>
      <c r="F7" t="s">
        <v>78</v>
      </c>
      <c r="G7">
        <v>0.2</v>
      </c>
      <c r="H7">
        <v>0.789385</v>
      </c>
      <c r="I7">
        <v>11.763895246000001</v>
      </c>
      <c r="J7">
        <v>726.37827503899996</v>
      </c>
      <c r="K7">
        <v>6.6159844369999998</v>
      </c>
      <c r="L7">
        <v>-7.9164164507813002</v>
      </c>
      <c r="M7">
        <v>3.5451193017348999</v>
      </c>
      <c r="N7">
        <v>0.92850243200000004</v>
      </c>
      <c r="O7">
        <v>-0.75161785599999997</v>
      </c>
      <c r="P7">
        <v>-80.949476285270507</v>
      </c>
      <c r="Q7">
        <v>0</v>
      </c>
      <c r="R7">
        <v>11.763819783000001</v>
      </c>
      <c r="S7">
        <v>726.37058537400003</v>
      </c>
      <c r="T7">
        <v>6.6159757739999998</v>
      </c>
      <c r="U7" t="s">
        <v>248</v>
      </c>
      <c r="V7">
        <v>3.5451362769751098</v>
      </c>
      <c r="W7">
        <v>0.92850118999999998</v>
      </c>
      <c r="X7">
        <v>-0.751617906</v>
      </c>
      <c r="Y7">
        <v>-80.949589951521801</v>
      </c>
      <c r="Z7">
        <v>0</v>
      </c>
      <c r="AA7" s="76">
        <f t="shared" si="9"/>
        <v>7.5462999999942326E-5</v>
      </c>
      <c r="AB7" s="61">
        <f t="shared" si="10"/>
        <v>7.6896649999298461E-3</v>
      </c>
      <c r="AC7" s="77">
        <f t="shared" si="11"/>
        <v>8.6630000000198493E-6</v>
      </c>
      <c r="AD7" s="77" t="e">
        <f t="shared" si="12"/>
        <v>#VALUE!</v>
      </c>
      <c r="AE7" s="15">
        <f t="shared" si="13"/>
        <v>-1.6975240209937681E-5</v>
      </c>
      <c r="AF7" s="15">
        <f t="shared" si="14"/>
        <v>1.242000000067911E-6</v>
      </c>
      <c r="AG7" s="15">
        <f t="shared" si="15"/>
        <v>5.0000000029193359E-8</v>
      </c>
      <c r="AH7" s="77">
        <f t="shared" si="16"/>
        <v>1.1366625129483054E-4</v>
      </c>
      <c r="AI7" s="78">
        <f t="shared" si="17"/>
        <v>0</v>
      </c>
    </row>
    <row r="8" spans="2:35" x14ac:dyDescent="0.25">
      <c r="B8" t="s">
        <v>207</v>
      </c>
      <c r="C8" s="81">
        <v>46244</v>
      </c>
      <c r="D8" t="s">
        <v>64</v>
      </c>
      <c r="E8" t="s">
        <v>87</v>
      </c>
      <c r="F8" t="s">
        <v>88</v>
      </c>
      <c r="G8">
        <v>6.8442470000000002</v>
      </c>
      <c r="H8">
        <v>99.064965000000001</v>
      </c>
      <c r="I8">
        <v>7.0933572759999999</v>
      </c>
      <c r="J8">
        <v>280.82662080699998</v>
      </c>
      <c r="K8">
        <v>2.7083333330000001</v>
      </c>
      <c r="L8">
        <v>2.3375263182094699</v>
      </c>
      <c r="M8">
        <v>2.4059074941378</v>
      </c>
      <c r="N8">
        <v>0.97363489700000005</v>
      </c>
      <c r="O8">
        <v>0.304171144</v>
      </c>
      <c r="P8">
        <v>31.240780803689699</v>
      </c>
      <c r="Q8">
        <v>0</v>
      </c>
      <c r="R8">
        <v>7.0839736240000004</v>
      </c>
      <c r="S8">
        <v>279.88700997000001</v>
      </c>
      <c r="T8">
        <v>2.7083333330000001</v>
      </c>
      <c r="U8">
        <v>2.2863543342492498</v>
      </c>
      <c r="V8">
        <v>2.4061960653799299</v>
      </c>
      <c r="W8">
        <v>0.97326000199999996</v>
      </c>
      <c r="X8">
        <v>0.30440088999999998</v>
      </c>
      <c r="Y8">
        <v>31.276420419463602</v>
      </c>
      <c r="Z8">
        <v>0</v>
      </c>
      <c r="AA8" s="76">
        <f t="shared" si="9"/>
        <v>9.383651999999465E-3</v>
      </c>
      <c r="AB8" s="61">
        <f t="shared" si="10"/>
        <v>0.93961083699997516</v>
      </c>
      <c r="AC8" s="77">
        <f t="shared" si="11"/>
        <v>0</v>
      </c>
      <c r="AD8" s="77">
        <f t="shared" si="12"/>
        <v>5.1171983960220047E-2</v>
      </c>
      <c r="AE8" s="15">
        <f t="shared" si="13"/>
        <v>-2.8857124212988694E-4</v>
      </c>
      <c r="AF8" s="15">
        <f t="shared" si="14"/>
        <v>3.7489500000009723E-4</v>
      </c>
      <c r="AG8" s="15">
        <f t="shared" si="15"/>
        <v>-2.2974599999997514E-4</v>
      </c>
      <c r="AH8" s="77">
        <f t="shared" si="16"/>
        <v>-3.5639615773902733E-2</v>
      </c>
      <c r="AI8" s="78">
        <f t="shared" si="17"/>
        <v>0</v>
      </c>
    </row>
    <row r="9" spans="2:35" x14ac:dyDescent="0.25">
      <c r="B9" t="s">
        <v>207</v>
      </c>
      <c r="C9" s="81">
        <v>46244</v>
      </c>
      <c r="D9" t="s">
        <v>64</v>
      </c>
      <c r="E9" t="s">
        <v>89</v>
      </c>
      <c r="F9" t="s">
        <v>90</v>
      </c>
      <c r="G9">
        <v>7.2101240000000004</v>
      </c>
      <c r="H9">
        <v>99.595529999999997</v>
      </c>
      <c r="I9">
        <v>7.2474972429999998</v>
      </c>
      <c r="J9">
        <v>300.42376022399998</v>
      </c>
      <c r="K9">
        <v>2.125</v>
      </c>
      <c r="L9">
        <v>2.1820061753775399</v>
      </c>
      <c r="M9">
        <v>1.91701705287376</v>
      </c>
      <c r="N9">
        <v>0.94410793000000004</v>
      </c>
      <c r="O9">
        <v>0.32134099900000002</v>
      </c>
      <c r="P9">
        <v>34.036468584688201</v>
      </c>
      <c r="Q9">
        <v>0</v>
      </c>
      <c r="R9">
        <v>7.2408784649999998</v>
      </c>
      <c r="S9">
        <v>302.821971077</v>
      </c>
      <c r="T9">
        <v>1.875</v>
      </c>
      <c r="U9">
        <v>2.0595439353553302</v>
      </c>
      <c r="V9">
        <v>1.70644393578708</v>
      </c>
      <c r="W9">
        <v>0.92917335999999995</v>
      </c>
      <c r="X9">
        <v>0.31390148600000001</v>
      </c>
      <c r="Y9">
        <v>33.782876211603799</v>
      </c>
      <c r="Z9">
        <v>0</v>
      </c>
      <c r="AA9" s="76">
        <f t="shared" si="9"/>
        <v>6.6187779999999918E-3</v>
      </c>
      <c r="AB9" s="61">
        <f t="shared" si="10"/>
        <v>-2.3982108530000232</v>
      </c>
      <c r="AC9" s="77">
        <f t="shared" si="11"/>
        <v>0.25</v>
      </c>
      <c r="AD9" s="77">
        <f t="shared" si="12"/>
        <v>0.12246224002220973</v>
      </c>
      <c r="AE9" s="15">
        <f t="shared" si="13"/>
        <v>0.21057311708668003</v>
      </c>
      <c r="AF9" s="15">
        <f t="shared" si="14"/>
        <v>1.4934570000000091E-2</v>
      </c>
      <c r="AG9" s="15">
        <f t="shared" si="15"/>
        <v>7.4395130000000087E-3</v>
      </c>
      <c r="AH9" s="77">
        <f t="shared" si="16"/>
        <v>0.25359237308440186</v>
      </c>
      <c r="AI9" s="78">
        <f t="shared" si="17"/>
        <v>0</v>
      </c>
    </row>
    <row r="10" spans="2:35" x14ac:dyDescent="0.25">
      <c r="B10" t="s">
        <v>207</v>
      </c>
      <c r="C10" s="81">
        <v>46244</v>
      </c>
      <c r="D10" t="s">
        <v>64</v>
      </c>
      <c r="E10" t="s">
        <v>257</v>
      </c>
      <c r="F10" t="s">
        <v>258</v>
      </c>
      <c r="G10">
        <v>7.1328329999999998</v>
      </c>
      <c r="H10">
        <v>99.899519999999995</v>
      </c>
      <c r="I10">
        <v>7.0663776169999997</v>
      </c>
      <c r="J10">
        <v>276.07705351800001</v>
      </c>
      <c r="K10">
        <v>3.0416666669999999</v>
      </c>
      <c r="L10">
        <v>2.65877454065846</v>
      </c>
      <c r="M10">
        <v>2.6633240690245699</v>
      </c>
      <c r="N10">
        <v>0.883067249</v>
      </c>
      <c r="O10">
        <v>0.29685886700000003</v>
      </c>
      <c r="P10">
        <v>33.616790492022901</v>
      </c>
      <c r="Q10">
        <v>0</v>
      </c>
      <c r="R10">
        <v>7.0577070639999997</v>
      </c>
      <c r="S10">
        <v>275.208844924</v>
      </c>
      <c r="T10">
        <v>3.0416666669999999</v>
      </c>
      <c r="U10">
        <v>2.6477816239757699</v>
      </c>
      <c r="V10">
        <v>2.6636275219340502</v>
      </c>
      <c r="W10">
        <v>0.83752812099999996</v>
      </c>
      <c r="X10">
        <v>0.28195742000000001</v>
      </c>
      <c r="Y10">
        <v>33.665427217338802</v>
      </c>
      <c r="Z10">
        <v>0</v>
      </c>
      <c r="AA10" s="76">
        <f t="shared" si="9"/>
        <v>8.6705529999999698E-3</v>
      </c>
      <c r="AB10" s="61">
        <f t="shared" si="10"/>
        <v>0.86820859400000927</v>
      </c>
      <c r="AC10" s="77">
        <f t="shared" si="11"/>
        <v>0</v>
      </c>
      <c r="AD10" s="77">
        <f t="shared" si="12"/>
        <v>1.099291668269009E-2</v>
      </c>
      <c r="AE10" s="15">
        <f t="shared" si="13"/>
        <v>-3.0345290948030623E-4</v>
      </c>
      <c r="AF10" s="15">
        <f t="shared" si="14"/>
        <v>4.553912800000004E-2</v>
      </c>
      <c r="AG10" s="15">
        <f t="shared" si="15"/>
        <v>1.4901447000000012E-2</v>
      </c>
      <c r="AH10" s="77">
        <f t="shared" si="16"/>
        <v>-4.8636725315901685E-2</v>
      </c>
      <c r="AI10" s="78">
        <f t="shared" si="17"/>
        <v>0</v>
      </c>
    </row>
    <row r="11" spans="2:35" x14ac:dyDescent="0.25">
      <c r="B11" t="s">
        <v>207</v>
      </c>
      <c r="C11" s="81">
        <v>46244</v>
      </c>
      <c r="D11" t="s">
        <v>64</v>
      </c>
      <c r="E11" t="s">
        <v>259</v>
      </c>
      <c r="F11" t="s">
        <v>260</v>
      </c>
      <c r="G11">
        <v>7.1328329999999998</v>
      </c>
      <c r="H11">
        <v>97.725035000000005</v>
      </c>
      <c r="I11">
        <v>7.8947988100000002</v>
      </c>
      <c r="J11">
        <v>358.93509365400001</v>
      </c>
      <c r="K11">
        <v>3.0416666669999999</v>
      </c>
      <c r="L11">
        <v>2.6444061544720898</v>
      </c>
      <c r="M11">
        <v>2.6489736800810602</v>
      </c>
      <c r="N11">
        <v>0.883067249</v>
      </c>
      <c r="O11">
        <v>0.29685886700000003</v>
      </c>
      <c r="P11">
        <v>33.616790492022901</v>
      </c>
      <c r="Q11">
        <v>0</v>
      </c>
      <c r="R11">
        <v>7.8860335719999997</v>
      </c>
      <c r="S11">
        <v>358.05740464100001</v>
      </c>
      <c r="T11">
        <v>3.0416666669999999</v>
      </c>
      <c r="U11">
        <v>2.6333464480212299</v>
      </c>
      <c r="V11">
        <v>2.6492781537504699</v>
      </c>
      <c r="W11">
        <v>0.83752812099999996</v>
      </c>
      <c r="X11">
        <v>0.28195742000000001</v>
      </c>
      <c r="Y11">
        <v>33.665427217338802</v>
      </c>
      <c r="Z11">
        <v>0</v>
      </c>
      <c r="AA11" s="76">
        <f t="shared" si="9"/>
        <v>8.7652380000005081E-3</v>
      </c>
      <c r="AB11" s="61">
        <f t="shared" si="10"/>
        <v>0.87768901300000834</v>
      </c>
      <c r="AC11" s="77">
        <f t="shared" si="11"/>
        <v>0</v>
      </c>
      <c r="AD11" s="77">
        <f t="shared" si="12"/>
        <v>1.1059706450859963E-2</v>
      </c>
      <c r="AE11" s="15">
        <f t="shared" si="13"/>
        <v>-3.0447366940977716E-4</v>
      </c>
      <c r="AF11" s="15">
        <f t="shared" si="14"/>
        <v>4.553912800000004E-2</v>
      </c>
      <c r="AG11" s="15">
        <f t="shared" si="15"/>
        <v>1.4901447000000012E-2</v>
      </c>
      <c r="AH11" s="77">
        <f t="shared" si="16"/>
        <v>-4.8636725315901685E-2</v>
      </c>
      <c r="AI11" s="78">
        <f t="shared" si="17"/>
        <v>0</v>
      </c>
    </row>
    <row r="12" spans="2:35" x14ac:dyDescent="0.25">
      <c r="B12" t="s">
        <v>207</v>
      </c>
      <c r="C12" s="81">
        <v>46244</v>
      </c>
      <c r="D12" t="s">
        <v>64</v>
      </c>
      <c r="E12" t="s">
        <v>261</v>
      </c>
      <c r="F12" t="s">
        <v>262</v>
      </c>
      <c r="G12">
        <v>7.1328329999999998</v>
      </c>
      <c r="H12">
        <v>93.091610000000003</v>
      </c>
      <c r="I12">
        <v>9.7392641970000007</v>
      </c>
      <c r="J12">
        <v>543.41768254600004</v>
      </c>
      <c r="K12">
        <v>3.0416666669999999</v>
      </c>
      <c r="L12">
        <v>2.6126969745178998</v>
      </c>
      <c r="M12">
        <v>2.61730468836021</v>
      </c>
      <c r="N12">
        <v>0.883067249</v>
      </c>
      <c r="O12">
        <v>0.29685886700000003</v>
      </c>
      <c r="P12">
        <v>33.616790492022901</v>
      </c>
      <c r="Q12">
        <v>0</v>
      </c>
      <c r="R12">
        <v>9.7302851480000001</v>
      </c>
      <c r="S12">
        <v>542.51858560799997</v>
      </c>
      <c r="T12">
        <v>3.0416666669999999</v>
      </c>
      <c r="U12">
        <v>2.6014877430952201</v>
      </c>
      <c r="V12">
        <v>2.6176114195468401</v>
      </c>
      <c r="W12">
        <v>0.83752812099999996</v>
      </c>
      <c r="X12">
        <v>0.28195742000000001</v>
      </c>
      <c r="Y12">
        <v>33.665427217338802</v>
      </c>
      <c r="Z12">
        <v>0</v>
      </c>
      <c r="AA12" s="76">
        <f t="shared" si="9"/>
        <v>8.9790490000005718E-3</v>
      </c>
      <c r="AB12" s="61">
        <f t="shared" si="10"/>
        <v>0.89909693800007062</v>
      </c>
      <c r="AC12" s="77">
        <f t="shared" si="11"/>
        <v>0</v>
      </c>
      <c r="AD12" s="77">
        <f t="shared" si="12"/>
        <v>1.1209231422679711E-2</v>
      </c>
      <c r="AE12" s="15">
        <f t="shared" si="13"/>
        <v>-3.0673118663004928E-4</v>
      </c>
      <c r="AF12" s="15">
        <f t="shared" si="14"/>
        <v>4.553912800000004E-2</v>
      </c>
      <c r="AG12" s="15">
        <f t="shared" si="15"/>
        <v>1.4901447000000012E-2</v>
      </c>
      <c r="AH12" s="77">
        <f t="shared" si="16"/>
        <v>-4.8636725315901685E-2</v>
      </c>
      <c r="AI12" s="78">
        <f t="shared" si="17"/>
        <v>0</v>
      </c>
    </row>
    <row r="13" spans="2:35" x14ac:dyDescent="0.25">
      <c r="B13" t="s">
        <v>207</v>
      </c>
      <c r="C13" s="81">
        <v>46244</v>
      </c>
      <c r="D13" t="s">
        <v>64</v>
      </c>
      <c r="E13" t="s">
        <v>310</v>
      </c>
      <c r="F13" t="s">
        <v>311</v>
      </c>
      <c r="G13">
        <v>1.7915399999999999</v>
      </c>
      <c r="H13">
        <v>2.7639999999999998</v>
      </c>
      <c r="I13">
        <v>17.956653355</v>
      </c>
      <c r="J13">
        <v>1378.149046858</v>
      </c>
      <c r="K13">
        <v>2.1724912289999998</v>
      </c>
      <c r="L13">
        <v>-22.416318958031798</v>
      </c>
      <c r="M13">
        <v>1.1988294138929201</v>
      </c>
      <c r="N13">
        <v>0.883067249</v>
      </c>
      <c r="O13">
        <v>0.29685886700000003</v>
      </c>
      <c r="P13">
        <v>33.616790492022901</v>
      </c>
      <c r="Q13">
        <v>0</v>
      </c>
      <c r="R13">
        <v>14.54363386</v>
      </c>
      <c r="S13">
        <v>1036.7996621950001</v>
      </c>
      <c r="T13">
        <v>2.0917987280000001</v>
      </c>
      <c r="U13">
        <v>-34.944284949348798</v>
      </c>
      <c r="V13">
        <v>1.21929761215629</v>
      </c>
      <c r="W13">
        <v>0.83752812099999996</v>
      </c>
      <c r="X13">
        <v>0.28195742000000001</v>
      </c>
      <c r="Y13">
        <v>33.665427217338802</v>
      </c>
      <c r="Z13">
        <v>0</v>
      </c>
      <c r="AA13" s="76">
        <f t="shared" si="9"/>
        <v>3.4130194950000003</v>
      </c>
      <c r="AB13" s="61">
        <f t="shared" si="10"/>
        <v>341.34938466299991</v>
      </c>
      <c r="AC13" s="77">
        <f t="shared" si="11"/>
        <v>8.0692500999999694E-2</v>
      </c>
      <c r="AD13" s="77">
        <f t="shared" si="12"/>
        <v>12.527965991317</v>
      </c>
      <c r="AE13" s="15">
        <f t="shared" si="13"/>
        <v>-2.0468198263369874E-2</v>
      </c>
      <c r="AF13" s="15">
        <f t="shared" si="14"/>
        <v>4.553912800000004E-2</v>
      </c>
      <c r="AG13" s="15">
        <f t="shared" si="15"/>
        <v>1.4901447000000012E-2</v>
      </c>
      <c r="AH13" s="77">
        <f t="shared" si="16"/>
        <v>-4.8636725315901685E-2</v>
      </c>
      <c r="AI13" s="78">
        <f t="shared" si="17"/>
        <v>0</v>
      </c>
    </row>
    <row r="14" spans="2:35" x14ac:dyDescent="0.25">
      <c r="B14" t="s">
        <v>207</v>
      </c>
      <c r="C14" s="81">
        <v>46244</v>
      </c>
      <c r="D14" t="s">
        <v>64</v>
      </c>
      <c r="E14" t="s">
        <v>91</v>
      </c>
      <c r="F14" t="s">
        <v>92</v>
      </c>
      <c r="G14">
        <v>0.31317200000000001</v>
      </c>
      <c r="H14">
        <v>0.53039499999999995</v>
      </c>
      <c r="I14">
        <v>19.476548693000002</v>
      </c>
      <c r="J14">
        <v>1521.022163268</v>
      </c>
      <c r="K14">
        <v>5.3418362459999997</v>
      </c>
      <c r="L14">
        <v>-47.746141272070801</v>
      </c>
      <c r="M14">
        <v>1.62173455632124</v>
      </c>
      <c r="N14">
        <v>0.78371344099999996</v>
      </c>
      <c r="O14">
        <v>0.29670481399999998</v>
      </c>
      <c r="P14">
        <v>37.858839529587698</v>
      </c>
      <c r="Q14">
        <v>0</v>
      </c>
      <c r="R14">
        <v>14.128988043</v>
      </c>
      <c r="S14">
        <v>986.71720607500004</v>
      </c>
      <c r="T14">
        <v>5.226958786</v>
      </c>
      <c r="U14">
        <v>-68.2373091752373</v>
      </c>
      <c r="V14">
        <v>1.64397401936292</v>
      </c>
      <c r="W14">
        <v>0.76701628799999999</v>
      </c>
      <c r="X14">
        <v>0.29267415000000002</v>
      </c>
      <c r="Y14">
        <v>38.157488254017402</v>
      </c>
      <c r="Z14">
        <v>0</v>
      </c>
      <c r="AA14" s="76">
        <f t="shared" si="9"/>
        <v>5.3475606500000019</v>
      </c>
      <c r="AB14" s="61">
        <f t="shared" si="10"/>
        <v>534.30495719299995</v>
      </c>
      <c r="AC14" s="77">
        <f t="shared" si="11"/>
        <v>0.11487745999999976</v>
      </c>
      <c r="AD14" s="77">
        <f t="shared" si="12"/>
        <v>20.491167903166499</v>
      </c>
      <c r="AE14" s="15">
        <f t="shared" si="13"/>
        <v>-2.2239463041680008E-2</v>
      </c>
      <c r="AF14" s="15">
        <f t="shared" si="14"/>
        <v>1.6697152999999965E-2</v>
      </c>
      <c r="AG14" s="15">
        <f t="shared" si="15"/>
        <v>4.0306639999999616E-3</v>
      </c>
      <c r="AH14" s="77">
        <f t="shared" si="16"/>
        <v>-0.2986487244297038</v>
      </c>
      <c r="AI14" s="78">
        <f t="shared" si="17"/>
        <v>0</v>
      </c>
    </row>
    <row r="15" spans="2:35" x14ac:dyDescent="0.25">
      <c r="B15" t="s">
        <v>207</v>
      </c>
      <c r="C15" s="81">
        <v>46244</v>
      </c>
      <c r="D15" t="s">
        <v>64</v>
      </c>
      <c r="E15" t="s">
        <v>95</v>
      </c>
      <c r="F15" t="s">
        <v>96</v>
      </c>
      <c r="G15">
        <v>2</v>
      </c>
      <c r="H15">
        <v>2.75</v>
      </c>
      <c r="I15">
        <v>29.195159699000001</v>
      </c>
      <c r="J15">
        <v>2495.61010115</v>
      </c>
      <c r="K15">
        <v>2.3435540879999999</v>
      </c>
      <c r="L15">
        <v>-60.581535345454498</v>
      </c>
      <c r="M15">
        <v>1.3003203999999999</v>
      </c>
      <c r="N15">
        <v>0.66606547500000002</v>
      </c>
      <c r="O15">
        <v>0.18802116899999999</v>
      </c>
      <c r="P15">
        <v>28.228631577098302</v>
      </c>
      <c r="Q15">
        <v>0</v>
      </c>
      <c r="R15">
        <v>25.348700129000001</v>
      </c>
      <c r="S15">
        <v>2111.2885021339998</v>
      </c>
      <c r="T15">
        <v>2.1633200430000001</v>
      </c>
      <c r="U15">
        <v>-78.460830981818205</v>
      </c>
      <c r="V15">
        <v>1.3064762181818099</v>
      </c>
      <c r="W15">
        <v>0.64286090299999998</v>
      </c>
      <c r="X15">
        <v>0.17993668800000001</v>
      </c>
      <c r="Y15">
        <v>27.989987750118299</v>
      </c>
      <c r="Z15">
        <v>0</v>
      </c>
      <c r="AA15" s="76">
        <f t="shared" si="9"/>
        <v>3.8464595700000004</v>
      </c>
      <c r="AB15" s="61">
        <f t="shared" si="10"/>
        <v>384.32159901600016</v>
      </c>
      <c r="AC15" s="77">
        <f t="shared" si="11"/>
        <v>0.18023404499999973</v>
      </c>
      <c r="AD15" s="77">
        <f t="shared" si="12"/>
        <v>17.879295636363707</v>
      </c>
      <c r="AE15" s="15">
        <f t="shared" si="13"/>
        <v>-6.1558181818099911E-3</v>
      </c>
      <c r="AF15" s="15">
        <f t="shared" si="14"/>
        <v>2.3204572000000034E-2</v>
      </c>
      <c r="AG15" s="15">
        <f t="shared" si="15"/>
        <v>8.0844809999999767E-3</v>
      </c>
      <c r="AH15" s="77">
        <f t="shared" si="16"/>
        <v>0.23864382698000242</v>
      </c>
      <c r="AI15" s="78">
        <f t="shared" si="17"/>
        <v>0</v>
      </c>
    </row>
    <row r="16" spans="2:35" x14ac:dyDescent="0.25">
      <c r="B16" t="s">
        <v>207</v>
      </c>
      <c r="C16" s="81">
        <v>46244</v>
      </c>
      <c r="D16" t="s">
        <v>64</v>
      </c>
      <c r="E16" t="s">
        <v>99</v>
      </c>
      <c r="F16" t="s">
        <v>100</v>
      </c>
      <c r="G16">
        <v>3.0332599999999998</v>
      </c>
      <c r="H16">
        <v>5.5</v>
      </c>
      <c r="I16">
        <v>27.282576035999998</v>
      </c>
      <c r="J16">
        <v>2295.9761514679999</v>
      </c>
      <c r="K16">
        <v>4.2268698149999997</v>
      </c>
      <c r="L16">
        <v>-13.0010127636364</v>
      </c>
      <c r="M16">
        <v>1.76838900000001</v>
      </c>
      <c r="N16">
        <v>0.75045333000000003</v>
      </c>
      <c r="O16">
        <v>0.17430203799999999</v>
      </c>
      <c r="P16">
        <v>23.226232869137899</v>
      </c>
      <c r="Q16">
        <v>0</v>
      </c>
      <c r="R16">
        <v>26.179327288</v>
      </c>
      <c r="S16">
        <v>2185.5652062909999</v>
      </c>
      <c r="T16">
        <v>4.0939856250000002</v>
      </c>
      <c r="U16">
        <v>-29.892031200000002</v>
      </c>
      <c r="V16">
        <v>1.7834362909090999</v>
      </c>
      <c r="W16">
        <v>0.73226718800000001</v>
      </c>
      <c r="X16">
        <v>0.16969759700000001</v>
      </c>
      <c r="Y16">
        <v>23.1742729676971</v>
      </c>
      <c r="Z16">
        <v>0</v>
      </c>
      <c r="AA16" s="76">
        <f t="shared" si="9"/>
        <v>1.1032487479999986</v>
      </c>
      <c r="AB16" s="61">
        <f t="shared" si="10"/>
        <v>110.41094517700003</v>
      </c>
      <c r="AC16" s="77">
        <f t="shared" si="11"/>
        <v>0.13288418999999951</v>
      </c>
      <c r="AD16" s="77">
        <f t="shared" si="12"/>
        <v>16.891018436363602</v>
      </c>
      <c r="AE16" s="15">
        <f t="shared" si="13"/>
        <v>-1.5047290909089961E-2</v>
      </c>
      <c r="AF16" s="15">
        <f t="shared" si="14"/>
        <v>1.8186142000000016E-2</v>
      </c>
      <c r="AG16" s="15">
        <f t="shared" si="15"/>
        <v>4.6044409999999869E-3</v>
      </c>
      <c r="AH16" s="77">
        <f t="shared" si="16"/>
        <v>5.1959901440799428E-2</v>
      </c>
      <c r="AI16" s="78">
        <f t="shared" si="17"/>
        <v>0</v>
      </c>
    </row>
    <row r="17" spans="2:35" x14ac:dyDescent="0.25">
      <c r="B17" t="s">
        <v>207</v>
      </c>
      <c r="C17" s="81">
        <v>46244</v>
      </c>
      <c r="D17" t="s">
        <v>64</v>
      </c>
      <c r="E17" t="s">
        <v>101</v>
      </c>
      <c r="F17" t="s">
        <v>102</v>
      </c>
      <c r="G17">
        <v>0.13406999999999999</v>
      </c>
      <c r="H17">
        <v>0.22933500000000001</v>
      </c>
      <c r="I17">
        <v>16.584399908000002</v>
      </c>
      <c r="J17">
        <v>1233.8160088489999</v>
      </c>
      <c r="K17">
        <v>4.2268698149999997</v>
      </c>
      <c r="L17">
        <v>-45.954590446290403</v>
      </c>
      <c r="M17">
        <v>1.53956657291736</v>
      </c>
      <c r="N17">
        <v>0.75045333000000003</v>
      </c>
      <c r="O17">
        <v>0.17430203799999999</v>
      </c>
      <c r="P17">
        <v>23.226232869137899</v>
      </c>
      <c r="Q17">
        <v>0</v>
      </c>
      <c r="R17">
        <v>11.895817848</v>
      </c>
      <c r="S17">
        <v>765.59291047600004</v>
      </c>
      <c r="T17">
        <v>4.0939856250000002</v>
      </c>
      <c r="U17">
        <v>-65.182531231604401</v>
      </c>
      <c r="V17">
        <v>1.5431033204700499</v>
      </c>
      <c r="W17">
        <v>0.73226718800000001</v>
      </c>
      <c r="X17">
        <v>0.16969759700000001</v>
      </c>
      <c r="Y17">
        <v>23.1742729676971</v>
      </c>
      <c r="Z17">
        <v>0</v>
      </c>
      <c r="AA17" s="76">
        <f t="shared" si="9"/>
        <v>4.6885820600000017</v>
      </c>
      <c r="AB17" s="61">
        <f t="shared" si="10"/>
        <v>468.22309837299986</v>
      </c>
      <c r="AC17" s="77">
        <f t="shared" si="11"/>
        <v>0.13288418999999951</v>
      </c>
      <c r="AD17" s="77">
        <f t="shared" si="12"/>
        <v>19.227940785313997</v>
      </c>
      <c r="AE17" s="15">
        <f t="shared" si="13"/>
        <v>-3.5367475526899561E-3</v>
      </c>
      <c r="AF17" s="15">
        <f t="shared" si="14"/>
        <v>1.8186142000000016E-2</v>
      </c>
      <c r="AG17" s="15">
        <f t="shared" si="15"/>
        <v>4.6044409999999869E-3</v>
      </c>
      <c r="AH17" s="77">
        <f t="shared" si="16"/>
        <v>5.1959901440799428E-2</v>
      </c>
      <c r="AI17" s="78">
        <f t="shared" si="17"/>
        <v>0</v>
      </c>
    </row>
  </sheetData>
  <mergeCells count="4">
    <mergeCell ref="C2:H2"/>
    <mergeCell ref="I2:Q2"/>
    <mergeCell ref="R2:Z2"/>
    <mergeCell ref="AA2:AI2"/>
  </mergeCells>
  <phoneticPr fontId="10" type="noConversion"/>
  <conditionalFormatting sqref="AA4:AA17">
    <cfRule type="colorScale" priority="8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AB4:AB17">
    <cfRule type="colorScale" priority="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4:AC17">
    <cfRule type="colorScale" priority="8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4:AD17">
    <cfRule type="colorScale" priority="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F4:AF17">
    <cfRule type="colorScale" priority="90">
      <colorScale>
        <cfvo type="min"/>
        <cfvo type="num" val="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D131-E9C8-41DE-A4F0-CA92B7FABCB5}">
  <dimension ref="B1:AI126"/>
  <sheetViews>
    <sheetView topLeftCell="A19" workbookViewId="0">
      <selection activeCell="B45" sqref="B45:Z71"/>
    </sheetView>
  </sheetViews>
  <sheetFormatPr defaultRowHeight="15" x14ac:dyDescent="0.25"/>
  <cols>
    <col min="2" max="2" width="10.42578125" bestFit="1" customWidth="1"/>
    <col min="3" max="3" width="9.7109375" bestFit="1" customWidth="1"/>
    <col min="4" max="4" width="15.28515625" bestFit="1" customWidth="1"/>
    <col min="5" max="5" width="20.85546875" bestFit="1" customWidth="1"/>
    <col min="6" max="6" width="11.42578125" bestFit="1" customWidth="1"/>
    <col min="7" max="7" width="9.28515625" bestFit="1" customWidth="1"/>
    <col min="8" max="8" width="8" bestFit="1" customWidth="1"/>
    <col min="9" max="9" width="7.7109375" bestFit="1" customWidth="1"/>
    <col min="10" max="10" width="10.28515625" bestFit="1" customWidth="1"/>
    <col min="11" max="11" width="7" bestFit="1" customWidth="1"/>
    <col min="12" max="12" width="8.7109375" bestFit="1" customWidth="1"/>
    <col min="13" max="14" width="10" bestFit="1" customWidth="1"/>
    <col min="15" max="15" width="10.28515625" bestFit="1" customWidth="1"/>
    <col min="16" max="16" width="7.7109375" bestFit="1" customWidth="1"/>
    <col min="17" max="17" width="12.5703125" bestFit="1" customWidth="1"/>
    <col min="18" max="18" width="7.7109375" bestFit="1" customWidth="1"/>
    <col min="19" max="19" width="10.28515625" bestFit="1" customWidth="1"/>
    <col min="20" max="20" width="7" bestFit="1" customWidth="1"/>
    <col min="21" max="21" width="8.7109375" bestFit="1" customWidth="1"/>
    <col min="22" max="23" width="10" bestFit="1" customWidth="1"/>
    <col min="24" max="24" width="10.28515625" bestFit="1" customWidth="1"/>
    <col min="25" max="25" width="7.7109375" bestFit="1" customWidth="1"/>
    <col min="26" max="26" width="12.5703125" bestFit="1" customWidth="1"/>
    <col min="27" max="27" width="7" bestFit="1" customWidth="1"/>
    <col min="28" max="28" width="8" bestFit="1" customWidth="1"/>
    <col min="29" max="29" width="5.140625" bestFit="1" customWidth="1"/>
    <col min="30" max="30" width="7" bestFit="1" customWidth="1"/>
    <col min="31" max="32" width="8.5703125" bestFit="1" customWidth="1"/>
    <col min="33" max="33" width="8.85546875" bestFit="1" customWidth="1"/>
    <col min="34" max="34" width="8.42578125" bestFit="1" customWidth="1"/>
    <col min="35" max="35" width="11.140625" bestFit="1" customWidth="1"/>
  </cols>
  <sheetData>
    <row r="1" spans="2:35" ht="15.75" thickBot="1" x14ac:dyDescent="0.3"/>
    <row r="2" spans="2:35" ht="21.75" thickBot="1" x14ac:dyDescent="0.3">
      <c r="C2" s="88" t="s">
        <v>0</v>
      </c>
      <c r="D2" s="89"/>
      <c r="E2" s="89"/>
      <c r="F2" s="89"/>
      <c r="G2" s="89"/>
      <c r="H2" s="89"/>
      <c r="I2" s="84" t="s">
        <v>1</v>
      </c>
      <c r="J2" s="84"/>
      <c r="K2" s="84"/>
      <c r="L2" s="84"/>
      <c r="M2" s="84"/>
      <c r="N2" s="84"/>
      <c r="O2" s="84"/>
      <c r="P2" s="84"/>
      <c r="Q2" s="84"/>
      <c r="R2" s="85" t="s">
        <v>2</v>
      </c>
      <c r="S2" s="85"/>
      <c r="T2" s="85"/>
      <c r="U2" s="85"/>
      <c r="V2" s="85"/>
      <c r="W2" s="85"/>
      <c r="X2" s="85"/>
      <c r="Y2" s="85"/>
      <c r="Z2" s="85"/>
      <c r="AA2" s="86" t="s">
        <v>3</v>
      </c>
      <c r="AB2" s="86"/>
      <c r="AC2" s="86"/>
      <c r="AD2" s="86"/>
      <c r="AE2" s="86"/>
      <c r="AF2" s="86"/>
      <c r="AG2" s="86"/>
      <c r="AH2" s="86"/>
      <c r="AI2" s="87"/>
    </row>
    <row r="3" spans="2:35" ht="16.5" thickTop="1" thickBot="1" x14ac:dyDescent="0.3">
      <c r="C3" s="1" t="s">
        <v>4</v>
      </c>
      <c r="D3" s="2" t="s">
        <v>5</v>
      </c>
      <c r="E3" s="2" t="s">
        <v>6</v>
      </c>
      <c r="F3" s="2" t="s">
        <v>7</v>
      </c>
      <c r="G3" s="3" t="s">
        <v>8</v>
      </c>
      <c r="H3" s="3" t="s">
        <v>9</v>
      </c>
      <c r="I3" s="4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4" t="s">
        <v>10</v>
      </c>
      <c r="S3" s="3" t="s">
        <v>11</v>
      </c>
      <c r="T3" s="3" t="s">
        <v>12</v>
      </c>
      <c r="U3" s="3" t="s">
        <v>13</v>
      </c>
      <c r="V3" s="3" t="s">
        <v>14</v>
      </c>
      <c r="W3" s="3" t="s">
        <v>15</v>
      </c>
      <c r="X3" s="3" t="s">
        <v>16</v>
      </c>
      <c r="Y3" s="3" t="s">
        <v>17</v>
      </c>
      <c r="Z3" s="3" t="s">
        <v>18</v>
      </c>
      <c r="AA3" s="3" t="s">
        <v>10</v>
      </c>
      <c r="AB3" s="2" t="s">
        <v>11</v>
      </c>
      <c r="AC3" s="2" t="s">
        <v>12</v>
      </c>
      <c r="AD3" s="2" t="s">
        <v>13</v>
      </c>
      <c r="AE3" s="2" t="s">
        <v>14</v>
      </c>
      <c r="AF3" s="2" t="s">
        <v>15</v>
      </c>
      <c r="AG3" s="2" t="s">
        <v>16</v>
      </c>
      <c r="AH3" s="2" t="s">
        <v>17</v>
      </c>
      <c r="AI3" s="5" t="s">
        <v>18</v>
      </c>
    </row>
    <row r="4" spans="2:35" x14ac:dyDescent="0.25">
      <c r="B4" t="s">
        <v>207</v>
      </c>
      <c r="C4" s="9">
        <v>46064</v>
      </c>
      <c r="D4" s="35" t="s">
        <v>208</v>
      </c>
      <c r="E4" s="35" t="s">
        <v>209</v>
      </c>
      <c r="F4" s="10" t="s">
        <v>210</v>
      </c>
      <c r="G4" s="11">
        <v>13.06176</v>
      </c>
      <c r="H4" s="11">
        <v>105.45</v>
      </c>
      <c r="I4" s="6">
        <v>5.5172293269999999</v>
      </c>
      <c r="J4" s="11">
        <v>199.82754308700001</v>
      </c>
      <c r="K4" s="11">
        <v>0.73963469500000001</v>
      </c>
      <c r="L4" s="11">
        <v>4.3699691797062998E-2</v>
      </c>
      <c r="M4" s="11">
        <v>0.69806617543860705</v>
      </c>
      <c r="N4" s="11">
        <v>1.1407211129999999</v>
      </c>
      <c r="O4" s="11">
        <v>4.0755034000000002E-2</v>
      </c>
      <c r="P4" s="11">
        <v>3.57274302505173</v>
      </c>
      <c r="Q4" s="11">
        <v>0</v>
      </c>
      <c r="R4" s="6">
        <v>5.5172293269999999</v>
      </c>
      <c r="S4" s="11">
        <v>199.82754308700001</v>
      </c>
      <c r="T4" s="11">
        <v>0.73963469500000001</v>
      </c>
      <c r="U4" s="11">
        <v>4.3699691797062998E-2</v>
      </c>
      <c r="V4" s="11">
        <v>0.69806617543860705</v>
      </c>
      <c r="W4" s="11">
        <v>1.1407211129999999</v>
      </c>
      <c r="X4" s="11">
        <v>4.0755034000000002E-2</v>
      </c>
      <c r="Y4" s="11">
        <v>3.57274302505173</v>
      </c>
      <c r="Z4" s="11">
        <v>0</v>
      </c>
      <c r="AA4" s="7">
        <f>I4-R4</f>
        <v>0</v>
      </c>
      <c r="AB4" s="11">
        <f>J4-S4</f>
        <v>0</v>
      </c>
      <c r="AC4" s="11">
        <f t="shared" ref="AC4:AI5" si="0">K4-T4</f>
        <v>0</v>
      </c>
      <c r="AD4" s="11">
        <f t="shared" si="0"/>
        <v>0</v>
      </c>
      <c r="AE4" s="11">
        <f t="shared" si="0"/>
        <v>0</v>
      </c>
      <c r="AF4" s="11">
        <f t="shared" si="0"/>
        <v>0</v>
      </c>
      <c r="AG4" s="11">
        <f t="shared" si="0"/>
        <v>0</v>
      </c>
      <c r="AH4" s="11">
        <f t="shared" si="0"/>
        <v>0</v>
      </c>
      <c r="AI4" s="12">
        <f t="shared" si="0"/>
        <v>0</v>
      </c>
    </row>
    <row r="5" spans="2:35" x14ac:dyDescent="0.25">
      <c r="B5" t="s">
        <v>207</v>
      </c>
      <c r="C5" s="13">
        <v>46064</v>
      </c>
      <c r="D5" s="35" t="s">
        <v>208</v>
      </c>
      <c r="E5" s="35" t="s">
        <v>246</v>
      </c>
      <c r="F5" s="14" t="s">
        <v>247</v>
      </c>
      <c r="G5" s="15">
        <v>9.5472800000000007</v>
      </c>
      <c r="H5" s="15">
        <v>115.68904999999999</v>
      </c>
      <c r="I5" s="6">
        <v>6.3114005769999997</v>
      </c>
      <c r="J5" s="15">
        <v>231.43789822400001</v>
      </c>
      <c r="K5" s="15">
        <v>6.3175758059999998</v>
      </c>
      <c r="L5" s="15">
        <v>0.42556154277348501</v>
      </c>
      <c r="M5" s="15">
        <v>4.6123460949847903</v>
      </c>
      <c r="N5" s="15">
        <v>3.3136100000000001E-4</v>
      </c>
      <c r="O5" s="15">
        <v>0</v>
      </c>
      <c r="P5" s="15" t="s">
        <v>248</v>
      </c>
      <c r="Q5" s="15">
        <v>0</v>
      </c>
      <c r="R5" s="6">
        <v>6.3114005769999997</v>
      </c>
      <c r="S5" s="15">
        <v>231.43789822400001</v>
      </c>
      <c r="T5" s="15">
        <v>6.3175758059999998</v>
      </c>
      <c r="U5" s="15">
        <v>0.42556154277348501</v>
      </c>
      <c r="V5" s="15">
        <v>4.6123460949847903</v>
      </c>
      <c r="W5" s="15">
        <v>3.3136100000000001E-4</v>
      </c>
      <c r="X5" s="15">
        <v>0</v>
      </c>
      <c r="Y5" s="15" t="s">
        <v>248</v>
      </c>
      <c r="Z5" s="15">
        <v>0</v>
      </c>
      <c r="AA5" s="8">
        <f t="shared" ref="AA5:AB5" si="1">I5-R5</f>
        <v>0</v>
      </c>
      <c r="AB5" s="15">
        <f t="shared" si="1"/>
        <v>0</v>
      </c>
      <c r="AC5" s="15">
        <f t="shared" si="0"/>
        <v>0</v>
      </c>
      <c r="AD5" s="15">
        <f t="shared" si="0"/>
        <v>0</v>
      </c>
      <c r="AE5" s="15">
        <f t="shared" si="0"/>
        <v>0</v>
      </c>
      <c r="AF5" s="15">
        <f t="shared" si="0"/>
        <v>0</v>
      </c>
      <c r="AG5" s="15">
        <f t="shared" si="0"/>
        <v>0</v>
      </c>
      <c r="AH5" s="15" t="e">
        <f t="shared" si="0"/>
        <v>#VALUE!</v>
      </c>
      <c r="AI5" s="16">
        <f t="shared" si="0"/>
        <v>0</v>
      </c>
    </row>
    <row r="6" spans="2:35" x14ac:dyDescent="0.25">
      <c r="B6" t="s">
        <v>207</v>
      </c>
      <c r="C6" s="13">
        <v>46064</v>
      </c>
      <c r="D6" s="35" t="s">
        <v>31</v>
      </c>
      <c r="E6" s="35" t="s">
        <v>32</v>
      </c>
      <c r="F6" s="14" t="s">
        <v>33</v>
      </c>
      <c r="G6" s="15">
        <v>9.6972799999999992</v>
      </c>
      <c r="H6" s="15">
        <v>103.109375</v>
      </c>
      <c r="I6" s="6">
        <v>5.1924445950000004</v>
      </c>
      <c r="J6" s="15">
        <v>165.216657164</v>
      </c>
      <c r="K6" s="15">
        <v>0.70833333300000001</v>
      </c>
      <c r="L6" s="15">
        <v>3.8336078557365101E-2</v>
      </c>
      <c r="M6" s="15">
        <v>0.67571859202909301</v>
      </c>
      <c r="N6" s="15">
        <v>0.35729050800000001</v>
      </c>
      <c r="O6" s="15">
        <v>1.4629513E-2</v>
      </c>
      <c r="P6" s="15">
        <v>4.0945708526911098</v>
      </c>
      <c r="Q6" s="15">
        <v>0</v>
      </c>
      <c r="R6" s="6">
        <v>5.1924445950000004</v>
      </c>
      <c r="S6" s="15">
        <v>165.216657164</v>
      </c>
      <c r="T6" s="15">
        <v>0.70833333300000001</v>
      </c>
      <c r="U6" s="15">
        <v>3.8336078557365101E-2</v>
      </c>
      <c r="V6" s="15">
        <v>0.67571859202909301</v>
      </c>
      <c r="W6" s="15">
        <v>0.35729050800000001</v>
      </c>
      <c r="X6" s="15">
        <v>1.4629513E-2</v>
      </c>
      <c r="Y6" s="15">
        <v>4.0945708526911098</v>
      </c>
      <c r="Z6" s="15">
        <v>0</v>
      </c>
      <c r="AA6" s="8">
        <f t="shared" ref="AA6:AA69" si="2">I6-R6</f>
        <v>0</v>
      </c>
      <c r="AB6" s="15">
        <f t="shared" ref="AB6:AB69" si="3">J6-S6</f>
        <v>0</v>
      </c>
      <c r="AC6" s="15">
        <f t="shared" ref="AC6:AC69" si="4">K6-T6</f>
        <v>0</v>
      </c>
      <c r="AD6" s="15">
        <f t="shared" ref="AD6:AD69" si="5">L6-U6</f>
        <v>0</v>
      </c>
      <c r="AE6" s="15">
        <f t="shared" ref="AE6:AE69" si="6">M6-V6</f>
        <v>0</v>
      </c>
      <c r="AF6" s="15">
        <f t="shared" ref="AF6:AF69" si="7">N6-W6</f>
        <v>0</v>
      </c>
      <c r="AG6" s="15">
        <f t="shared" ref="AG6:AG69" si="8">O6-X6</f>
        <v>0</v>
      </c>
      <c r="AH6" s="15">
        <f t="shared" ref="AH6:AH69" si="9">P6-Y6</f>
        <v>0</v>
      </c>
      <c r="AI6" s="16">
        <f t="shared" ref="AI6:AI69" si="10">Q6-Z6</f>
        <v>0</v>
      </c>
    </row>
    <row r="7" spans="2:35" x14ac:dyDescent="0.25">
      <c r="B7" t="s">
        <v>207</v>
      </c>
      <c r="C7" s="13">
        <v>46064</v>
      </c>
      <c r="D7" s="35" t="s">
        <v>31</v>
      </c>
      <c r="E7" s="35" t="s">
        <v>34</v>
      </c>
      <c r="F7" s="14" t="s">
        <v>35</v>
      </c>
      <c r="G7" s="15">
        <v>9.8972800000000003</v>
      </c>
      <c r="H7" s="15">
        <v>103.523438</v>
      </c>
      <c r="I7" s="6">
        <v>5.2899512499999997</v>
      </c>
      <c r="J7" s="15">
        <v>177.76493014600001</v>
      </c>
      <c r="K7" s="15">
        <v>0.78888888899999998</v>
      </c>
      <c r="L7" s="15">
        <v>3.8969190725687303E-2</v>
      </c>
      <c r="M7" s="15">
        <v>0.75089453076317003</v>
      </c>
      <c r="N7" s="15">
        <v>0.546641355</v>
      </c>
      <c r="O7" s="15">
        <v>2.9266178E-2</v>
      </c>
      <c r="P7" s="15">
        <v>5.3538170378638803</v>
      </c>
      <c r="Q7" s="15">
        <v>0</v>
      </c>
      <c r="R7" s="6">
        <v>5.2899512499999997</v>
      </c>
      <c r="S7" s="15">
        <v>177.76493014600001</v>
      </c>
      <c r="T7" s="15">
        <v>0.78888888899999998</v>
      </c>
      <c r="U7" s="15">
        <v>3.8969190725687303E-2</v>
      </c>
      <c r="V7" s="15">
        <v>0.75089453076317003</v>
      </c>
      <c r="W7" s="15">
        <v>0.546641355</v>
      </c>
      <c r="X7" s="15">
        <v>2.9266178E-2</v>
      </c>
      <c r="Y7" s="15">
        <v>5.3538170378638803</v>
      </c>
      <c r="Z7" s="15">
        <v>0</v>
      </c>
      <c r="AA7" s="8">
        <f t="shared" si="2"/>
        <v>0</v>
      </c>
      <c r="AB7" s="15">
        <f t="shared" si="3"/>
        <v>0</v>
      </c>
      <c r="AC7" s="15">
        <f t="shared" si="4"/>
        <v>0</v>
      </c>
      <c r="AD7" s="15">
        <f t="shared" si="5"/>
        <v>0</v>
      </c>
      <c r="AE7" s="15">
        <f t="shared" si="6"/>
        <v>0</v>
      </c>
      <c r="AF7" s="15">
        <f t="shared" si="7"/>
        <v>0</v>
      </c>
      <c r="AG7" s="15">
        <f t="shared" si="8"/>
        <v>0</v>
      </c>
      <c r="AH7" s="15">
        <f t="shared" si="9"/>
        <v>0</v>
      </c>
      <c r="AI7" s="16">
        <f t="shared" si="10"/>
        <v>0</v>
      </c>
    </row>
    <row r="8" spans="2:35" x14ac:dyDescent="0.25">
      <c r="B8" t="s">
        <v>207</v>
      </c>
      <c r="C8" s="13">
        <v>46064</v>
      </c>
      <c r="D8" s="35" t="s">
        <v>31</v>
      </c>
      <c r="E8" s="35" t="s">
        <v>36</v>
      </c>
      <c r="F8" s="14" t="s">
        <v>37</v>
      </c>
      <c r="G8" s="15">
        <v>11.34728</v>
      </c>
      <c r="H8" s="15">
        <v>105.45</v>
      </c>
      <c r="I8" s="6">
        <v>5.4100207820000001</v>
      </c>
      <c r="J8" s="15">
        <v>194.14105544899999</v>
      </c>
      <c r="K8" s="15">
        <v>0.95555555599999997</v>
      </c>
      <c r="L8" s="15">
        <v>4.6124756756757E-2</v>
      </c>
      <c r="M8" s="15">
        <v>0.89786332195352903</v>
      </c>
      <c r="N8" s="15">
        <v>0.62801753500000002</v>
      </c>
      <c r="O8" s="15">
        <v>3.7564571999999997E-2</v>
      </c>
      <c r="P8" s="15">
        <v>5.9814527312521601</v>
      </c>
      <c r="Q8" s="15">
        <v>0</v>
      </c>
      <c r="R8" s="6">
        <v>5.4100207820000001</v>
      </c>
      <c r="S8" s="15">
        <v>194.14105544899999</v>
      </c>
      <c r="T8" s="15">
        <v>0.95555555599999997</v>
      </c>
      <c r="U8" s="15">
        <v>4.6124756756757E-2</v>
      </c>
      <c r="V8" s="15">
        <v>0.89786332195352903</v>
      </c>
      <c r="W8" s="15">
        <v>0.62801753500000002</v>
      </c>
      <c r="X8" s="15">
        <v>3.7564571999999997E-2</v>
      </c>
      <c r="Y8" s="15">
        <v>5.9814527312521601</v>
      </c>
      <c r="Z8" s="15">
        <v>0</v>
      </c>
      <c r="AA8" s="8">
        <f t="shared" si="2"/>
        <v>0</v>
      </c>
      <c r="AB8" s="15">
        <f t="shared" si="3"/>
        <v>0</v>
      </c>
      <c r="AC8" s="15">
        <f t="shared" si="4"/>
        <v>0</v>
      </c>
      <c r="AD8" s="15">
        <f t="shared" si="5"/>
        <v>0</v>
      </c>
      <c r="AE8" s="15">
        <f t="shared" si="6"/>
        <v>0</v>
      </c>
      <c r="AF8" s="15">
        <f t="shared" si="7"/>
        <v>0</v>
      </c>
      <c r="AG8" s="15">
        <f t="shared" si="8"/>
        <v>0</v>
      </c>
      <c r="AH8" s="15">
        <f t="shared" si="9"/>
        <v>0</v>
      </c>
      <c r="AI8" s="16">
        <f t="shared" si="10"/>
        <v>0</v>
      </c>
    </row>
    <row r="9" spans="2:35" x14ac:dyDescent="0.25">
      <c r="B9" t="s">
        <v>207</v>
      </c>
      <c r="C9" s="13">
        <v>46064</v>
      </c>
      <c r="D9" s="35" t="s">
        <v>31</v>
      </c>
      <c r="E9" s="35" t="s">
        <v>38</v>
      </c>
      <c r="F9" s="14" t="s">
        <v>39</v>
      </c>
      <c r="G9" s="15">
        <v>13.197279999999999</v>
      </c>
      <c r="H9" s="15">
        <v>108.5</v>
      </c>
      <c r="I9" s="6">
        <v>5.2487755810000003</v>
      </c>
      <c r="J9" s="15">
        <v>177.649952953</v>
      </c>
      <c r="K9" s="15">
        <v>1.122222222</v>
      </c>
      <c r="L9" s="15">
        <v>6.21768912442364E-2</v>
      </c>
      <c r="M9" s="15">
        <v>1.03381526175116</v>
      </c>
      <c r="N9" s="15">
        <v>0.46273329899999999</v>
      </c>
      <c r="O9" s="15">
        <v>2.6475373999999999E-2</v>
      </c>
      <c r="P9" s="15">
        <v>5.72151908177241</v>
      </c>
      <c r="Q9" s="15">
        <v>0</v>
      </c>
      <c r="R9" s="6">
        <v>5.2487755810000003</v>
      </c>
      <c r="S9" s="15">
        <v>177.649952953</v>
      </c>
      <c r="T9" s="15">
        <v>1.122222222</v>
      </c>
      <c r="U9" s="15">
        <v>6.21768912442364E-2</v>
      </c>
      <c r="V9" s="15">
        <v>1.03381526175116</v>
      </c>
      <c r="W9" s="15">
        <v>0.46273329899999999</v>
      </c>
      <c r="X9" s="15">
        <v>2.6475373999999999E-2</v>
      </c>
      <c r="Y9" s="15">
        <v>5.72151908177241</v>
      </c>
      <c r="Z9" s="15">
        <v>0</v>
      </c>
      <c r="AA9" s="8">
        <f t="shared" si="2"/>
        <v>0</v>
      </c>
      <c r="AB9" s="15">
        <f t="shared" si="3"/>
        <v>0</v>
      </c>
      <c r="AC9" s="15">
        <f t="shared" si="4"/>
        <v>0</v>
      </c>
      <c r="AD9" s="15">
        <f t="shared" si="5"/>
        <v>0</v>
      </c>
      <c r="AE9" s="15">
        <f t="shared" si="6"/>
        <v>0</v>
      </c>
      <c r="AF9" s="15">
        <f t="shared" si="7"/>
        <v>0</v>
      </c>
      <c r="AG9" s="15">
        <f t="shared" si="8"/>
        <v>0</v>
      </c>
      <c r="AH9" s="15">
        <f t="shared" si="9"/>
        <v>0</v>
      </c>
      <c r="AI9" s="16">
        <f t="shared" si="10"/>
        <v>0</v>
      </c>
    </row>
    <row r="10" spans="2:35" x14ac:dyDescent="0.25">
      <c r="B10" t="s">
        <v>207</v>
      </c>
      <c r="C10" s="13">
        <v>46064</v>
      </c>
      <c r="D10" s="35" t="s">
        <v>31</v>
      </c>
      <c r="E10" s="35" t="s">
        <v>40</v>
      </c>
      <c r="F10" s="14" t="s">
        <v>41</v>
      </c>
      <c r="G10" s="15">
        <v>14.297280000000001</v>
      </c>
      <c r="H10" s="15">
        <v>111.05</v>
      </c>
      <c r="I10" s="6">
        <v>5.2574778560000004</v>
      </c>
      <c r="J10" s="15">
        <v>177.72382129900001</v>
      </c>
      <c r="K10" s="15">
        <v>1.2888888890000001</v>
      </c>
      <c r="L10" s="15">
        <v>7.8539744259345803E-2</v>
      </c>
      <c r="M10" s="15">
        <v>1.1711689851418201</v>
      </c>
      <c r="N10" s="15">
        <v>0.55284703400000001</v>
      </c>
      <c r="O10" s="15">
        <v>3.1206085000000001E-2</v>
      </c>
      <c r="P10" s="15">
        <v>5.6446147091023402</v>
      </c>
      <c r="Q10" s="15">
        <v>0</v>
      </c>
      <c r="R10" s="6">
        <v>5.2574778560000004</v>
      </c>
      <c r="S10" s="15">
        <v>177.72382129900001</v>
      </c>
      <c r="T10" s="15">
        <v>1.2888888890000001</v>
      </c>
      <c r="U10" s="15">
        <v>7.8539744259345803E-2</v>
      </c>
      <c r="V10" s="15">
        <v>1.1711689851418201</v>
      </c>
      <c r="W10" s="15">
        <v>0.55284703400000001</v>
      </c>
      <c r="X10" s="15">
        <v>3.1206085000000001E-2</v>
      </c>
      <c r="Y10" s="15">
        <v>5.6446147091023402</v>
      </c>
      <c r="Z10" s="15">
        <v>0</v>
      </c>
      <c r="AA10" s="8">
        <f t="shared" si="2"/>
        <v>0</v>
      </c>
      <c r="AB10" s="15">
        <f t="shared" si="3"/>
        <v>0</v>
      </c>
      <c r="AC10" s="15">
        <f t="shared" si="4"/>
        <v>0</v>
      </c>
      <c r="AD10" s="15">
        <f t="shared" si="5"/>
        <v>0</v>
      </c>
      <c r="AE10" s="15">
        <f t="shared" si="6"/>
        <v>0</v>
      </c>
      <c r="AF10" s="15">
        <f t="shared" si="7"/>
        <v>0</v>
      </c>
      <c r="AG10" s="15">
        <f t="shared" si="8"/>
        <v>0</v>
      </c>
      <c r="AH10" s="15">
        <f t="shared" si="9"/>
        <v>0</v>
      </c>
      <c r="AI10" s="16">
        <f t="shared" si="10"/>
        <v>0</v>
      </c>
    </row>
    <row r="11" spans="2:35" x14ac:dyDescent="0.25">
      <c r="B11" t="s">
        <v>207</v>
      </c>
      <c r="C11" s="13">
        <v>46064</v>
      </c>
      <c r="D11" s="35" t="s">
        <v>31</v>
      </c>
      <c r="E11" s="35" t="s">
        <v>42</v>
      </c>
      <c r="F11" s="14" t="s">
        <v>43</v>
      </c>
      <c r="G11" s="15">
        <v>15.697279999999999</v>
      </c>
      <c r="H11" s="15">
        <v>113.5</v>
      </c>
      <c r="I11" s="6">
        <v>5.330055089</v>
      </c>
      <c r="J11" s="15">
        <v>184.563379129</v>
      </c>
      <c r="K11" s="15">
        <v>1.372222222</v>
      </c>
      <c r="L11" s="15">
        <v>9.3943810572686706E-2</v>
      </c>
      <c r="M11" s="15">
        <v>1.2331960396475801</v>
      </c>
      <c r="N11" s="15">
        <v>0.62387403900000005</v>
      </c>
      <c r="O11" s="15">
        <v>4.0548963E-2</v>
      </c>
      <c r="P11" s="15">
        <v>6.4995432515504898</v>
      </c>
      <c r="Q11" s="15">
        <v>0</v>
      </c>
      <c r="R11" s="6">
        <v>5.330055089</v>
      </c>
      <c r="S11" s="15">
        <v>184.563379129</v>
      </c>
      <c r="T11" s="15">
        <v>1.372222222</v>
      </c>
      <c r="U11" s="15">
        <v>9.3943810572686706E-2</v>
      </c>
      <c r="V11" s="15">
        <v>1.2331960396475801</v>
      </c>
      <c r="W11" s="15">
        <v>0.62387403900000005</v>
      </c>
      <c r="X11" s="15">
        <v>4.0548963E-2</v>
      </c>
      <c r="Y11" s="15">
        <v>6.4995432515504898</v>
      </c>
      <c r="Z11" s="15">
        <v>0</v>
      </c>
      <c r="AA11" s="8">
        <f t="shared" si="2"/>
        <v>0</v>
      </c>
      <c r="AB11" s="15">
        <f t="shared" si="3"/>
        <v>0</v>
      </c>
      <c r="AC11" s="15">
        <f t="shared" si="4"/>
        <v>0</v>
      </c>
      <c r="AD11" s="15">
        <f t="shared" si="5"/>
        <v>0</v>
      </c>
      <c r="AE11" s="15">
        <f t="shared" si="6"/>
        <v>0</v>
      </c>
      <c r="AF11" s="15">
        <f t="shared" si="7"/>
        <v>0</v>
      </c>
      <c r="AG11" s="15">
        <f t="shared" si="8"/>
        <v>0</v>
      </c>
      <c r="AH11" s="15">
        <f t="shared" si="9"/>
        <v>0</v>
      </c>
      <c r="AI11" s="16">
        <f t="shared" si="10"/>
        <v>0</v>
      </c>
    </row>
    <row r="12" spans="2:35" x14ac:dyDescent="0.25">
      <c r="B12" t="s">
        <v>207</v>
      </c>
      <c r="C12" s="13">
        <v>46064</v>
      </c>
      <c r="D12" s="35" t="s">
        <v>31</v>
      </c>
      <c r="E12" s="35" t="s">
        <v>158</v>
      </c>
      <c r="F12" s="14" t="s">
        <v>159</v>
      </c>
      <c r="G12" s="15">
        <v>11.411759999999999</v>
      </c>
      <c r="H12" s="15">
        <v>121.985725</v>
      </c>
      <c r="I12" s="6">
        <v>5.2620173530000001</v>
      </c>
      <c r="J12" s="15">
        <v>160.876669733</v>
      </c>
      <c r="K12" s="15">
        <v>4.1222222220000004</v>
      </c>
      <c r="L12" s="15">
        <v>0.318034255237646</v>
      </c>
      <c r="M12" s="15">
        <v>3.3652491248463599</v>
      </c>
      <c r="N12" s="15">
        <v>1.769728025</v>
      </c>
      <c r="O12" s="15">
        <v>0.133435847</v>
      </c>
      <c r="P12" s="15">
        <v>7.53990698655518</v>
      </c>
      <c r="Q12" s="15">
        <v>0</v>
      </c>
      <c r="R12" s="6">
        <v>5.2620173530000001</v>
      </c>
      <c r="S12" s="15">
        <v>160.876669733</v>
      </c>
      <c r="T12" s="15">
        <v>4.1222222220000004</v>
      </c>
      <c r="U12" s="15">
        <v>0.318034255237646</v>
      </c>
      <c r="V12" s="15">
        <v>3.3652491248463599</v>
      </c>
      <c r="W12" s="15">
        <v>1.769728025</v>
      </c>
      <c r="X12" s="15">
        <v>0.133435847</v>
      </c>
      <c r="Y12" s="15">
        <v>7.53990698655518</v>
      </c>
      <c r="Z12" s="15">
        <v>0</v>
      </c>
      <c r="AA12" s="8">
        <f t="shared" si="2"/>
        <v>0</v>
      </c>
      <c r="AB12" s="15">
        <f t="shared" si="3"/>
        <v>0</v>
      </c>
      <c r="AC12" s="15">
        <f t="shared" si="4"/>
        <v>0</v>
      </c>
      <c r="AD12" s="15">
        <f t="shared" si="5"/>
        <v>0</v>
      </c>
      <c r="AE12" s="15">
        <f t="shared" si="6"/>
        <v>0</v>
      </c>
      <c r="AF12" s="15">
        <f t="shared" si="7"/>
        <v>0</v>
      </c>
      <c r="AG12" s="15">
        <f t="shared" si="8"/>
        <v>0</v>
      </c>
      <c r="AH12" s="15">
        <f t="shared" si="9"/>
        <v>0</v>
      </c>
      <c r="AI12" s="16">
        <f t="shared" si="10"/>
        <v>0</v>
      </c>
    </row>
    <row r="13" spans="2:35" x14ac:dyDescent="0.25">
      <c r="B13" t="s">
        <v>207</v>
      </c>
      <c r="C13" s="13">
        <v>46064</v>
      </c>
      <c r="D13" s="35" t="s">
        <v>31</v>
      </c>
      <c r="E13" s="35" t="s">
        <v>160</v>
      </c>
      <c r="F13" s="14" t="s">
        <v>161</v>
      </c>
      <c r="G13" s="15">
        <v>8.4472799999999992</v>
      </c>
      <c r="H13" s="15">
        <v>112.109375</v>
      </c>
      <c r="I13" s="6">
        <v>5.4608496960000004</v>
      </c>
      <c r="J13" s="15">
        <v>173.586519235</v>
      </c>
      <c r="K13" s="15">
        <v>4.9611111110000001</v>
      </c>
      <c r="L13" s="15">
        <v>0.191070563902449</v>
      </c>
      <c r="M13" s="15">
        <v>4.0945240931010396</v>
      </c>
      <c r="N13" s="15">
        <v>0.29590139500000001</v>
      </c>
      <c r="O13" s="15">
        <v>1.3074918E-2</v>
      </c>
      <c r="P13" s="15">
        <v>4.4186739978025402</v>
      </c>
      <c r="Q13" s="15">
        <v>0</v>
      </c>
      <c r="R13" s="6">
        <v>5.4608496960000004</v>
      </c>
      <c r="S13" s="15">
        <v>173.586519235</v>
      </c>
      <c r="T13" s="15">
        <v>4.9611111110000001</v>
      </c>
      <c r="U13" s="15">
        <v>0.191070563902449</v>
      </c>
      <c r="V13" s="15">
        <v>4.0945240931010396</v>
      </c>
      <c r="W13" s="15">
        <v>0.29590139500000001</v>
      </c>
      <c r="X13" s="15">
        <v>1.3074918E-2</v>
      </c>
      <c r="Y13" s="15">
        <v>4.4186739978025402</v>
      </c>
      <c r="Z13" s="15">
        <v>0</v>
      </c>
      <c r="AA13" s="8">
        <f t="shared" si="2"/>
        <v>0</v>
      </c>
      <c r="AB13" s="15">
        <f t="shared" si="3"/>
        <v>0</v>
      </c>
      <c r="AC13" s="15">
        <f t="shared" si="4"/>
        <v>0</v>
      </c>
      <c r="AD13" s="15">
        <f t="shared" si="5"/>
        <v>0</v>
      </c>
      <c r="AE13" s="15">
        <f t="shared" si="6"/>
        <v>0</v>
      </c>
      <c r="AF13" s="15">
        <f t="shared" si="7"/>
        <v>0</v>
      </c>
      <c r="AG13" s="15">
        <f t="shared" si="8"/>
        <v>0</v>
      </c>
      <c r="AH13" s="15">
        <f t="shared" si="9"/>
        <v>0</v>
      </c>
      <c r="AI13" s="16">
        <f t="shared" si="10"/>
        <v>0</v>
      </c>
    </row>
    <row r="14" spans="2:35" x14ac:dyDescent="0.25">
      <c r="B14" t="s">
        <v>207</v>
      </c>
      <c r="C14" s="13">
        <v>46064</v>
      </c>
      <c r="D14" s="35" t="s">
        <v>31</v>
      </c>
      <c r="E14" s="35" t="s">
        <v>211</v>
      </c>
      <c r="F14" s="14" t="s">
        <v>212</v>
      </c>
      <c r="G14" s="15">
        <v>9.1972799999999992</v>
      </c>
      <c r="H14" s="15">
        <v>121.261505</v>
      </c>
      <c r="I14" s="6">
        <v>5.8319710459999996</v>
      </c>
      <c r="J14" s="15">
        <v>187.21522072900001</v>
      </c>
      <c r="K14" s="15">
        <v>7.9290273649999996</v>
      </c>
      <c r="L14" s="15">
        <v>0.45893760513693099</v>
      </c>
      <c r="M14" s="15">
        <v>5.8292007195523396</v>
      </c>
      <c r="N14" s="15">
        <v>0.26367632099999999</v>
      </c>
      <c r="O14" s="15">
        <v>1.2463623E-2</v>
      </c>
      <c r="P14" s="15">
        <v>4.7268647229039598</v>
      </c>
      <c r="Q14" s="15">
        <v>0</v>
      </c>
      <c r="R14" s="6">
        <v>5.8319710459999996</v>
      </c>
      <c r="S14" s="15">
        <v>187.21522072900001</v>
      </c>
      <c r="T14" s="15">
        <v>7.9290273649999996</v>
      </c>
      <c r="U14" s="15">
        <v>0.45893760513693099</v>
      </c>
      <c r="V14" s="15">
        <v>5.8292007195523396</v>
      </c>
      <c r="W14" s="15">
        <v>0.26367632099999999</v>
      </c>
      <c r="X14" s="15">
        <v>1.2463623E-2</v>
      </c>
      <c r="Y14" s="15">
        <v>4.7268647229039598</v>
      </c>
      <c r="Z14" s="15">
        <v>0</v>
      </c>
      <c r="AA14" s="8">
        <f t="shared" si="2"/>
        <v>0</v>
      </c>
      <c r="AB14" s="15">
        <f t="shared" si="3"/>
        <v>0</v>
      </c>
      <c r="AC14" s="15">
        <f t="shared" si="4"/>
        <v>0</v>
      </c>
      <c r="AD14" s="15">
        <f t="shared" si="5"/>
        <v>0</v>
      </c>
      <c r="AE14" s="15">
        <f t="shared" si="6"/>
        <v>0</v>
      </c>
      <c r="AF14" s="15">
        <f t="shared" si="7"/>
        <v>0</v>
      </c>
      <c r="AG14" s="15">
        <f t="shared" si="8"/>
        <v>0</v>
      </c>
      <c r="AH14" s="15">
        <f t="shared" si="9"/>
        <v>0</v>
      </c>
      <c r="AI14" s="16">
        <f t="shared" si="10"/>
        <v>0</v>
      </c>
    </row>
    <row r="15" spans="2:35" x14ac:dyDescent="0.25">
      <c r="B15" t="s">
        <v>207</v>
      </c>
      <c r="C15" s="13">
        <v>46064</v>
      </c>
      <c r="D15" s="35" t="s">
        <v>31</v>
      </c>
      <c r="E15" s="35" t="s">
        <v>162</v>
      </c>
      <c r="F15" s="14" t="s">
        <v>163</v>
      </c>
      <c r="G15" s="15">
        <v>11.197279999999999</v>
      </c>
      <c r="H15" s="15">
        <v>104.09</v>
      </c>
      <c r="I15" s="6">
        <v>5.2902598799999998</v>
      </c>
      <c r="J15" s="15">
        <v>174.95981131299999</v>
      </c>
      <c r="K15" s="15">
        <v>0.70833333300000001</v>
      </c>
      <c r="L15" s="15">
        <v>4.1367303295222299E-2</v>
      </c>
      <c r="M15" s="15">
        <v>0.67249396868093803</v>
      </c>
      <c r="N15" s="15">
        <v>0.29622809500000002</v>
      </c>
      <c r="O15" s="15">
        <v>1.2885745000000001E-2</v>
      </c>
      <c r="P15" s="15">
        <v>4.3499402040174502</v>
      </c>
      <c r="Q15" s="15">
        <v>0</v>
      </c>
      <c r="R15" s="6">
        <v>5.2902598799999998</v>
      </c>
      <c r="S15" s="15">
        <v>174.95981131299999</v>
      </c>
      <c r="T15" s="15">
        <v>0.70833333300000001</v>
      </c>
      <c r="U15" s="15">
        <v>4.1367303295222299E-2</v>
      </c>
      <c r="V15" s="15">
        <v>0.67249396868093803</v>
      </c>
      <c r="W15" s="15">
        <v>0.29622809500000002</v>
      </c>
      <c r="X15" s="15">
        <v>1.2885745000000001E-2</v>
      </c>
      <c r="Y15" s="15">
        <v>4.3499402040174502</v>
      </c>
      <c r="Z15" s="15">
        <v>0</v>
      </c>
      <c r="AA15" s="8">
        <f t="shared" si="2"/>
        <v>0</v>
      </c>
      <c r="AB15" s="15">
        <f t="shared" si="3"/>
        <v>0</v>
      </c>
      <c r="AC15" s="15">
        <f t="shared" si="4"/>
        <v>0</v>
      </c>
      <c r="AD15" s="15">
        <f t="shared" si="5"/>
        <v>0</v>
      </c>
      <c r="AE15" s="15">
        <f t="shared" si="6"/>
        <v>0</v>
      </c>
      <c r="AF15" s="15">
        <f t="shared" si="7"/>
        <v>0</v>
      </c>
      <c r="AG15" s="15">
        <f t="shared" si="8"/>
        <v>0</v>
      </c>
      <c r="AH15" s="15">
        <f t="shared" si="9"/>
        <v>0</v>
      </c>
      <c r="AI15" s="16">
        <f t="shared" si="10"/>
        <v>0</v>
      </c>
    </row>
    <row r="16" spans="2:35" x14ac:dyDescent="0.25">
      <c r="B16" t="s">
        <v>207</v>
      </c>
      <c r="C16" s="13">
        <v>46064</v>
      </c>
      <c r="D16" s="35" t="s">
        <v>31</v>
      </c>
      <c r="E16" s="35" t="s">
        <v>164</v>
      </c>
      <c r="F16" s="14" t="s">
        <v>165</v>
      </c>
      <c r="G16" s="15">
        <v>11.49728</v>
      </c>
      <c r="H16" s="15">
        <v>104.765625</v>
      </c>
      <c r="I16" s="6">
        <v>5.2955257360000001</v>
      </c>
      <c r="J16" s="15">
        <v>178.270758409</v>
      </c>
      <c r="K16" s="15">
        <v>0.78888888899999998</v>
      </c>
      <c r="L16" s="15">
        <v>4.3563668903809402E-2</v>
      </c>
      <c r="M16" s="15">
        <v>0.74703189142431903</v>
      </c>
      <c r="N16" s="15">
        <v>0.351619652</v>
      </c>
      <c r="O16" s="15">
        <v>2.0005265000000001E-2</v>
      </c>
      <c r="P16" s="15">
        <v>5.6894615776481103</v>
      </c>
      <c r="Q16" s="15">
        <v>0</v>
      </c>
      <c r="R16" s="6">
        <v>5.2955257360000001</v>
      </c>
      <c r="S16" s="15">
        <v>178.270758409</v>
      </c>
      <c r="T16" s="15">
        <v>0.78888888899999998</v>
      </c>
      <c r="U16" s="15">
        <v>4.3563668903809402E-2</v>
      </c>
      <c r="V16" s="15">
        <v>0.74703189142431903</v>
      </c>
      <c r="W16" s="15">
        <v>0.351619652</v>
      </c>
      <c r="X16" s="15">
        <v>2.0005265000000001E-2</v>
      </c>
      <c r="Y16" s="15">
        <v>5.6894615776481103</v>
      </c>
      <c r="Z16" s="15">
        <v>0</v>
      </c>
      <c r="AA16" s="8">
        <f t="shared" si="2"/>
        <v>0</v>
      </c>
      <c r="AB16" s="15">
        <f t="shared" si="3"/>
        <v>0</v>
      </c>
      <c r="AC16" s="15">
        <f t="shared" si="4"/>
        <v>0</v>
      </c>
      <c r="AD16" s="15">
        <f t="shared" si="5"/>
        <v>0</v>
      </c>
      <c r="AE16" s="15">
        <f t="shared" si="6"/>
        <v>0</v>
      </c>
      <c r="AF16" s="15">
        <f t="shared" si="7"/>
        <v>0</v>
      </c>
      <c r="AG16" s="15">
        <f t="shared" si="8"/>
        <v>0</v>
      </c>
      <c r="AH16" s="15">
        <f t="shared" si="9"/>
        <v>0</v>
      </c>
      <c r="AI16" s="16">
        <f t="shared" si="10"/>
        <v>0</v>
      </c>
    </row>
    <row r="17" spans="2:35" x14ac:dyDescent="0.25">
      <c r="B17" t="s">
        <v>207</v>
      </c>
      <c r="C17" s="13">
        <v>46064</v>
      </c>
      <c r="D17" s="35" t="s">
        <v>31</v>
      </c>
      <c r="E17" s="35" t="s">
        <v>168</v>
      </c>
      <c r="F17" s="14" t="s">
        <v>169</v>
      </c>
      <c r="G17" s="15">
        <v>9.9472799999999992</v>
      </c>
      <c r="H17" s="15">
        <v>102.8</v>
      </c>
      <c r="I17" s="6">
        <v>5.3739121680000004</v>
      </c>
      <c r="J17" s="15">
        <v>180.442748236</v>
      </c>
      <c r="K17" s="15">
        <v>0.62222222199999999</v>
      </c>
      <c r="L17" s="15">
        <v>3.7622749999993203E-2</v>
      </c>
      <c r="M17" s="15">
        <v>0.59564166147860798</v>
      </c>
      <c r="N17" s="15">
        <v>0.41588360000000002</v>
      </c>
      <c r="O17" s="15">
        <v>2.7265305E-2</v>
      </c>
      <c r="P17" s="15">
        <v>6.5559942733976504</v>
      </c>
      <c r="Q17" s="15">
        <v>0</v>
      </c>
      <c r="R17" s="6">
        <v>5.3739121680000004</v>
      </c>
      <c r="S17" s="15">
        <v>180.442748236</v>
      </c>
      <c r="T17" s="15">
        <v>0.62222222199999999</v>
      </c>
      <c r="U17" s="15">
        <v>3.7622749999993203E-2</v>
      </c>
      <c r="V17" s="15">
        <v>0.59564166147860798</v>
      </c>
      <c r="W17" s="15">
        <v>0.41588360000000002</v>
      </c>
      <c r="X17" s="15">
        <v>2.7265305E-2</v>
      </c>
      <c r="Y17" s="15">
        <v>6.5559942733976504</v>
      </c>
      <c r="Z17" s="15">
        <v>0</v>
      </c>
      <c r="AA17" s="8">
        <f t="shared" si="2"/>
        <v>0</v>
      </c>
      <c r="AB17" s="15">
        <f t="shared" si="3"/>
        <v>0</v>
      </c>
      <c r="AC17" s="15">
        <f t="shared" si="4"/>
        <v>0</v>
      </c>
      <c r="AD17" s="15">
        <f t="shared" si="5"/>
        <v>0</v>
      </c>
      <c r="AE17" s="15">
        <f t="shared" si="6"/>
        <v>0</v>
      </c>
      <c r="AF17" s="15">
        <f t="shared" si="7"/>
        <v>0</v>
      </c>
      <c r="AG17" s="15">
        <f t="shared" si="8"/>
        <v>0</v>
      </c>
      <c r="AH17" s="15">
        <f t="shared" si="9"/>
        <v>0</v>
      </c>
      <c r="AI17" s="16">
        <f t="shared" si="10"/>
        <v>0</v>
      </c>
    </row>
    <row r="18" spans="2:35" x14ac:dyDescent="0.25">
      <c r="B18" t="s">
        <v>207</v>
      </c>
      <c r="C18" s="13">
        <v>46064</v>
      </c>
      <c r="D18" s="35" t="s">
        <v>31</v>
      </c>
      <c r="E18" s="35" t="s">
        <v>170</v>
      </c>
      <c r="F18" s="14" t="s">
        <v>171</v>
      </c>
      <c r="G18" s="15">
        <v>10.697279999999999</v>
      </c>
      <c r="H18" s="15">
        <v>104.445312</v>
      </c>
      <c r="I18" s="6">
        <v>5.4510462720000001</v>
      </c>
      <c r="J18" s="15">
        <v>196.93579478199999</v>
      </c>
      <c r="K18" s="15">
        <v>0.88055555600000002</v>
      </c>
      <c r="L18" s="15">
        <v>4.1767194874195702E-2</v>
      </c>
      <c r="M18" s="15">
        <v>0.83068751999132695</v>
      </c>
      <c r="N18" s="15">
        <v>0.48767681200000002</v>
      </c>
      <c r="O18" s="15">
        <v>3.4963500000000002E-2</v>
      </c>
      <c r="P18" s="15">
        <v>7.1693997212235701</v>
      </c>
      <c r="Q18" s="15">
        <v>0</v>
      </c>
      <c r="R18" s="6">
        <v>5.4510462720000001</v>
      </c>
      <c r="S18" s="15">
        <v>196.93579478199999</v>
      </c>
      <c r="T18" s="15">
        <v>0.88055555600000002</v>
      </c>
      <c r="U18" s="15">
        <v>4.1767194874195702E-2</v>
      </c>
      <c r="V18" s="15">
        <v>0.83068751999132695</v>
      </c>
      <c r="W18" s="15">
        <v>0.48767681200000002</v>
      </c>
      <c r="X18" s="15">
        <v>3.4963500000000002E-2</v>
      </c>
      <c r="Y18" s="15">
        <v>7.1693997212235701</v>
      </c>
      <c r="Z18" s="15">
        <v>0</v>
      </c>
      <c r="AA18" s="8">
        <f t="shared" si="2"/>
        <v>0</v>
      </c>
      <c r="AB18" s="15">
        <f t="shared" si="3"/>
        <v>0</v>
      </c>
      <c r="AC18" s="15">
        <f t="shared" si="4"/>
        <v>0</v>
      </c>
      <c r="AD18" s="15">
        <f t="shared" si="5"/>
        <v>0</v>
      </c>
      <c r="AE18" s="15">
        <f t="shared" si="6"/>
        <v>0</v>
      </c>
      <c r="AF18" s="15">
        <f t="shared" si="7"/>
        <v>0</v>
      </c>
      <c r="AG18" s="15">
        <f t="shared" si="8"/>
        <v>0</v>
      </c>
      <c r="AH18" s="15">
        <f t="shared" si="9"/>
        <v>0</v>
      </c>
      <c r="AI18" s="16">
        <f t="shared" si="10"/>
        <v>0</v>
      </c>
    </row>
    <row r="19" spans="2:35" x14ac:dyDescent="0.25">
      <c r="B19" t="s">
        <v>207</v>
      </c>
      <c r="C19" s="13">
        <v>46064</v>
      </c>
      <c r="D19" s="35" t="s">
        <v>31</v>
      </c>
      <c r="E19" s="35" t="s">
        <v>172</v>
      </c>
      <c r="F19" s="14" t="s">
        <v>173</v>
      </c>
      <c r="G19" s="15">
        <v>12.197279999999999</v>
      </c>
      <c r="H19" s="15">
        <v>106.75</v>
      </c>
      <c r="I19" s="6">
        <v>5.422974677</v>
      </c>
      <c r="J19" s="15">
        <v>195.44558895500001</v>
      </c>
      <c r="K19" s="15">
        <v>1.0388888890000001</v>
      </c>
      <c r="L19" s="15">
        <v>5.23413189695522E-2</v>
      </c>
      <c r="M19" s="15">
        <v>0.97008761498829299</v>
      </c>
      <c r="N19" s="15">
        <v>0.560329886</v>
      </c>
      <c r="O19" s="15">
        <v>3.9485777999999999E-2</v>
      </c>
      <c r="P19" s="15">
        <v>7.0468805941934001</v>
      </c>
      <c r="Q19" s="15">
        <v>0</v>
      </c>
      <c r="R19" s="6">
        <v>5.422974677</v>
      </c>
      <c r="S19" s="15">
        <v>195.44558895500001</v>
      </c>
      <c r="T19" s="15">
        <v>1.0388888890000001</v>
      </c>
      <c r="U19" s="15">
        <v>5.23413189695522E-2</v>
      </c>
      <c r="V19" s="15">
        <v>0.97008761498829299</v>
      </c>
      <c r="W19" s="15">
        <v>0.560329886</v>
      </c>
      <c r="X19" s="15">
        <v>3.9485777999999999E-2</v>
      </c>
      <c r="Y19" s="15">
        <v>7.0468805941934001</v>
      </c>
      <c r="Z19" s="15">
        <v>0</v>
      </c>
      <c r="AA19" s="8">
        <f t="shared" si="2"/>
        <v>0</v>
      </c>
      <c r="AB19" s="15">
        <f t="shared" si="3"/>
        <v>0</v>
      </c>
      <c r="AC19" s="15">
        <f t="shared" si="4"/>
        <v>0</v>
      </c>
      <c r="AD19" s="15">
        <f t="shared" si="5"/>
        <v>0</v>
      </c>
      <c r="AE19" s="15">
        <f t="shared" si="6"/>
        <v>0</v>
      </c>
      <c r="AF19" s="15">
        <f t="shared" si="7"/>
        <v>0</v>
      </c>
      <c r="AG19" s="15">
        <f t="shared" si="8"/>
        <v>0</v>
      </c>
      <c r="AH19" s="15">
        <f t="shared" si="9"/>
        <v>0</v>
      </c>
      <c r="AI19" s="16">
        <f t="shared" si="10"/>
        <v>0</v>
      </c>
    </row>
    <row r="20" spans="2:35" x14ac:dyDescent="0.25">
      <c r="B20" t="s">
        <v>207</v>
      </c>
      <c r="C20" s="13">
        <v>46064</v>
      </c>
      <c r="D20" s="35" t="s">
        <v>31</v>
      </c>
      <c r="E20" s="35" t="s">
        <v>178</v>
      </c>
      <c r="F20" s="14" t="s">
        <v>179</v>
      </c>
      <c r="G20" s="15">
        <v>14.697279999999999</v>
      </c>
      <c r="H20" s="15">
        <v>109.957031</v>
      </c>
      <c r="I20" s="6">
        <v>5.4137842679999997</v>
      </c>
      <c r="J20" s="15">
        <v>194.10088807</v>
      </c>
      <c r="K20" s="15">
        <v>1.122222222</v>
      </c>
      <c r="L20" s="15">
        <v>6.8447816674852002E-2</v>
      </c>
      <c r="M20" s="15">
        <v>1.02625293693133</v>
      </c>
      <c r="N20" s="15">
        <v>0.60705976100000003</v>
      </c>
      <c r="O20" s="15">
        <v>4.8410981999999998E-2</v>
      </c>
      <c r="P20" s="15">
        <v>7.9746649523027804</v>
      </c>
      <c r="Q20" s="15">
        <v>0</v>
      </c>
      <c r="R20" s="6">
        <v>5.4137842679999997</v>
      </c>
      <c r="S20" s="15">
        <v>194.10088807</v>
      </c>
      <c r="T20" s="15">
        <v>1.122222222</v>
      </c>
      <c r="U20" s="15">
        <v>6.8447816674852002E-2</v>
      </c>
      <c r="V20" s="15">
        <v>1.02625293693133</v>
      </c>
      <c r="W20" s="15">
        <v>0.60705976100000003</v>
      </c>
      <c r="X20" s="15">
        <v>4.8410981999999998E-2</v>
      </c>
      <c r="Y20" s="15">
        <v>7.9746649523027804</v>
      </c>
      <c r="Z20" s="15">
        <v>0</v>
      </c>
      <c r="AA20" s="8">
        <f t="shared" si="2"/>
        <v>0</v>
      </c>
      <c r="AB20" s="15">
        <f t="shared" si="3"/>
        <v>0</v>
      </c>
      <c r="AC20" s="15">
        <f t="shared" si="4"/>
        <v>0</v>
      </c>
      <c r="AD20" s="15">
        <f t="shared" si="5"/>
        <v>0</v>
      </c>
      <c r="AE20" s="15">
        <f t="shared" si="6"/>
        <v>0</v>
      </c>
      <c r="AF20" s="15">
        <f t="shared" si="7"/>
        <v>0</v>
      </c>
      <c r="AG20" s="15">
        <f t="shared" si="8"/>
        <v>0</v>
      </c>
      <c r="AH20" s="15">
        <f t="shared" si="9"/>
        <v>0</v>
      </c>
      <c r="AI20" s="16">
        <f t="shared" si="10"/>
        <v>0</v>
      </c>
    </row>
    <row r="21" spans="2:35" x14ac:dyDescent="0.25">
      <c r="B21" t="s">
        <v>207</v>
      </c>
      <c r="C21" s="13">
        <v>46064</v>
      </c>
      <c r="D21" s="35" t="s">
        <v>213</v>
      </c>
      <c r="E21" s="35" t="s">
        <v>214</v>
      </c>
      <c r="F21" s="14" t="s">
        <v>215</v>
      </c>
      <c r="G21" s="15">
        <v>15.697279999999999</v>
      </c>
      <c r="H21" s="15">
        <v>114.749475</v>
      </c>
      <c r="I21" s="6">
        <v>6.0079270630000003</v>
      </c>
      <c r="J21" s="15">
        <v>251.155253937</v>
      </c>
      <c r="K21" s="15">
        <v>1.627777778</v>
      </c>
      <c r="L21" s="15">
        <v>0.107069490296149</v>
      </c>
      <c r="M21" s="15">
        <v>1.4364751045702</v>
      </c>
      <c r="N21" s="15">
        <v>1.119751071</v>
      </c>
      <c r="O21" s="15">
        <v>0.139672456</v>
      </c>
      <c r="P21" s="15">
        <v>12.473527341685401</v>
      </c>
      <c r="Q21" s="15">
        <v>0</v>
      </c>
      <c r="R21" s="6">
        <v>6.0079270630000003</v>
      </c>
      <c r="S21" s="15">
        <v>251.155253937</v>
      </c>
      <c r="T21" s="15">
        <v>1.627777778</v>
      </c>
      <c r="U21" s="15">
        <v>0.107069490296149</v>
      </c>
      <c r="V21" s="15">
        <v>1.4364751045702</v>
      </c>
      <c r="W21" s="15">
        <v>1.119751071</v>
      </c>
      <c r="X21" s="15">
        <v>0.139672456</v>
      </c>
      <c r="Y21" s="15">
        <v>12.473527341685401</v>
      </c>
      <c r="Z21" s="15">
        <v>0</v>
      </c>
      <c r="AA21" s="8">
        <f t="shared" si="2"/>
        <v>0</v>
      </c>
      <c r="AB21" s="15">
        <f t="shared" si="3"/>
        <v>0</v>
      </c>
      <c r="AC21" s="15">
        <f t="shared" si="4"/>
        <v>0</v>
      </c>
      <c r="AD21" s="15">
        <f t="shared" si="5"/>
        <v>0</v>
      </c>
      <c r="AE21" s="15">
        <f t="shared" si="6"/>
        <v>0</v>
      </c>
      <c r="AF21" s="15">
        <f t="shared" si="7"/>
        <v>0</v>
      </c>
      <c r="AG21" s="15">
        <f t="shared" si="8"/>
        <v>0</v>
      </c>
      <c r="AH21" s="15">
        <f t="shared" si="9"/>
        <v>0</v>
      </c>
      <c r="AI21" s="16">
        <f t="shared" si="10"/>
        <v>0</v>
      </c>
    </row>
    <row r="22" spans="2:35" x14ac:dyDescent="0.25">
      <c r="B22" t="s">
        <v>207</v>
      </c>
      <c r="C22" s="13">
        <v>46064</v>
      </c>
      <c r="D22" s="35" t="s">
        <v>213</v>
      </c>
      <c r="E22" s="35" t="s">
        <v>216</v>
      </c>
      <c r="F22" s="14" t="s">
        <v>217</v>
      </c>
      <c r="G22" s="15">
        <v>8.7472799999999999</v>
      </c>
      <c r="H22" s="15">
        <v>103.87375</v>
      </c>
      <c r="I22" s="6">
        <v>7.1398928489999998</v>
      </c>
      <c r="J22" s="15">
        <v>355.58166673400001</v>
      </c>
      <c r="K22" s="15">
        <v>3.2055555560000002</v>
      </c>
      <c r="L22" s="15">
        <v>-1.5414196811032601</v>
      </c>
      <c r="M22" s="15">
        <v>2.7633618012250398</v>
      </c>
      <c r="N22" s="15">
        <v>0.74870968900000001</v>
      </c>
      <c r="O22" s="15">
        <v>0.12576336199999999</v>
      </c>
      <c r="P22" s="15">
        <v>16.7973466682358</v>
      </c>
      <c r="Q22" s="15">
        <v>0</v>
      </c>
      <c r="R22" s="6">
        <v>7.1398928489999998</v>
      </c>
      <c r="S22" s="15">
        <v>355.58166673400001</v>
      </c>
      <c r="T22" s="15">
        <v>3.2055555560000002</v>
      </c>
      <c r="U22" s="15">
        <v>-1.5414196811032601</v>
      </c>
      <c r="V22" s="15">
        <v>2.7633618012250398</v>
      </c>
      <c r="W22" s="15">
        <v>0.74870968900000001</v>
      </c>
      <c r="X22" s="15">
        <v>0.12576336199999999</v>
      </c>
      <c r="Y22" s="15">
        <v>16.7973466682358</v>
      </c>
      <c r="Z22" s="15">
        <v>0</v>
      </c>
      <c r="AA22" s="8">
        <f t="shared" si="2"/>
        <v>0</v>
      </c>
      <c r="AB22" s="15">
        <f t="shared" si="3"/>
        <v>0</v>
      </c>
      <c r="AC22" s="15">
        <f t="shared" si="4"/>
        <v>0</v>
      </c>
      <c r="AD22" s="15">
        <f t="shared" si="5"/>
        <v>0</v>
      </c>
      <c r="AE22" s="15">
        <f t="shared" si="6"/>
        <v>0</v>
      </c>
      <c r="AF22" s="15">
        <f t="shared" si="7"/>
        <v>0</v>
      </c>
      <c r="AG22" s="15">
        <f t="shared" si="8"/>
        <v>0</v>
      </c>
      <c r="AH22" s="15">
        <f t="shared" si="9"/>
        <v>0</v>
      </c>
      <c r="AI22" s="16">
        <f t="shared" si="10"/>
        <v>0</v>
      </c>
    </row>
    <row r="23" spans="2:35" x14ac:dyDescent="0.25">
      <c r="B23" t="s">
        <v>207</v>
      </c>
      <c r="C23" s="13">
        <v>46064</v>
      </c>
      <c r="D23" s="35" t="s">
        <v>213</v>
      </c>
      <c r="E23" s="35" t="s">
        <v>218</v>
      </c>
      <c r="F23" s="14" t="s">
        <v>219</v>
      </c>
      <c r="G23" s="15">
        <v>6.1972800000000001</v>
      </c>
      <c r="H23" s="15">
        <v>100.44137499999999</v>
      </c>
      <c r="I23" s="6">
        <v>5.5904322540000004</v>
      </c>
      <c r="J23" s="15">
        <v>210.52291301599999</v>
      </c>
      <c r="K23" s="15">
        <v>1.017831937</v>
      </c>
      <c r="L23" s="15">
        <v>-1.53677107666025E-2</v>
      </c>
      <c r="M23" s="15">
        <v>0.97025677416304101</v>
      </c>
      <c r="N23" s="15">
        <v>0.74870968900000001</v>
      </c>
      <c r="O23" s="15">
        <v>0.12576336199999999</v>
      </c>
      <c r="P23" s="15">
        <v>16.7973466682358</v>
      </c>
      <c r="Q23" s="15">
        <v>0</v>
      </c>
      <c r="R23" s="6">
        <v>5.5904322540000004</v>
      </c>
      <c r="S23" s="15">
        <v>210.52291301599999</v>
      </c>
      <c r="T23" s="15">
        <v>1.017831937</v>
      </c>
      <c r="U23" s="15">
        <v>-1.53677107666025E-2</v>
      </c>
      <c r="V23" s="15">
        <v>0.97025677416304101</v>
      </c>
      <c r="W23" s="15">
        <v>0.74870968900000001</v>
      </c>
      <c r="X23" s="15">
        <v>0.12576336199999999</v>
      </c>
      <c r="Y23" s="15">
        <v>16.7973466682358</v>
      </c>
      <c r="Z23" s="15">
        <v>0</v>
      </c>
      <c r="AA23" s="8">
        <f t="shared" si="2"/>
        <v>0</v>
      </c>
      <c r="AB23" s="15">
        <f t="shared" si="3"/>
        <v>0</v>
      </c>
      <c r="AC23" s="15">
        <f t="shared" si="4"/>
        <v>0</v>
      </c>
      <c r="AD23" s="15">
        <f t="shared" si="5"/>
        <v>0</v>
      </c>
      <c r="AE23" s="15">
        <f t="shared" si="6"/>
        <v>0</v>
      </c>
      <c r="AF23" s="15">
        <f t="shared" si="7"/>
        <v>0</v>
      </c>
      <c r="AG23" s="15">
        <f t="shared" si="8"/>
        <v>0</v>
      </c>
      <c r="AH23" s="15">
        <f t="shared" si="9"/>
        <v>0</v>
      </c>
      <c r="AI23" s="16">
        <f t="shared" si="10"/>
        <v>0</v>
      </c>
    </row>
    <row r="24" spans="2:35" x14ac:dyDescent="0.25">
      <c r="B24" t="s">
        <v>207</v>
      </c>
      <c r="C24" s="13">
        <v>46064</v>
      </c>
      <c r="D24" s="35" t="s">
        <v>213</v>
      </c>
      <c r="E24" s="35" t="s">
        <v>220</v>
      </c>
      <c r="F24" s="14" t="s">
        <v>221</v>
      </c>
      <c r="G24" s="15">
        <v>6.9472800000000001</v>
      </c>
      <c r="H24" s="15">
        <v>100.687955</v>
      </c>
      <c r="I24" s="6">
        <v>6.2639061030000001</v>
      </c>
      <c r="J24" s="15">
        <v>275.92488286499997</v>
      </c>
      <c r="K24" s="15">
        <v>1.738630744</v>
      </c>
      <c r="L24" s="15">
        <v>-9.6958756387499997E-2</v>
      </c>
      <c r="M24" s="15">
        <v>1.6105343881499901</v>
      </c>
      <c r="N24" s="15">
        <v>0.74870968900000001</v>
      </c>
      <c r="O24" s="15">
        <v>0.12576336199999999</v>
      </c>
      <c r="P24" s="15">
        <v>16.7973466682358</v>
      </c>
      <c r="Q24" s="15">
        <v>0</v>
      </c>
      <c r="R24" s="6">
        <v>6.2639061030000001</v>
      </c>
      <c r="S24" s="15">
        <v>275.92488286499997</v>
      </c>
      <c r="T24" s="15">
        <v>1.738630744</v>
      </c>
      <c r="U24" s="15">
        <v>-9.6958756387499997E-2</v>
      </c>
      <c r="V24" s="15">
        <v>1.6105343881499901</v>
      </c>
      <c r="W24" s="15">
        <v>0.74870968900000001</v>
      </c>
      <c r="X24" s="15">
        <v>0.12576336199999999</v>
      </c>
      <c r="Y24" s="15">
        <v>16.7973466682358</v>
      </c>
      <c r="Z24" s="15">
        <v>0</v>
      </c>
      <c r="AA24" s="8">
        <f t="shared" si="2"/>
        <v>0</v>
      </c>
      <c r="AB24" s="15">
        <f t="shared" si="3"/>
        <v>0</v>
      </c>
      <c r="AC24" s="15">
        <f t="shared" si="4"/>
        <v>0</v>
      </c>
      <c r="AD24" s="15">
        <f t="shared" si="5"/>
        <v>0</v>
      </c>
      <c r="AE24" s="15">
        <f t="shared" si="6"/>
        <v>0</v>
      </c>
      <c r="AF24" s="15">
        <f t="shared" si="7"/>
        <v>0</v>
      </c>
      <c r="AG24" s="15">
        <f t="shared" si="8"/>
        <v>0</v>
      </c>
      <c r="AH24" s="15">
        <f t="shared" si="9"/>
        <v>0</v>
      </c>
      <c r="AI24" s="16">
        <f t="shared" si="10"/>
        <v>0</v>
      </c>
    </row>
    <row r="25" spans="2:35" x14ac:dyDescent="0.25">
      <c r="B25" t="s">
        <v>207</v>
      </c>
      <c r="C25" s="13">
        <v>46064</v>
      </c>
      <c r="D25" s="35" t="s">
        <v>213</v>
      </c>
      <c r="E25" s="35" t="s">
        <v>222</v>
      </c>
      <c r="F25" s="14" t="s">
        <v>223</v>
      </c>
      <c r="G25" s="15">
        <v>7.5972799999999996</v>
      </c>
      <c r="H25" s="15">
        <v>102.938</v>
      </c>
      <c r="I25" s="6">
        <v>6.0894058979999999</v>
      </c>
      <c r="J25" s="15">
        <v>253.824992334</v>
      </c>
      <c r="K25" s="15">
        <v>2.6205054830000001</v>
      </c>
      <c r="L25" s="15">
        <v>-1.02229774718763</v>
      </c>
      <c r="M25" s="15">
        <v>2.3519524752763799</v>
      </c>
      <c r="N25" s="15">
        <v>0.74870968900000001</v>
      </c>
      <c r="O25" s="15">
        <v>0.12576336199999999</v>
      </c>
      <c r="P25" s="15">
        <v>16.7973466682358</v>
      </c>
      <c r="Q25" s="15">
        <v>0</v>
      </c>
      <c r="R25" s="6">
        <v>6.0894058979999999</v>
      </c>
      <c r="S25" s="15">
        <v>253.824992334</v>
      </c>
      <c r="T25" s="15">
        <v>2.6205054830000001</v>
      </c>
      <c r="U25" s="15">
        <v>-1.02229774718763</v>
      </c>
      <c r="V25" s="15">
        <v>2.3519524752763799</v>
      </c>
      <c r="W25" s="15">
        <v>0.74870968900000001</v>
      </c>
      <c r="X25" s="15">
        <v>0.12576336199999999</v>
      </c>
      <c r="Y25" s="15">
        <v>16.7973466682358</v>
      </c>
      <c r="Z25" s="15">
        <v>0</v>
      </c>
      <c r="AA25" s="8">
        <f t="shared" si="2"/>
        <v>0</v>
      </c>
      <c r="AB25" s="15">
        <f t="shared" si="3"/>
        <v>0</v>
      </c>
      <c r="AC25" s="15">
        <f t="shared" si="4"/>
        <v>0</v>
      </c>
      <c r="AD25" s="15">
        <f t="shared" si="5"/>
        <v>0</v>
      </c>
      <c r="AE25" s="15">
        <f t="shared" si="6"/>
        <v>0</v>
      </c>
      <c r="AF25" s="15">
        <f t="shared" si="7"/>
        <v>0</v>
      </c>
      <c r="AG25" s="15">
        <f t="shared" si="8"/>
        <v>0</v>
      </c>
      <c r="AH25" s="15">
        <f t="shared" si="9"/>
        <v>0</v>
      </c>
      <c r="AI25" s="16">
        <f t="shared" si="10"/>
        <v>0</v>
      </c>
    </row>
    <row r="26" spans="2:35" x14ac:dyDescent="0.25">
      <c r="B26" t="s">
        <v>207</v>
      </c>
      <c r="C26" s="13">
        <v>46064</v>
      </c>
      <c r="D26" s="35" t="s">
        <v>213</v>
      </c>
      <c r="E26" s="35" t="s">
        <v>224</v>
      </c>
      <c r="F26" s="14" t="s">
        <v>225</v>
      </c>
      <c r="G26" s="15">
        <v>8.8972800000000003</v>
      </c>
      <c r="H26" s="15">
        <v>106.59389</v>
      </c>
      <c r="I26" s="6">
        <v>5.8983749039999998</v>
      </c>
      <c r="J26" s="15">
        <v>235.09598315599999</v>
      </c>
      <c r="K26" s="15">
        <v>2.622222222</v>
      </c>
      <c r="L26" s="15">
        <v>5.7761609975956398E-2</v>
      </c>
      <c r="M26" s="15">
        <v>2.3284221572174602</v>
      </c>
      <c r="N26" s="15">
        <v>2.1831973219999998</v>
      </c>
      <c r="O26" s="15">
        <v>0.273179006</v>
      </c>
      <c r="P26" s="15">
        <v>12.5127950298942</v>
      </c>
      <c r="Q26" s="15">
        <v>0</v>
      </c>
      <c r="R26" s="6">
        <v>5.8983749039999998</v>
      </c>
      <c r="S26" s="15">
        <v>235.09598315599999</v>
      </c>
      <c r="T26" s="15">
        <v>2.622222222</v>
      </c>
      <c r="U26" s="15">
        <v>5.7761609975956398E-2</v>
      </c>
      <c r="V26" s="15">
        <v>2.3284221572174602</v>
      </c>
      <c r="W26" s="15">
        <v>2.1831973219999998</v>
      </c>
      <c r="X26" s="15">
        <v>0.273179006</v>
      </c>
      <c r="Y26" s="15">
        <v>12.5127950298942</v>
      </c>
      <c r="Z26" s="15">
        <v>0</v>
      </c>
      <c r="AA26" s="8">
        <f t="shared" si="2"/>
        <v>0</v>
      </c>
      <c r="AB26" s="15">
        <f t="shared" si="3"/>
        <v>0</v>
      </c>
      <c r="AC26" s="15">
        <f t="shared" si="4"/>
        <v>0</v>
      </c>
      <c r="AD26" s="15">
        <f t="shared" si="5"/>
        <v>0</v>
      </c>
      <c r="AE26" s="15">
        <f t="shared" si="6"/>
        <v>0</v>
      </c>
      <c r="AF26" s="15">
        <f t="shared" si="7"/>
        <v>0</v>
      </c>
      <c r="AG26" s="15">
        <f t="shared" si="8"/>
        <v>0</v>
      </c>
      <c r="AH26" s="15">
        <f t="shared" si="9"/>
        <v>0</v>
      </c>
      <c r="AI26" s="16">
        <f t="shared" si="10"/>
        <v>0</v>
      </c>
    </row>
    <row r="27" spans="2:35" x14ac:dyDescent="0.25">
      <c r="B27" t="s">
        <v>207</v>
      </c>
      <c r="C27" s="13">
        <v>46064</v>
      </c>
      <c r="D27" s="35" t="s">
        <v>213</v>
      </c>
      <c r="E27" s="35" t="s">
        <v>226</v>
      </c>
      <c r="F27" s="14" t="s">
        <v>227</v>
      </c>
      <c r="G27" s="15">
        <v>10.947279999999999</v>
      </c>
      <c r="H27" s="15">
        <v>110.808905</v>
      </c>
      <c r="I27" s="6">
        <v>6.3432183899999997</v>
      </c>
      <c r="J27" s="15">
        <v>279.22646852499997</v>
      </c>
      <c r="K27" s="15">
        <v>2.7055555560000002</v>
      </c>
      <c r="L27" s="15">
        <v>0.10280848096098499</v>
      </c>
      <c r="M27" s="15">
        <v>2.3379456651069699</v>
      </c>
      <c r="N27" s="15">
        <v>2.041182058</v>
      </c>
      <c r="O27" s="15">
        <v>0.30493302900000002</v>
      </c>
      <c r="P27" s="15">
        <v>14.9390412190268</v>
      </c>
      <c r="Q27" s="15">
        <v>0</v>
      </c>
      <c r="R27" s="6">
        <v>6.3432183899999997</v>
      </c>
      <c r="S27" s="15">
        <v>279.22646852499997</v>
      </c>
      <c r="T27" s="15">
        <v>2.7055555560000002</v>
      </c>
      <c r="U27" s="15">
        <v>0.10280848096098499</v>
      </c>
      <c r="V27" s="15">
        <v>2.3379456651069699</v>
      </c>
      <c r="W27" s="15">
        <v>2.041182058</v>
      </c>
      <c r="X27" s="15">
        <v>0.30493302900000002</v>
      </c>
      <c r="Y27" s="15">
        <v>14.9390412190268</v>
      </c>
      <c r="Z27" s="15">
        <v>0</v>
      </c>
      <c r="AA27" s="8">
        <f t="shared" si="2"/>
        <v>0</v>
      </c>
      <c r="AB27" s="15">
        <f t="shared" si="3"/>
        <v>0</v>
      </c>
      <c r="AC27" s="15">
        <f t="shared" si="4"/>
        <v>0</v>
      </c>
      <c r="AD27" s="15">
        <f t="shared" si="5"/>
        <v>0</v>
      </c>
      <c r="AE27" s="15">
        <f t="shared" si="6"/>
        <v>0</v>
      </c>
      <c r="AF27" s="15">
        <f t="shared" si="7"/>
        <v>0</v>
      </c>
      <c r="AG27" s="15">
        <f t="shared" si="8"/>
        <v>0</v>
      </c>
      <c r="AH27" s="15">
        <f t="shared" si="9"/>
        <v>0</v>
      </c>
      <c r="AI27" s="16">
        <f t="shared" si="10"/>
        <v>0</v>
      </c>
    </row>
    <row r="28" spans="2:35" x14ac:dyDescent="0.25">
      <c r="B28" t="s">
        <v>207</v>
      </c>
      <c r="C28" s="13">
        <v>46064</v>
      </c>
      <c r="D28" s="35" t="s">
        <v>213</v>
      </c>
      <c r="E28" s="35" t="s">
        <v>228</v>
      </c>
      <c r="F28" s="14" t="s">
        <v>229</v>
      </c>
      <c r="G28" s="15">
        <v>10.447279999999999</v>
      </c>
      <c r="H28" s="15">
        <v>103.26506999999999</v>
      </c>
      <c r="I28" s="6">
        <v>6.5295800379999998</v>
      </c>
      <c r="J28" s="15">
        <v>302.25794263199998</v>
      </c>
      <c r="K28" s="15">
        <v>0.89755861699999995</v>
      </c>
      <c r="L28" s="15">
        <v>-0.12674165620571701</v>
      </c>
      <c r="M28" s="15">
        <v>0.83823022538018799</v>
      </c>
      <c r="N28" s="15">
        <v>1.9991634579999999</v>
      </c>
      <c r="O28" s="15">
        <v>0.204349062</v>
      </c>
      <c r="P28" s="15">
        <v>10.2217285526234</v>
      </c>
      <c r="Q28" s="15">
        <v>0</v>
      </c>
      <c r="R28" s="6">
        <v>6.5295800379999998</v>
      </c>
      <c r="S28" s="15">
        <v>302.25794263199998</v>
      </c>
      <c r="T28" s="15">
        <v>0.89755861699999995</v>
      </c>
      <c r="U28" s="15">
        <v>-0.12674165620571701</v>
      </c>
      <c r="V28" s="15">
        <v>0.83823022538018799</v>
      </c>
      <c r="W28" s="15">
        <v>1.9991634579999999</v>
      </c>
      <c r="X28" s="15">
        <v>0.204349062</v>
      </c>
      <c r="Y28" s="15">
        <v>10.2217285526234</v>
      </c>
      <c r="Z28" s="15">
        <v>0</v>
      </c>
      <c r="AA28" s="8">
        <f t="shared" si="2"/>
        <v>0</v>
      </c>
      <c r="AB28" s="15">
        <f t="shared" si="3"/>
        <v>0</v>
      </c>
      <c r="AC28" s="15">
        <f t="shared" si="4"/>
        <v>0</v>
      </c>
      <c r="AD28" s="15">
        <f t="shared" si="5"/>
        <v>0</v>
      </c>
      <c r="AE28" s="15">
        <f t="shared" si="6"/>
        <v>0</v>
      </c>
      <c r="AF28" s="15">
        <f t="shared" si="7"/>
        <v>0</v>
      </c>
      <c r="AG28" s="15">
        <f t="shared" si="8"/>
        <v>0</v>
      </c>
      <c r="AH28" s="15">
        <f t="shared" si="9"/>
        <v>0</v>
      </c>
      <c r="AI28" s="16">
        <f t="shared" si="10"/>
        <v>0</v>
      </c>
    </row>
    <row r="29" spans="2:35" x14ac:dyDescent="0.25">
      <c r="B29" t="s">
        <v>207</v>
      </c>
      <c r="C29" s="13">
        <v>46064</v>
      </c>
      <c r="D29" s="35" t="s">
        <v>213</v>
      </c>
      <c r="E29" s="35" t="s">
        <v>230</v>
      </c>
      <c r="F29" s="14" t="s">
        <v>231</v>
      </c>
      <c r="G29" s="15">
        <v>10.947279999999999</v>
      </c>
      <c r="H29" s="15">
        <v>111.60411000000001</v>
      </c>
      <c r="I29" s="6">
        <v>5.6169199660000002</v>
      </c>
      <c r="J29" s="15">
        <v>207.905278821</v>
      </c>
      <c r="K29" s="15">
        <v>2.4555555560000002</v>
      </c>
      <c r="L29" s="15">
        <v>0.11142073889573</v>
      </c>
      <c r="M29" s="15">
        <v>2.1541325942207701</v>
      </c>
      <c r="N29" s="15">
        <v>2.582711405</v>
      </c>
      <c r="O29" s="15">
        <v>0.33352487800000002</v>
      </c>
      <c r="P29" s="15">
        <v>12.9137493780495</v>
      </c>
      <c r="Q29" s="15">
        <v>0</v>
      </c>
      <c r="R29" s="6">
        <v>5.6169199660000002</v>
      </c>
      <c r="S29" s="15">
        <v>207.905278821</v>
      </c>
      <c r="T29" s="15">
        <v>2.4555555560000002</v>
      </c>
      <c r="U29" s="15">
        <v>0.11142073889573</v>
      </c>
      <c r="V29" s="15">
        <v>2.1541325942207701</v>
      </c>
      <c r="W29" s="15">
        <v>2.582711405</v>
      </c>
      <c r="X29" s="15">
        <v>0.33352487800000002</v>
      </c>
      <c r="Y29" s="15">
        <v>12.9137493780495</v>
      </c>
      <c r="Z29" s="15">
        <v>0</v>
      </c>
      <c r="AA29" s="8">
        <f t="shared" si="2"/>
        <v>0</v>
      </c>
      <c r="AB29" s="15">
        <f t="shared" si="3"/>
        <v>0</v>
      </c>
      <c r="AC29" s="15">
        <f t="shared" si="4"/>
        <v>0</v>
      </c>
      <c r="AD29" s="15">
        <f t="shared" si="5"/>
        <v>0</v>
      </c>
      <c r="AE29" s="15">
        <f t="shared" si="6"/>
        <v>0</v>
      </c>
      <c r="AF29" s="15">
        <f t="shared" si="7"/>
        <v>0</v>
      </c>
      <c r="AG29" s="15">
        <f t="shared" si="8"/>
        <v>0</v>
      </c>
      <c r="AH29" s="15">
        <f t="shared" si="9"/>
        <v>0</v>
      </c>
      <c r="AI29" s="16">
        <f t="shared" si="10"/>
        <v>0</v>
      </c>
    </row>
    <row r="30" spans="2:35" x14ac:dyDescent="0.25">
      <c r="B30" t="s">
        <v>207</v>
      </c>
      <c r="C30" s="13">
        <v>46064</v>
      </c>
      <c r="D30" s="35" t="s">
        <v>213</v>
      </c>
      <c r="E30" s="35" t="s">
        <v>232</v>
      </c>
      <c r="F30" s="14" t="s">
        <v>233</v>
      </c>
      <c r="G30" s="15">
        <v>6.5972799999999996</v>
      </c>
      <c r="H30" s="15">
        <v>100.73654500000001</v>
      </c>
      <c r="I30" s="6">
        <v>4.841641546</v>
      </c>
      <c r="J30" s="15">
        <v>125.00846881</v>
      </c>
      <c r="K30" s="15">
        <v>0.43314187799999998</v>
      </c>
      <c r="L30" s="15">
        <v>-3.5493951078100498E-3</v>
      </c>
      <c r="M30" s="15">
        <v>0.41808946097963101</v>
      </c>
      <c r="N30" s="15">
        <v>2.112697072</v>
      </c>
      <c r="O30" s="15">
        <v>0.30279864899999998</v>
      </c>
      <c r="P30" s="15">
        <v>14.3323268164211</v>
      </c>
      <c r="Q30" s="15">
        <v>0</v>
      </c>
      <c r="R30" s="6">
        <v>4.841641546</v>
      </c>
      <c r="S30" s="15">
        <v>125.00846881</v>
      </c>
      <c r="T30" s="15">
        <v>0.43314187799999998</v>
      </c>
      <c r="U30" s="15">
        <v>-3.5493951078100498E-3</v>
      </c>
      <c r="V30" s="15">
        <v>0.41808946097963101</v>
      </c>
      <c r="W30" s="15">
        <v>2.112697072</v>
      </c>
      <c r="X30" s="15">
        <v>0.30279864899999998</v>
      </c>
      <c r="Y30" s="15">
        <v>14.3323268164211</v>
      </c>
      <c r="Z30" s="15">
        <v>0</v>
      </c>
      <c r="AA30" s="8">
        <f t="shared" si="2"/>
        <v>0</v>
      </c>
      <c r="AB30" s="15">
        <f t="shared" si="3"/>
        <v>0</v>
      </c>
      <c r="AC30" s="15">
        <f t="shared" si="4"/>
        <v>0</v>
      </c>
      <c r="AD30" s="15">
        <f t="shared" si="5"/>
        <v>0</v>
      </c>
      <c r="AE30" s="15">
        <f t="shared" si="6"/>
        <v>0</v>
      </c>
      <c r="AF30" s="15">
        <f t="shared" si="7"/>
        <v>0</v>
      </c>
      <c r="AG30" s="15">
        <f t="shared" si="8"/>
        <v>0</v>
      </c>
      <c r="AH30" s="15">
        <f t="shared" si="9"/>
        <v>0</v>
      </c>
      <c r="AI30" s="16">
        <f t="shared" si="10"/>
        <v>0</v>
      </c>
    </row>
    <row r="31" spans="2:35" x14ac:dyDescent="0.25">
      <c r="B31" t="s">
        <v>207</v>
      </c>
      <c r="C31" s="13">
        <v>46064</v>
      </c>
      <c r="D31" s="35" t="s">
        <v>213</v>
      </c>
      <c r="E31" s="35" t="s">
        <v>234</v>
      </c>
      <c r="F31" s="14" t="s">
        <v>235</v>
      </c>
      <c r="G31" s="15">
        <v>8.6472800000000003</v>
      </c>
      <c r="H31" s="15">
        <v>102.27056</v>
      </c>
      <c r="I31" s="6">
        <v>5.6516376509999997</v>
      </c>
      <c r="J31" s="15">
        <v>213.97399448300001</v>
      </c>
      <c r="K31" s="15">
        <v>0.78888888899999998</v>
      </c>
      <c r="L31" s="15">
        <v>-0.21528617521993301</v>
      </c>
      <c r="M31" s="15">
        <v>0.75259635128622904</v>
      </c>
      <c r="N31" s="15">
        <v>1.0161181239999999</v>
      </c>
      <c r="O31" s="15">
        <v>9.9766864999999996E-2</v>
      </c>
      <c r="P31" s="15">
        <v>9.8184317987817007</v>
      </c>
      <c r="Q31" s="15">
        <v>0</v>
      </c>
      <c r="R31" s="6">
        <v>5.6516376509999997</v>
      </c>
      <c r="S31" s="15">
        <v>213.97399448300001</v>
      </c>
      <c r="T31" s="15">
        <v>0.78888888899999998</v>
      </c>
      <c r="U31" s="15">
        <v>-0.21528617521993301</v>
      </c>
      <c r="V31" s="15">
        <v>0.75259635128622904</v>
      </c>
      <c r="W31" s="15">
        <v>1.0161181239999999</v>
      </c>
      <c r="X31" s="15">
        <v>9.9766864999999996E-2</v>
      </c>
      <c r="Y31" s="15">
        <v>9.8184317987817007</v>
      </c>
      <c r="Z31" s="15">
        <v>0</v>
      </c>
      <c r="AA31" s="8">
        <f t="shared" si="2"/>
        <v>0</v>
      </c>
      <c r="AB31" s="15">
        <f t="shared" si="3"/>
        <v>0</v>
      </c>
      <c r="AC31" s="15">
        <f t="shared" si="4"/>
        <v>0</v>
      </c>
      <c r="AD31" s="15">
        <f t="shared" si="5"/>
        <v>0</v>
      </c>
      <c r="AE31" s="15">
        <f t="shared" si="6"/>
        <v>0</v>
      </c>
      <c r="AF31" s="15">
        <f t="shared" si="7"/>
        <v>0</v>
      </c>
      <c r="AG31" s="15">
        <f t="shared" si="8"/>
        <v>0</v>
      </c>
      <c r="AH31" s="15">
        <f t="shared" si="9"/>
        <v>0</v>
      </c>
      <c r="AI31" s="16">
        <f t="shared" si="10"/>
        <v>0</v>
      </c>
    </row>
    <row r="32" spans="2:35" x14ac:dyDescent="0.25">
      <c r="B32" t="s">
        <v>207</v>
      </c>
      <c r="C32" s="13">
        <v>46064</v>
      </c>
      <c r="D32" s="35" t="s">
        <v>213</v>
      </c>
      <c r="E32" s="35" t="s">
        <v>236</v>
      </c>
      <c r="F32" s="14" t="s">
        <v>237</v>
      </c>
      <c r="G32" s="15">
        <v>11.09728</v>
      </c>
      <c r="H32" s="15">
        <v>111.56115</v>
      </c>
      <c r="I32" s="6">
        <v>6.3319646489999997</v>
      </c>
      <c r="J32" s="15">
        <v>277.64721975499998</v>
      </c>
      <c r="K32" s="15">
        <v>2.7944444439999998</v>
      </c>
      <c r="L32" s="15">
        <v>0.113529263547395</v>
      </c>
      <c r="M32" s="15">
        <v>2.40311128201887</v>
      </c>
      <c r="N32" s="15">
        <v>2.2914459479999998</v>
      </c>
      <c r="O32" s="15">
        <v>0.40466336000000003</v>
      </c>
      <c r="P32" s="15">
        <v>17.659738400253101</v>
      </c>
      <c r="Q32" s="15">
        <v>0</v>
      </c>
      <c r="R32" s="6">
        <v>6.3319646489999997</v>
      </c>
      <c r="S32" s="15">
        <v>277.64721975499998</v>
      </c>
      <c r="T32" s="15">
        <v>2.7944444439999998</v>
      </c>
      <c r="U32" s="15">
        <v>0.113529263547395</v>
      </c>
      <c r="V32" s="15">
        <v>2.40311128201887</v>
      </c>
      <c r="W32" s="15">
        <v>2.2914459479999998</v>
      </c>
      <c r="X32" s="15">
        <v>0.40466336000000003</v>
      </c>
      <c r="Y32" s="15">
        <v>17.659738400253101</v>
      </c>
      <c r="Z32" s="15">
        <v>0</v>
      </c>
      <c r="AA32" s="8">
        <f t="shared" si="2"/>
        <v>0</v>
      </c>
      <c r="AB32" s="15">
        <f t="shared" si="3"/>
        <v>0</v>
      </c>
      <c r="AC32" s="15">
        <f t="shared" si="4"/>
        <v>0</v>
      </c>
      <c r="AD32" s="15">
        <f t="shared" si="5"/>
        <v>0</v>
      </c>
      <c r="AE32" s="15">
        <f t="shared" si="6"/>
        <v>0</v>
      </c>
      <c r="AF32" s="15">
        <f t="shared" si="7"/>
        <v>0</v>
      </c>
      <c r="AG32" s="15">
        <f t="shared" si="8"/>
        <v>0</v>
      </c>
      <c r="AH32" s="15">
        <f t="shared" si="9"/>
        <v>0</v>
      </c>
      <c r="AI32" s="16">
        <f t="shared" si="10"/>
        <v>0</v>
      </c>
    </row>
    <row r="33" spans="2:35" x14ac:dyDescent="0.25">
      <c r="B33" t="s">
        <v>207</v>
      </c>
      <c r="C33" s="13">
        <v>46064</v>
      </c>
      <c r="D33" s="35" t="s">
        <v>213</v>
      </c>
      <c r="E33" s="35" t="s">
        <v>238</v>
      </c>
      <c r="F33" s="14" t="s">
        <v>239</v>
      </c>
      <c r="G33" s="15">
        <v>8.9472799999999992</v>
      </c>
      <c r="H33" s="15">
        <v>104.34538499999999</v>
      </c>
      <c r="I33" s="6">
        <v>5.772039822</v>
      </c>
      <c r="J33" s="15">
        <v>226.85099775699999</v>
      </c>
      <c r="K33" s="15">
        <v>1.549915766</v>
      </c>
      <c r="L33" s="15">
        <v>-1.2855880343917501</v>
      </c>
      <c r="M33" s="15">
        <v>1.42870156068714</v>
      </c>
      <c r="N33" s="15">
        <v>2.2914459479999998</v>
      </c>
      <c r="O33" s="15">
        <v>0.40466336000000003</v>
      </c>
      <c r="P33" s="15">
        <v>17.659738400253101</v>
      </c>
      <c r="Q33" s="15">
        <v>0</v>
      </c>
      <c r="R33" s="6">
        <v>5.772039822</v>
      </c>
      <c r="S33" s="15">
        <v>226.85099775699999</v>
      </c>
      <c r="T33" s="15">
        <v>1.549915766</v>
      </c>
      <c r="U33" s="15">
        <v>-1.2855880343917501</v>
      </c>
      <c r="V33" s="15">
        <v>1.42870156068714</v>
      </c>
      <c r="W33" s="15">
        <v>2.2914459479999998</v>
      </c>
      <c r="X33" s="15">
        <v>0.40466336000000003</v>
      </c>
      <c r="Y33" s="15">
        <v>17.659738400253101</v>
      </c>
      <c r="Z33" s="15">
        <v>0</v>
      </c>
      <c r="AA33" s="8">
        <f t="shared" si="2"/>
        <v>0</v>
      </c>
      <c r="AB33" s="15">
        <f t="shared" si="3"/>
        <v>0</v>
      </c>
      <c r="AC33" s="15">
        <f t="shared" si="4"/>
        <v>0</v>
      </c>
      <c r="AD33" s="15">
        <f t="shared" si="5"/>
        <v>0</v>
      </c>
      <c r="AE33" s="15">
        <f t="shared" si="6"/>
        <v>0</v>
      </c>
      <c r="AF33" s="15">
        <f t="shared" si="7"/>
        <v>0</v>
      </c>
      <c r="AG33" s="15">
        <f t="shared" si="8"/>
        <v>0</v>
      </c>
      <c r="AH33" s="15">
        <f t="shared" si="9"/>
        <v>0</v>
      </c>
      <c r="AI33" s="16">
        <f t="shared" si="10"/>
        <v>0</v>
      </c>
    </row>
    <row r="34" spans="2:35" x14ac:dyDescent="0.25">
      <c r="B34" t="s">
        <v>207</v>
      </c>
      <c r="C34" s="13">
        <v>46064</v>
      </c>
      <c r="D34" s="35" t="s">
        <v>213</v>
      </c>
      <c r="E34" s="35" t="s">
        <v>240</v>
      </c>
      <c r="F34" s="14" t="s">
        <v>241</v>
      </c>
      <c r="G34" s="15">
        <v>10.197279999999999</v>
      </c>
      <c r="H34" s="15">
        <v>109.35919</v>
      </c>
      <c r="I34" s="6">
        <v>6.2307195010000003</v>
      </c>
      <c r="J34" s="15">
        <v>267.69535956999999</v>
      </c>
      <c r="K34" s="15">
        <v>2.7507122599999998</v>
      </c>
      <c r="L34" s="15">
        <v>-0.72872989732276605</v>
      </c>
      <c r="M34" s="15">
        <v>2.3927754677041699</v>
      </c>
      <c r="N34" s="15">
        <v>2.2914459479999998</v>
      </c>
      <c r="O34" s="15">
        <v>0.40466336000000003</v>
      </c>
      <c r="P34" s="15">
        <v>17.659738400253101</v>
      </c>
      <c r="Q34" s="15">
        <v>0</v>
      </c>
      <c r="R34" s="6">
        <v>6.2307195010000003</v>
      </c>
      <c r="S34" s="15">
        <v>267.69535956999999</v>
      </c>
      <c r="T34" s="15">
        <v>2.7507122599999998</v>
      </c>
      <c r="U34" s="15">
        <v>-0.72872989732276605</v>
      </c>
      <c r="V34" s="15">
        <v>2.3927754677041699</v>
      </c>
      <c r="W34" s="15">
        <v>2.2914459479999998</v>
      </c>
      <c r="X34" s="15">
        <v>0.40466336000000003</v>
      </c>
      <c r="Y34" s="15">
        <v>17.659738400253101</v>
      </c>
      <c r="Z34" s="15">
        <v>0</v>
      </c>
      <c r="AA34" s="8">
        <f t="shared" si="2"/>
        <v>0</v>
      </c>
      <c r="AB34" s="15">
        <f t="shared" si="3"/>
        <v>0</v>
      </c>
      <c r="AC34" s="15">
        <f t="shared" si="4"/>
        <v>0</v>
      </c>
      <c r="AD34" s="15">
        <f t="shared" si="5"/>
        <v>0</v>
      </c>
      <c r="AE34" s="15">
        <f t="shared" si="6"/>
        <v>0</v>
      </c>
      <c r="AF34" s="15">
        <f t="shared" si="7"/>
        <v>0</v>
      </c>
      <c r="AG34" s="15">
        <f t="shared" si="8"/>
        <v>0</v>
      </c>
      <c r="AH34" s="15">
        <f t="shared" si="9"/>
        <v>0</v>
      </c>
      <c r="AI34" s="16">
        <f t="shared" si="10"/>
        <v>0</v>
      </c>
    </row>
    <row r="35" spans="2:35" x14ac:dyDescent="0.25">
      <c r="B35" t="s">
        <v>207</v>
      </c>
      <c r="C35" s="13">
        <v>46064</v>
      </c>
      <c r="D35" s="35" t="s">
        <v>19</v>
      </c>
      <c r="E35" s="35" t="s">
        <v>20</v>
      </c>
      <c r="F35" s="14" t="s">
        <v>21</v>
      </c>
      <c r="G35" s="15">
        <v>8.0654249999999994</v>
      </c>
      <c r="H35" s="15">
        <v>100.2329</v>
      </c>
      <c r="I35" s="6">
        <v>6.6671569120000003</v>
      </c>
      <c r="J35" s="15">
        <v>306.78902005999998</v>
      </c>
      <c r="K35" s="15">
        <v>0.53888888899999998</v>
      </c>
      <c r="L35" s="15">
        <v>0.51469916963392204</v>
      </c>
      <c r="M35" s="15">
        <v>0.51471420361976905</v>
      </c>
      <c r="N35" s="15">
        <v>5.5152795450000003</v>
      </c>
      <c r="O35" s="15">
        <v>2.9086490980000002</v>
      </c>
      <c r="P35" s="15">
        <v>52.738017615750799</v>
      </c>
      <c r="Q35" s="15">
        <v>0</v>
      </c>
      <c r="R35" s="6">
        <v>6.6671569120000003</v>
      </c>
      <c r="S35" s="15">
        <v>306.78902005999998</v>
      </c>
      <c r="T35" s="15">
        <v>0.53888888899999998</v>
      </c>
      <c r="U35" s="15">
        <v>0.51469916963392204</v>
      </c>
      <c r="V35" s="15">
        <v>0.51471420361976905</v>
      </c>
      <c r="W35" s="15">
        <v>5.5152795450000003</v>
      </c>
      <c r="X35" s="15">
        <v>2.9086490980000002</v>
      </c>
      <c r="Y35" s="15">
        <v>52.738017615750799</v>
      </c>
      <c r="Z35" s="15">
        <v>0</v>
      </c>
      <c r="AA35" s="8">
        <f t="shared" si="2"/>
        <v>0</v>
      </c>
      <c r="AB35" s="15">
        <f t="shared" si="3"/>
        <v>0</v>
      </c>
      <c r="AC35" s="15">
        <f t="shared" si="4"/>
        <v>0</v>
      </c>
      <c r="AD35" s="15">
        <f t="shared" si="5"/>
        <v>0</v>
      </c>
      <c r="AE35" s="15">
        <f t="shared" si="6"/>
        <v>0</v>
      </c>
      <c r="AF35" s="15">
        <f t="shared" si="7"/>
        <v>0</v>
      </c>
      <c r="AG35" s="15">
        <f t="shared" si="8"/>
        <v>0</v>
      </c>
      <c r="AH35" s="15">
        <f t="shared" si="9"/>
        <v>0</v>
      </c>
      <c r="AI35" s="16">
        <f t="shared" si="10"/>
        <v>0</v>
      </c>
    </row>
    <row r="36" spans="2:35" x14ac:dyDescent="0.25">
      <c r="B36" t="s">
        <v>207</v>
      </c>
      <c r="C36" s="13">
        <v>46064</v>
      </c>
      <c r="D36" s="35" t="s">
        <v>19</v>
      </c>
      <c r="E36" s="35" t="s">
        <v>242</v>
      </c>
      <c r="F36" s="14" t="s">
        <v>243</v>
      </c>
      <c r="G36" s="15">
        <v>8.4501369999999998</v>
      </c>
      <c r="H36" s="15">
        <v>101.768925</v>
      </c>
      <c r="I36" s="6">
        <v>7.207145766</v>
      </c>
      <c r="J36" s="15">
        <v>369.628021752</v>
      </c>
      <c r="K36" s="15">
        <v>1.955555556</v>
      </c>
      <c r="L36" s="15">
        <v>1.7551800522605601</v>
      </c>
      <c r="M36" s="15">
        <v>1.75873432386163</v>
      </c>
      <c r="N36" s="15">
        <v>4.9540065770000004</v>
      </c>
      <c r="O36" s="15">
        <v>2.7020863409999998</v>
      </c>
      <c r="P36" s="15">
        <v>54.543454858235201</v>
      </c>
      <c r="Q36" s="15">
        <v>0</v>
      </c>
      <c r="R36" s="6">
        <v>7.207145766</v>
      </c>
      <c r="S36" s="15">
        <v>369.628021752</v>
      </c>
      <c r="T36" s="15">
        <v>1.955555556</v>
      </c>
      <c r="U36" s="15">
        <v>1.7551800522605601</v>
      </c>
      <c r="V36" s="15">
        <v>1.75873432386163</v>
      </c>
      <c r="W36" s="15">
        <v>4.9540065770000004</v>
      </c>
      <c r="X36" s="15">
        <v>2.7020863409999998</v>
      </c>
      <c r="Y36" s="15">
        <v>54.543454858235201</v>
      </c>
      <c r="Z36" s="15">
        <v>0</v>
      </c>
      <c r="AA36" s="8">
        <f t="shared" si="2"/>
        <v>0</v>
      </c>
      <c r="AB36" s="15">
        <f t="shared" si="3"/>
        <v>0</v>
      </c>
      <c r="AC36" s="15">
        <f t="shared" si="4"/>
        <v>0</v>
      </c>
      <c r="AD36" s="15">
        <f t="shared" si="5"/>
        <v>0</v>
      </c>
      <c r="AE36" s="15">
        <f t="shared" si="6"/>
        <v>0</v>
      </c>
      <c r="AF36" s="15">
        <f t="shared" si="7"/>
        <v>0</v>
      </c>
      <c r="AG36" s="15">
        <f t="shared" si="8"/>
        <v>0</v>
      </c>
      <c r="AH36" s="15">
        <f t="shared" si="9"/>
        <v>0</v>
      </c>
      <c r="AI36" s="16">
        <f t="shared" si="10"/>
        <v>0</v>
      </c>
    </row>
    <row r="37" spans="2:35" x14ac:dyDescent="0.25">
      <c r="B37" t="s">
        <v>207</v>
      </c>
      <c r="C37" s="13">
        <v>46064</v>
      </c>
      <c r="D37" s="35" t="s">
        <v>19</v>
      </c>
      <c r="E37" s="35" t="s">
        <v>22</v>
      </c>
      <c r="F37" s="14" t="s">
        <v>23</v>
      </c>
      <c r="G37" s="15">
        <v>3.1720000000000002</v>
      </c>
      <c r="H37" s="15">
        <v>90.542349999999999</v>
      </c>
      <c r="I37" s="6">
        <v>8.2458371879999994</v>
      </c>
      <c r="J37" s="15">
        <v>473.033666401</v>
      </c>
      <c r="K37" s="15">
        <v>2.0388888889999999</v>
      </c>
      <c r="L37" s="15">
        <v>1.89930030422227</v>
      </c>
      <c r="M37" s="15">
        <v>1.89930030422227</v>
      </c>
      <c r="N37" s="15">
        <v>2.6826547449999998</v>
      </c>
      <c r="O37" s="15">
        <v>1.329766263</v>
      </c>
      <c r="P37" s="15">
        <v>49.569042213816502</v>
      </c>
      <c r="Q37" s="15">
        <v>0</v>
      </c>
      <c r="R37" s="6">
        <v>8.2458371879999994</v>
      </c>
      <c r="S37" s="15">
        <v>473.033666401</v>
      </c>
      <c r="T37" s="15">
        <v>2.0388888889999999</v>
      </c>
      <c r="U37" s="15">
        <v>1.89930030422227</v>
      </c>
      <c r="V37" s="15">
        <v>1.89930030422227</v>
      </c>
      <c r="W37" s="15">
        <v>2.6826547449999998</v>
      </c>
      <c r="X37" s="15">
        <v>1.329766263</v>
      </c>
      <c r="Y37" s="15">
        <v>49.569042213816502</v>
      </c>
      <c r="Z37" s="15">
        <v>0</v>
      </c>
      <c r="AA37" s="8">
        <f t="shared" si="2"/>
        <v>0</v>
      </c>
      <c r="AB37" s="15">
        <f t="shared" si="3"/>
        <v>0</v>
      </c>
      <c r="AC37" s="15">
        <f t="shared" si="4"/>
        <v>0</v>
      </c>
      <c r="AD37" s="15">
        <f t="shared" si="5"/>
        <v>0</v>
      </c>
      <c r="AE37" s="15">
        <f t="shared" si="6"/>
        <v>0</v>
      </c>
      <c r="AF37" s="15">
        <f t="shared" si="7"/>
        <v>0</v>
      </c>
      <c r="AG37" s="15">
        <f t="shared" si="8"/>
        <v>0</v>
      </c>
      <c r="AH37" s="15">
        <f t="shared" si="9"/>
        <v>0</v>
      </c>
      <c r="AI37" s="16">
        <f t="shared" si="10"/>
        <v>0</v>
      </c>
    </row>
    <row r="38" spans="2:35" x14ac:dyDescent="0.25">
      <c r="B38" t="s">
        <v>207</v>
      </c>
      <c r="C38" s="13">
        <v>46064</v>
      </c>
      <c r="D38" s="35" t="s">
        <v>19</v>
      </c>
      <c r="E38" s="35" t="s">
        <v>24</v>
      </c>
      <c r="F38" s="14" t="s">
        <v>25</v>
      </c>
      <c r="G38" s="15">
        <v>4.5546049999999996</v>
      </c>
      <c r="H38" s="15">
        <v>90.827889999999996</v>
      </c>
      <c r="I38" s="6">
        <v>6.3907137949999999</v>
      </c>
      <c r="J38" s="15">
        <v>249.33539517599999</v>
      </c>
      <c r="K38" s="15">
        <v>6.7888888889999999</v>
      </c>
      <c r="L38" s="15">
        <v>6.7258108649226598</v>
      </c>
      <c r="M38" s="15">
        <v>5.6003758405045003</v>
      </c>
      <c r="N38" s="15">
        <v>3.1879079830000001</v>
      </c>
      <c r="O38" s="15">
        <v>1.051651632</v>
      </c>
      <c r="P38" s="15">
        <v>32.988769989852003</v>
      </c>
      <c r="Q38" s="15">
        <v>0</v>
      </c>
      <c r="R38" s="6">
        <v>6.3907137949999999</v>
      </c>
      <c r="S38" s="15">
        <v>249.33539517599999</v>
      </c>
      <c r="T38" s="15">
        <v>6.7888888889999999</v>
      </c>
      <c r="U38" s="15">
        <v>6.7258108649226598</v>
      </c>
      <c r="V38" s="15">
        <v>5.6003758405045003</v>
      </c>
      <c r="W38" s="15">
        <v>3.1879079830000001</v>
      </c>
      <c r="X38" s="15">
        <v>1.051651632</v>
      </c>
      <c r="Y38" s="15">
        <v>32.988769989852003</v>
      </c>
      <c r="Z38" s="15">
        <v>0</v>
      </c>
      <c r="AA38" s="8">
        <f t="shared" si="2"/>
        <v>0</v>
      </c>
      <c r="AB38" s="15">
        <f t="shared" si="3"/>
        <v>0</v>
      </c>
      <c r="AC38" s="15">
        <f t="shared" si="4"/>
        <v>0</v>
      </c>
      <c r="AD38" s="15">
        <f t="shared" si="5"/>
        <v>0</v>
      </c>
      <c r="AE38" s="15">
        <f t="shared" si="6"/>
        <v>0</v>
      </c>
      <c r="AF38" s="15">
        <f t="shared" si="7"/>
        <v>0</v>
      </c>
      <c r="AG38" s="15">
        <f t="shared" si="8"/>
        <v>0</v>
      </c>
      <c r="AH38" s="15">
        <f t="shared" si="9"/>
        <v>0</v>
      </c>
      <c r="AI38" s="16">
        <f t="shared" si="10"/>
        <v>0</v>
      </c>
    </row>
    <row r="39" spans="2:35" x14ac:dyDescent="0.25">
      <c r="B39" t="s">
        <v>207</v>
      </c>
      <c r="C39" s="13">
        <v>46064</v>
      </c>
      <c r="D39" s="35" t="s">
        <v>19</v>
      </c>
      <c r="E39" s="35" t="s">
        <v>48</v>
      </c>
      <c r="F39" s="14" t="s">
        <v>49</v>
      </c>
      <c r="G39" s="15">
        <v>4.5881670000000003</v>
      </c>
      <c r="H39" s="15">
        <v>83.885130000000004</v>
      </c>
      <c r="I39" s="6">
        <v>6.7847755459999997</v>
      </c>
      <c r="J39" s="15">
        <v>264.62213014100001</v>
      </c>
      <c r="K39" s="15">
        <v>10.455555556</v>
      </c>
      <c r="L39" s="15">
        <v>9.3042031370756693</v>
      </c>
      <c r="M39" s="15">
        <v>7.81746951932959</v>
      </c>
      <c r="N39" s="15">
        <v>3.4754308900000002</v>
      </c>
      <c r="O39" s="15">
        <v>0.92369675200000001</v>
      </c>
      <c r="P39" s="15">
        <v>26.5779059125529</v>
      </c>
      <c r="Q39" s="15">
        <v>0</v>
      </c>
      <c r="R39" s="6">
        <v>6.7847755459999997</v>
      </c>
      <c r="S39" s="15">
        <v>264.62213014100001</v>
      </c>
      <c r="T39" s="15">
        <v>10.455555556</v>
      </c>
      <c r="U39" s="15">
        <v>9.3042031370756693</v>
      </c>
      <c r="V39" s="15">
        <v>7.81746951932959</v>
      </c>
      <c r="W39" s="15">
        <v>3.4754308900000002</v>
      </c>
      <c r="X39" s="15">
        <v>0.92369675200000001</v>
      </c>
      <c r="Y39" s="15">
        <v>26.5779059125529</v>
      </c>
      <c r="Z39" s="15">
        <v>0</v>
      </c>
      <c r="AA39" s="8">
        <f t="shared" si="2"/>
        <v>0</v>
      </c>
      <c r="AB39" s="15">
        <f t="shared" si="3"/>
        <v>0</v>
      </c>
      <c r="AC39" s="15">
        <f t="shared" si="4"/>
        <v>0</v>
      </c>
      <c r="AD39" s="15">
        <f t="shared" si="5"/>
        <v>0</v>
      </c>
      <c r="AE39" s="15">
        <f t="shared" si="6"/>
        <v>0</v>
      </c>
      <c r="AF39" s="15">
        <f t="shared" si="7"/>
        <v>0</v>
      </c>
      <c r="AG39" s="15">
        <f t="shared" si="8"/>
        <v>0</v>
      </c>
      <c r="AH39" s="15">
        <f t="shared" si="9"/>
        <v>0</v>
      </c>
      <c r="AI39" s="16">
        <f t="shared" si="10"/>
        <v>0</v>
      </c>
    </row>
    <row r="40" spans="2:35" x14ac:dyDescent="0.25">
      <c r="B40" t="s">
        <v>207</v>
      </c>
      <c r="C40" s="13">
        <v>46064</v>
      </c>
      <c r="D40" s="35" t="s">
        <v>19</v>
      </c>
      <c r="E40" s="35" t="s">
        <v>244</v>
      </c>
      <c r="F40" s="14" t="s">
        <v>245</v>
      </c>
      <c r="G40" s="15">
        <v>8.3986009999999993</v>
      </c>
      <c r="H40" s="15">
        <v>101</v>
      </c>
      <c r="I40" s="6">
        <v>5.5159865029999997</v>
      </c>
      <c r="J40" s="15">
        <v>191.667518124</v>
      </c>
      <c r="K40" s="15">
        <v>0.53888888899999998</v>
      </c>
      <c r="L40" s="15">
        <v>0.51732246831682804</v>
      </c>
      <c r="M40" s="15">
        <v>0.51731984554455501</v>
      </c>
      <c r="N40" s="15">
        <v>5.0835903050000004</v>
      </c>
      <c r="O40" s="15">
        <v>2.2778049199999999</v>
      </c>
      <c r="P40" s="15">
        <v>44.807012039496001</v>
      </c>
      <c r="Q40" s="15">
        <v>0</v>
      </c>
      <c r="R40" s="6">
        <v>5.5159865029999997</v>
      </c>
      <c r="S40" s="15">
        <v>191.667518124</v>
      </c>
      <c r="T40" s="15">
        <v>0.53888888899999998</v>
      </c>
      <c r="U40" s="15">
        <v>0.51732246831682804</v>
      </c>
      <c r="V40" s="15">
        <v>0.51731984554455501</v>
      </c>
      <c r="W40" s="15">
        <v>5.0835903050000004</v>
      </c>
      <c r="X40" s="15">
        <v>2.2778049199999999</v>
      </c>
      <c r="Y40" s="15">
        <v>44.807012039496001</v>
      </c>
      <c r="Z40" s="15">
        <v>0</v>
      </c>
      <c r="AA40" s="8">
        <f t="shared" si="2"/>
        <v>0</v>
      </c>
      <c r="AB40" s="15">
        <f t="shared" si="3"/>
        <v>0</v>
      </c>
      <c r="AC40" s="15">
        <f t="shared" si="4"/>
        <v>0</v>
      </c>
      <c r="AD40" s="15">
        <f t="shared" si="5"/>
        <v>0</v>
      </c>
      <c r="AE40" s="15">
        <f t="shared" si="6"/>
        <v>0</v>
      </c>
      <c r="AF40" s="15">
        <f t="shared" si="7"/>
        <v>0</v>
      </c>
      <c r="AG40" s="15">
        <f t="shared" si="8"/>
        <v>0</v>
      </c>
      <c r="AH40" s="15">
        <f t="shared" si="9"/>
        <v>0</v>
      </c>
      <c r="AI40" s="16">
        <f t="shared" si="10"/>
        <v>0</v>
      </c>
    </row>
    <row r="41" spans="2:35" x14ac:dyDescent="0.25">
      <c r="B41" t="s">
        <v>207</v>
      </c>
      <c r="C41" s="13">
        <v>46064</v>
      </c>
      <c r="D41" s="35" t="s">
        <v>19</v>
      </c>
      <c r="E41" s="35" t="s">
        <v>50</v>
      </c>
      <c r="F41" s="14" t="s">
        <v>51</v>
      </c>
      <c r="G41" s="15">
        <v>4.2181550000000003</v>
      </c>
      <c r="H41" s="15">
        <v>84.069519999999997</v>
      </c>
      <c r="I41" s="6">
        <v>6.5134227600000001</v>
      </c>
      <c r="J41" s="15">
        <v>238.74619174200001</v>
      </c>
      <c r="K41" s="15">
        <v>10.122222222</v>
      </c>
      <c r="L41" s="15">
        <v>8.3899979933274196</v>
      </c>
      <c r="M41" s="15">
        <v>7.7554969732192998</v>
      </c>
      <c r="N41" s="15">
        <v>3.627066063</v>
      </c>
      <c r="O41" s="15">
        <v>1.490647652</v>
      </c>
      <c r="P41" s="15">
        <v>41.097890860225</v>
      </c>
      <c r="Q41" s="15">
        <v>0</v>
      </c>
      <c r="R41" s="6">
        <v>6.5134227600000001</v>
      </c>
      <c r="S41" s="15">
        <v>238.74619174200001</v>
      </c>
      <c r="T41" s="15">
        <v>10.122222222</v>
      </c>
      <c r="U41" s="15">
        <v>8.3899979933274196</v>
      </c>
      <c r="V41" s="15">
        <v>7.7554969732192998</v>
      </c>
      <c r="W41" s="15">
        <v>3.627066063</v>
      </c>
      <c r="X41" s="15">
        <v>1.490647652</v>
      </c>
      <c r="Y41" s="15">
        <v>41.097890860225</v>
      </c>
      <c r="Z41" s="15">
        <v>0</v>
      </c>
      <c r="AA41" s="8">
        <f t="shared" si="2"/>
        <v>0</v>
      </c>
      <c r="AB41" s="15">
        <f t="shared" si="3"/>
        <v>0</v>
      </c>
      <c r="AC41" s="15">
        <f t="shared" si="4"/>
        <v>0</v>
      </c>
      <c r="AD41" s="15">
        <f t="shared" si="5"/>
        <v>0</v>
      </c>
      <c r="AE41" s="15">
        <f t="shared" si="6"/>
        <v>0</v>
      </c>
      <c r="AF41" s="15">
        <f t="shared" si="7"/>
        <v>0</v>
      </c>
      <c r="AG41" s="15">
        <f t="shared" si="8"/>
        <v>0</v>
      </c>
      <c r="AH41" s="15">
        <f t="shared" si="9"/>
        <v>0</v>
      </c>
      <c r="AI41" s="16">
        <f t="shared" si="10"/>
        <v>0</v>
      </c>
    </row>
    <row r="42" spans="2:35" x14ac:dyDescent="0.25">
      <c r="B42" t="s">
        <v>207</v>
      </c>
      <c r="C42" s="13">
        <v>46064</v>
      </c>
      <c r="D42" s="35" t="s">
        <v>19</v>
      </c>
      <c r="E42" s="35" t="s">
        <v>58</v>
      </c>
      <c r="F42" s="14" t="s">
        <v>59</v>
      </c>
      <c r="G42" s="15">
        <v>3.9752869999999998</v>
      </c>
      <c r="H42" s="15">
        <v>77.083254999999994</v>
      </c>
      <c r="I42" s="6">
        <v>6.8368378070000002</v>
      </c>
      <c r="J42" s="15">
        <v>262.959615595</v>
      </c>
      <c r="K42" s="15">
        <v>11.705555556</v>
      </c>
      <c r="L42" s="15">
        <v>10.324933285445701</v>
      </c>
      <c r="M42" s="15">
        <v>8.6872113911121307</v>
      </c>
      <c r="N42" s="15">
        <v>3.3175181070000002</v>
      </c>
      <c r="O42" s="15">
        <v>1.278044371</v>
      </c>
      <c r="P42" s="15">
        <v>38.524111392287899</v>
      </c>
      <c r="Q42" s="15">
        <v>0</v>
      </c>
      <c r="R42" s="6">
        <v>6.8368378070000002</v>
      </c>
      <c r="S42" s="15">
        <v>262.959615595</v>
      </c>
      <c r="T42" s="15">
        <v>11.705555556</v>
      </c>
      <c r="U42" s="15">
        <v>10.324933285445701</v>
      </c>
      <c r="V42" s="15">
        <v>8.6872113911121307</v>
      </c>
      <c r="W42" s="15">
        <v>3.3175181070000002</v>
      </c>
      <c r="X42" s="15">
        <v>1.278044371</v>
      </c>
      <c r="Y42" s="15">
        <v>38.524111392287899</v>
      </c>
      <c r="Z42" s="15">
        <v>0</v>
      </c>
      <c r="AA42" s="8">
        <f t="shared" si="2"/>
        <v>0</v>
      </c>
      <c r="AB42" s="15">
        <f t="shared" si="3"/>
        <v>0</v>
      </c>
      <c r="AC42" s="15">
        <f t="shared" si="4"/>
        <v>0</v>
      </c>
      <c r="AD42" s="15">
        <f t="shared" si="5"/>
        <v>0</v>
      </c>
      <c r="AE42" s="15">
        <f t="shared" si="6"/>
        <v>0</v>
      </c>
      <c r="AF42" s="15">
        <f t="shared" si="7"/>
        <v>0</v>
      </c>
      <c r="AG42" s="15">
        <f t="shared" si="8"/>
        <v>0</v>
      </c>
      <c r="AH42" s="15">
        <f t="shared" si="9"/>
        <v>0</v>
      </c>
      <c r="AI42" s="16">
        <f t="shared" si="10"/>
        <v>0</v>
      </c>
    </row>
    <row r="43" spans="2:35" x14ac:dyDescent="0.25">
      <c r="B43" t="s">
        <v>207</v>
      </c>
      <c r="C43" s="13">
        <v>46064</v>
      </c>
      <c r="D43" s="35" t="s">
        <v>19</v>
      </c>
      <c r="E43" s="35" t="s">
        <v>60</v>
      </c>
      <c r="F43" s="14" t="s">
        <v>61</v>
      </c>
      <c r="G43" s="15">
        <v>4.0458939999999997</v>
      </c>
      <c r="H43" s="15">
        <v>79.018730000000005</v>
      </c>
      <c r="I43" s="6">
        <v>6.6198279759999998</v>
      </c>
      <c r="J43" s="15">
        <v>240.498243562</v>
      </c>
      <c r="K43" s="15">
        <v>11.872222222</v>
      </c>
      <c r="L43" s="15">
        <v>10.278787009105301</v>
      </c>
      <c r="M43" s="15">
        <v>8.7854607711361492</v>
      </c>
      <c r="N43" s="15">
        <v>3.8245909980000001</v>
      </c>
      <c r="O43" s="15">
        <v>1.389419693</v>
      </c>
      <c r="P43" s="15">
        <v>36.328582421664699</v>
      </c>
      <c r="Q43" s="15">
        <v>0</v>
      </c>
      <c r="R43" s="6">
        <v>6.6198279759999998</v>
      </c>
      <c r="S43" s="15">
        <v>240.498243562</v>
      </c>
      <c r="T43" s="15">
        <v>11.872222222</v>
      </c>
      <c r="U43" s="15">
        <v>10.278787009105301</v>
      </c>
      <c r="V43" s="15">
        <v>8.7854607711361492</v>
      </c>
      <c r="W43" s="15">
        <v>3.8245909980000001</v>
      </c>
      <c r="X43" s="15">
        <v>1.389419693</v>
      </c>
      <c r="Y43" s="15">
        <v>36.328582421664699</v>
      </c>
      <c r="Z43" s="15">
        <v>0</v>
      </c>
      <c r="AA43" s="8">
        <f t="shared" si="2"/>
        <v>0</v>
      </c>
      <c r="AB43" s="15">
        <f t="shared" si="3"/>
        <v>0</v>
      </c>
      <c r="AC43" s="15">
        <f t="shared" si="4"/>
        <v>0</v>
      </c>
      <c r="AD43" s="15">
        <f t="shared" si="5"/>
        <v>0</v>
      </c>
      <c r="AE43" s="15">
        <f t="shared" si="6"/>
        <v>0</v>
      </c>
      <c r="AF43" s="15">
        <f t="shared" si="7"/>
        <v>0</v>
      </c>
      <c r="AG43" s="15">
        <f t="shared" si="8"/>
        <v>0</v>
      </c>
      <c r="AH43" s="15">
        <f t="shared" si="9"/>
        <v>0</v>
      </c>
      <c r="AI43" s="16">
        <f t="shared" si="10"/>
        <v>0</v>
      </c>
    </row>
    <row r="44" spans="2:35" x14ac:dyDescent="0.25">
      <c r="B44" t="s">
        <v>207</v>
      </c>
      <c r="C44" s="13">
        <v>46064</v>
      </c>
      <c r="D44" s="35" t="s">
        <v>19</v>
      </c>
      <c r="E44" s="35" t="s">
        <v>62</v>
      </c>
      <c r="F44" s="14" t="s">
        <v>63</v>
      </c>
      <c r="G44" s="15">
        <v>7.8073100000000002</v>
      </c>
      <c r="H44" s="15">
        <v>99.951430000000002</v>
      </c>
      <c r="I44" s="6">
        <v>3.9667071370000002</v>
      </c>
      <c r="J44" s="15">
        <v>28.285313652999999</v>
      </c>
      <c r="K44" s="15">
        <v>0.12222222200000001</v>
      </c>
      <c r="L44" s="15">
        <v>0.120105474228826</v>
      </c>
      <c r="M44" s="15">
        <v>0.120105474228826</v>
      </c>
      <c r="N44" s="15">
        <v>5.1480622560000002</v>
      </c>
      <c r="O44" s="15">
        <v>3.3622752629999999</v>
      </c>
      <c r="P44" s="15">
        <v>65.311472468719899</v>
      </c>
      <c r="Q44" s="15">
        <v>0</v>
      </c>
      <c r="R44" s="6">
        <v>3.9667071370000002</v>
      </c>
      <c r="S44" s="15">
        <v>28.285313652999999</v>
      </c>
      <c r="T44" s="15">
        <v>0.12222222200000001</v>
      </c>
      <c r="U44" s="15">
        <v>0.120105474228826</v>
      </c>
      <c r="V44" s="15">
        <v>0.120105474228826</v>
      </c>
      <c r="W44" s="15">
        <v>5.1480622560000002</v>
      </c>
      <c r="X44" s="15">
        <v>3.3622752629999999</v>
      </c>
      <c r="Y44" s="15">
        <v>65.311472468719899</v>
      </c>
      <c r="Z44" s="15">
        <v>0</v>
      </c>
      <c r="AA44" s="8">
        <f t="shared" si="2"/>
        <v>0</v>
      </c>
      <c r="AB44" s="15">
        <f t="shared" si="3"/>
        <v>0</v>
      </c>
      <c r="AC44" s="15">
        <f t="shared" si="4"/>
        <v>0</v>
      </c>
      <c r="AD44" s="15">
        <f t="shared" si="5"/>
        <v>0</v>
      </c>
      <c r="AE44" s="15">
        <f t="shared" si="6"/>
        <v>0</v>
      </c>
      <c r="AF44" s="15">
        <f t="shared" si="7"/>
        <v>0</v>
      </c>
      <c r="AG44" s="15">
        <f t="shared" si="8"/>
        <v>0</v>
      </c>
      <c r="AH44" s="15">
        <f t="shared" si="9"/>
        <v>0</v>
      </c>
      <c r="AI44" s="16">
        <f t="shared" si="10"/>
        <v>0</v>
      </c>
    </row>
    <row r="45" spans="2:35" x14ac:dyDescent="0.25">
      <c r="B45" t="s">
        <v>207</v>
      </c>
      <c r="C45" s="13">
        <v>46064</v>
      </c>
      <c r="D45" s="35" t="s">
        <v>64</v>
      </c>
      <c r="E45" s="35" t="s">
        <v>65</v>
      </c>
      <c r="F45" s="14" t="s">
        <v>66</v>
      </c>
      <c r="G45" s="15">
        <v>3.0527199999999999</v>
      </c>
      <c r="H45" s="15">
        <v>4.9385450000000004</v>
      </c>
      <c r="I45" s="6">
        <v>5.9134532709999998</v>
      </c>
      <c r="J45" s="15">
        <v>236.46555694400001</v>
      </c>
      <c r="K45" s="15">
        <v>1.5917624610000001</v>
      </c>
      <c r="L45" s="15">
        <v>-35.161525024070897</v>
      </c>
      <c r="M45" s="15">
        <v>1.3440627350768399</v>
      </c>
      <c r="N45" s="15">
        <v>0.46476308799999999</v>
      </c>
      <c r="O45" s="15">
        <v>0.16033714299999999</v>
      </c>
      <c r="P45" s="15">
        <v>34.498682692288199</v>
      </c>
      <c r="Q45" s="15">
        <v>0</v>
      </c>
      <c r="R45" s="6">
        <v>5.9134532709999998</v>
      </c>
      <c r="S45" s="15">
        <v>236.46555694400001</v>
      </c>
      <c r="T45" s="15">
        <v>1.5917624610000001</v>
      </c>
      <c r="U45" s="15">
        <v>-35.161525024070897</v>
      </c>
      <c r="V45" s="15">
        <v>1.3440627350768399</v>
      </c>
      <c r="W45" s="15">
        <v>0.46476308799999999</v>
      </c>
      <c r="X45" s="15">
        <v>0.16033714299999999</v>
      </c>
      <c r="Y45" s="15">
        <v>34.498682692288199</v>
      </c>
      <c r="Z45" s="15">
        <v>0</v>
      </c>
      <c r="AA45" s="8">
        <f t="shared" si="2"/>
        <v>0</v>
      </c>
      <c r="AB45" s="15">
        <f t="shared" si="3"/>
        <v>0</v>
      </c>
      <c r="AC45" s="15">
        <f t="shared" si="4"/>
        <v>0</v>
      </c>
      <c r="AD45" s="15">
        <f t="shared" si="5"/>
        <v>0</v>
      </c>
      <c r="AE45" s="15">
        <f t="shared" si="6"/>
        <v>0</v>
      </c>
      <c r="AF45" s="15">
        <f t="shared" si="7"/>
        <v>0</v>
      </c>
      <c r="AG45" s="15">
        <f t="shared" si="8"/>
        <v>0</v>
      </c>
      <c r="AH45" s="15">
        <f t="shared" si="9"/>
        <v>0</v>
      </c>
      <c r="AI45" s="16">
        <f t="shared" si="10"/>
        <v>0</v>
      </c>
    </row>
    <row r="46" spans="2:35" x14ac:dyDescent="0.25">
      <c r="B46" t="s">
        <v>207</v>
      </c>
      <c r="C46" s="13">
        <v>46064</v>
      </c>
      <c r="D46" s="35" t="s">
        <v>64</v>
      </c>
      <c r="E46" s="35" t="s">
        <v>67</v>
      </c>
      <c r="F46" s="14" t="s">
        <v>68</v>
      </c>
      <c r="G46" s="15">
        <v>2.5527199999999999</v>
      </c>
      <c r="H46" s="15">
        <v>4.2927949999999999</v>
      </c>
      <c r="I46" s="6">
        <v>-2.760362464</v>
      </c>
      <c r="J46" s="15">
        <v>-630.43451368800004</v>
      </c>
      <c r="K46" s="15">
        <v>1.441233218</v>
      </c>
      <c r="L46" s="15">
        <v>-48.271233124339702</v>
      </c>
      <c r="M46" s="15">
        <v>1.3954569924722799</v>
      </c>
      <c r="N46" s="15">
        <v>0.24470278000000001</v>
      </c>
      <c r="O46" s="15">
        <v>6.9869101000000003E-2</v>
      </c>
      <c r="P46" s="15">
        <v>28.552638838022201</v>
      </c>
      <c r="Q46" s="15">
        <v>0</v>
      </c>
      <c r="R46" s="6">
        <v>-2.760362464</v>
      </c>
      <c r="S46" s="15">
        <v>-630.43451368800004</v>
      </c>
      <c r="T46" s="15">
        <v>1.441233218</v>
      </c>
      <c r="U46" s="15">
        <v>-48.271233124339702</v>
      </c>
      <c r="V46" s="15">
        <v>1.3954569924722799</v>
      </c>
      <c r="W46" s="15">
        <v>0.24470278000000001</v>
      </c>
      <c r="X46" s="15">
        <v>6.9869101000000003E-2</v>
      </c>
      <c r="Y46" s="15">
        <v>28.552638838022201</v>
      </c>
      <c r="Z46" s="15">
        <v>0</v>
      </c>
      <c r="AA46" s="8">
        <f t="shared" si="2"/>
        <v>0</v>
      </c>
      <c r="AB46" s="15">
        <f t="shared" si="3"/>
        <v>0</v>
      </c>
      <c r="AC46" s="15">
        <f t="shared" si="4"/>
        <v>0</v>
      </c>
      <c r="AD46" s="15">
        <f t="shared" si="5"/>
        <v>0</v>
      </c>
      <c r="AE46" s="15">
        <f t="shared" si="6"/>
        <v>0</v>
      </c>
      <c r="AF46" s="15">
        <f t="shared" si="7"/>
        <v>0</v>
      </c>
      <c r="AG46" s="15">
        <f t="shared" si="8"/>
        <v>0</v>
      </c>
      <c r="AH46" s="15">
        <f t="shared" si="9"/>
        <v>0</v>
      </c>
      <c r="AI46" s="16">
        <f t="shared" si="10"/>
        <v>0</v>
      </c>
    </row>
    <row r="47" spans="2:35" x14ac:dyDescent="0.25">
      <c r="B47" t="s">
        <v>207</v>
      </c>
      <c r="C47" s="13">
        <v>46064</v>
      </c>
      <c r="D47" s="35" t="s">
        <v>64</v>
      </c>
      <c r="E47" s="35" t="s">
        <v>249</v>
      </c>
      <c r="F47" s="14" t="s">
        <v>250</v>
      </c>
      <c r="G47" s="15">
        <v>0.5</v>
      </c>
      <c r="H47" s="15">
        <v>1.11069</v>
      </c>
      <c r="I47" s="6">
        <v>5.5235654890000001</v>
      </c>
      <c r="J47" s="15">
        <v>180.59474691200001</v>
      </c>
      <c r="K47" s="15">
        <v>2.6360932789999998</v>
      </c>
      <c r="L47" s="15">
        <v>-93.676180392368707</v>
      </c>
      <c r="M47" s="15">
        <v>2.4454009669664698</v>
      </c>
      <c r="N47" s="15">
        <v>0.23767852</v>
      </c>
      <c r="O47" s="15">
        <v>6.6746207000000002E-2</v>
      </c>
      <c r="P47" s="15">
        <v>28.082557481424899</v>
      </c>
      <c r="Q47" s="15">
        <v>0</v>
      </c>
      <c r="R47" s="6">
        <v>5.5235654890000001</v>
      </c>
      <c r="S47" s="15">
        <v>180.59474691200001</v>
      </c>
      <c r="T47" s="15">
        <v>2.6360932789999998</v>
      </c>
      <c r="U47" s="15">
        <v>-93.676180392368707</v>
      </c>
      <c r="V47" s="15">
        <v>2.4454009669664698</v>
      </c>
      <c r="W47" s="15">
        <v>0.23767852</v>
      </c>
      <c r="X47" s="15">
        <v>6.6746207000000002E-2</v>
      </c>
      <c r="Y47" s="15">
        <v>28.082557481424899</v>
      </c>
      <c r="Z47" s="15">
        <v>0</v>
      </c>
      <c r="AA47" s="8">
        <f t="shared" si="2"/>
        <v>0</v>
      </c>
      <c r="AB47" s="15">
        <f t="shared" si="3"/>
        <v>0</v>
      </c>
      <c r="AC47" s="15">
        <f t="shared" si="4"/>
        <v>0</v>
      </c>
      <c r="AD47" s="15">
        <f t="shared" si="5"/>
        <v>0</v>
      </c>
      <c r="AE47" s="15">
        <f t="shared" si="6"/>
        <v>0</v>
      </c>
      <c r="AF47" s="15">
        <f t="shared" si="7"/>
        <v>0</v>
      </c>
      <c r="AG47" s="15">
        <f t="shared" si="8"/>
        <v>0</v>
      </c>
      <c r="AH47" s="15">
        <f t="shared" si="9"/>
        <v>0</v>
      </c>
      <c r="AI47" s="16">
        <f t="shared" si="10"/>
        <v>0</v>
      </c>
    </row>
    <row r="48" spans="2:35" x14ac:dyDescent="0.25">
      <c r="B48" t="s">
        <v>207</v>
      </c>
      <c r="C48" s="13">
        <v>46064</v>
      </c>
      <c r="D48" s="35" t="s">
        <v>64</v>
      </c>
      <c r="E48" s="35" t="s">
        <v>251</v>
      </c>
      <c r="F48" s="14" t="s">
        <v>252</v>
      </c>
      <c r="G48" s="15">
        <v>2.5527199999999999</v>
      </c>
      <c r="H48" s="15">
        <v>4.9183349999999999</v>
      </c>
      <c r="I48" s="6">
        <v>19.961235567999999</v>
      </c>
      <c r="J48" s="15">
        <v>1631.131240377</v>
      </c>
      <c r="K48" s="15">
        <v>2.7432276710000001</v>
      </c>
      <c r="L48" s="15">
        <v>-47.893032784468701</v>
      </c>
      <c r="M48" s="15">
        <v>1.7178421762649401</v>
      </c>
      <c r="N48" s="15">
        <v>0.283600719</v>
      </c>
      <c r="O48" s="15">
        <v>7.9235761000000002E-2</v>
      </c>
      <c r="P48" s="15">
        <v>27.939196092094502</v>
      </c>
      <c r="Q48" s="15">
        <v>0</v>
      </c>
      <c r="R48" s="6">
        <v>19.961235567999999</v>
      </c>
      <c r="S48" s="15">
        <v>1631.131240377</v>
      </c>
      <c r="T48" s="15">
        <v>2.7432276710000001</v>
      </c>
      <c r="U48" s="15">
        <v>-47.893032784468701</v>
      </c>
      <c r="V48" s="15">
        <v>1.7178421762649401</v>
      </c>
      <c r="W48" s="15">
        <v>0.283600719</v>
      </c>
      <c r="X48" s="15">
        <v>7.9235761000000002E-2</v>
      </c>
      <c r="Y48" s="15">
        <v>27.939196092094502</v>
      </c>
      <c r="Z48" s="15">
        <v>0</v>
      </c>
      <c r="AA48" s="8">
        <f t="shared" si="2"/>
        <v>0</v>
      </c>
      <c r="AB48" s="15">
        <f t="shared" si="3"/>
        <v>0</v>
      </c>
      <c r="AC48" s="15">
        <f t="shared" si="4"/>
        <v>0</v>
      </c>
      <c r="AD48" s="15">
        <f t="shared" si="5"/>
        <v>0</v>
      </c>
      <c r="AE48" s="15">
        <f t="shared" si="6"/>
        <v>0</v>
      </c>
      <c r="AF48" s="15">
        <f t="shared" si="7"/>
        <v>0</v>
      </c>
      <c r="AG48" s="15">
        <f t="shared" si="8"/>
        <v>0</v>
      </c>
      <c r="AH48" s="15">
        <f t="shared" si="9"/>
        <v>0</v>
      </c>
      <c r="AI48" s="16">
        <f t="shared" si="10"/>
        <v>0</v>
      </c>
    </row>
    <row r="49" spans="2:35" x14ac:dyDescent="0.25">
      <c r="B49" t="s">
        <v>207</v>
      </c>
      <c r="C49" s="13">
        <v>46064</v>
      </c>
      <c r="D49" s="35" t="s">
        <v>64</v>
      </c>
      <c r="E49" s="35" t="s">
        <v>69</v>
      </c>
      <c r="F49" s="14" t="s">
        <v>70</v>
      </c>
      <c r="G49" s="15">
        <v>0.18562200000000001</v>
      </c>
      <c r="H49" s="15">
        <v>0.23147000000000001</v>
      </c>
      <c r="I49" s="6">
        <v>-15.319687338</v>
      </c>
      <c r="J49" s="15">
        <v>-1884.6789740209999</v>
      </c>
      <c r="K49" s="15">
        <v>3.9256389629999999</v>
      </c>
      <c r="L49" s="15">
        <v>-79.930667473106595</v>
      </c>
      <c r="M49" s="15">
        <v>1.2432479370976901</v>
      </c>
      <c r="N49" s="15">
        <v>0.46196942699999999</v>
      </c>
      <c r="O49" s="15">
        <v>0.15438052799999999</v>
      </c>
      <c r="P49" s="15">
        <v>33.417910142352298</v>
      </c>
      <c r="Q49" s="15">
        <v>0</v>
      </c>
      <c r="R49" s="6">
        <v>-15.319687338</v>
      </c>
      <c r="S49" s="15">
        <v>-1884.6789740209999</v>
      </c>
      <c r="T49" s="15">
        <v>3.9256389629999999</v>
      </c>
      <c r="U49" s="15">
        <v>-79.930667473106595</v>
      </c>
      <c r="V49" s="15">
        <v>1.2432479370976901</v>
      </c>
      <c r="W49" s="15">
        <v>0.46196942699999999</v>
      </c>
      <c r="X49" s="15">
        <v>0.15438052799999999</v>
      </c>
      <c r="Y49" s="15">
        <v>33.417910142352298</v>
      </c>
      <c r="Z49" s="15">
        <v>0</v>
      </c>
      <c r="AA49" s="8">
        <f t="shared" si="2"/>
        <v>0</v>
      </c>
      <c r="AB49" s="15">
        <f t="shared" si="3"/>
        <v>0</v>
      </c>
      <c r="AC49" s="15">
        <f t="shared" si="4"/>
        <v>0</v>
      </c>
      <c r="AD49" s="15">
        <f t="shared" si="5"/>
        <v>0</v>
      </c>
      <c r="AE49" s="15">
        <f t="shared" si="6"/>
        <v>0</v>
      </c>
      <c r="AF49" s="15">
        <f t="shared" si="7"/>
        <v>0</v>
      </c>
      <c r="AG49" s="15">
        <f t="shared" si="8"/>
        <v>0</v>
      </c>
      <c r="AH49" s="15">
        <f t="shared" si="9"/>
        <v>0</v>
      </c>
      <c r="AI49" s="16">
        <f t="shared" si="10"/>
        <v>0</v>
      </c>
    </row>
    <row r="50" spans="2:35" x14ac:dyDescent="0.25">
      <c r="B50" t="s">
        <v>207</v>
      </c>
      <c r="C50" s="13">
        <v>46064</v>
      </c>
      <c r="D50" s="35" t="s">
        <v>64</v>
      </c>
      <c r="E50" s="35" t="s">
        <v>253</v>
      </c>
      <c r="F50" s="14" t="s">
        <v>254</v>
      </c>
      <c r="G50" s="15">
        <v>2.3027199999999999</v>
      </c>
      <c r="H50" s="15">
        <v>4.1796550000000003</v>
      </c>
      <c r="I50" s="6">
        <v>18.689589743999999</v>
      </c>
      <c r="J50" s="15">
        <v>1506.939890957</v>
      </c>
      <c r="K50" s="15">
        <v>2.3539564550000001</v>
      </c>
      <c r="L50" s="15">
        <v>-36.982263177223999</v>
      </c>
      <c r="M50" s="15">
        <v>1.6069868685334201</v>
      </c>
      <c r="N50" s="15">
        <v>0.36423546600000001</v>
      </c>
      <c r="O50" s="15">
        <v>0.105883029</v>
      </c>
      <c r="P50" s="15">
        <v>29.069939334243699</v>
      </c>
      <c r="Q50" s="15">
        <v>0</v>
      </c>
      <c r="R50" s="6">
        <v>18.689589743999999</v>
      </c>
      <c r="S50" s="15">
        <v>1506.939890957</v>
      </c>
      <c r="T50" s="15">
        <v>2.3539564550000001</v>
      </c>
      <c r="U50" s="15">
        <v>-36.982263177223999</v>
      </c>
      <c r="V50" s="15">
        <v>1.6069868685334201</v>
      </c>
      <c r="W50" s="15">
        <v>0.36423546600000001</v>
      </c>
      <c r="X50" s="15">
        <v>0.105883029</v>
      </c>
      <c r="Y50" s="15">
        <v>29.069939334243699</v>
      </c>
      <c r="Z50" s="15">
        <v>0</v>
      </c>
      <c r="AA50" s="8">
        <f t="shared" si="2"/>
        <v>0</v>
      </c>
      <c r="AB50" s="15">
        <f t="shared" si="3"/>
        <v>0</v>
      </c>
      <c r="AC50" s="15">
        <f t="shared" si="4"/>
        <v>0</v>
      </c>
      <c r="AD50" s="15">
        <f t="shared" si="5"/>
        <v>0</v>
      </c>
      <c r="AE50" s="15">
        <f t="shared" si="6"/>
        <v>0</v>
      </c>
      <c r="AF50" s="15">
        <f t="shared" si="7"/>
        <v>0</v>
      </c>
      <c r="AG50" s="15">
        <f t="shared" si="8"/>
        <v>0</v>
      </c>
      <c r="AH50" s="15">
        <f t="shared" si="9"/>
        <v>0</v>
      </c>
      <c r="AI50" s="16">
        <f t="shared" si="10"/>
        <v>0</v>
      </c>
    </row>
    <row r="51" spans="2:35" x14ac:dyDescent="0.25">
      <c r="B51" t="s">
        <v>207</v>
      </c>
      <c r="C51" s="13">
        <v>46064</v>
      </c>
      <c r="D51" s="35" t="s">
        <v>64</v>
      </c>
      <c r="E51" s="35" t="s">
        <v>71</v>
      </c>
      <c r="F51" s="14" t="s">
        <v>72</v>
      </c>
      <c r="G51" s="15">
        <v>0.364537</v>
      </c>
      <c r="H51" s="15">
        <v>0.66863499999999998</v>
      </c>
      <c r="I51" s="6">
        <v>-1.6429232410000001</v>
      </c>
      <c r="J51" s="15">
        <v>-527.45621460200005</v>
      </c>
      <c r="K51" s="15">
        <v>2.503606698</v>
      </c>
      <c r="L51" s="15">
        <v>-77.736622222886893</v>
      </c>
      <c r="M51" s="15">
        <v>1.96309167183891</v>
      </c>
      <c r="N51" s="15">
        <v>0.34018810700000002</v>
      </c>
      <c r="O51" s="15">
        <v>9.8331482999999997E-2</v>
      </c>
      <c r="P51" s="15">
        <v>28.905032532486501</v>
      </c>
      <c r="Q51" s="15">
        <v>0</v>
      </c>
      <c r="R51" s="6">
        <v>-1.6429232410000001</v>
      </c>
      <c r="S51" s="15">
        <v>-527.45621460200005</v>
      </c>
      <c r="T51" s="15">
        <v>2.503606698</v>
      </c>
      <c r="U51" s="15">
        <v>-77.736622222886893</v>
      </c>
      <c r="V51" s="15">
        <v>1.96309167183891</v>
      </c>
      <c r="W51" s="15">
        <v>0.34018810700000002</v>
      </c>
      <c r="X51" s="15">
        <v>9.8331482999999997E-2</v>
      </c>
      <c r="Y51" s="15">
        <v>28.905032532486501</v>
      </c>
      <c r="Z51" s="15">
        <v>0</v>
      </c>
      <c r="AA51" s="8">
        <f t="shared" si="2"/>
        <v>0</v>
      </c>
      <c r="AB51" s="15">
        <f t="shared" si="3"/>
        <v>0</v>
      </c>
      <c r="AC51" s="15">
        <f t="shared" si="4"/>
        <v>0</v>
      </c>
      <c r="AD51" s="15">
        <f t="shared" si="5"/>
        <v>0</v>
      </c>
      <c r="AE51" s="15">
        <f t="shared" si="6"/>
        <v>0</v>
      </c>
      <c r="AF51" s="15">
        <f t="shared" si="7"/>
        <v>0</v>
      </c>
      <c r="AG51" s="15">
        <f t="shared" si="8"/>
        <v>0</v>
      </c>
      <c r="AH51" s="15">
        <f t="shared" si="9"/>
        <v>0</v>
      </c>
      <c r="AI51" s="16">
        <f t="shared" si="10"/>
        <v>0</v>
      </c>
    </row>
    <row r="52" spans="2:35" x14ac:dyDescent="0.25">
      <c r="B52" t="s">
        <v>207</v>
      </c>
      <c r="C52" s="13">
        <v>46064</v>
      </c>
      <c r="D52" s="35" t="s">
        <v>64</v>
      </c>
      <c r="E52" s="35" t="s">
        <v>73</v>
      </c>
      <c r="F52" s="14" t="s">
        <v>74</v>
      </c>
      <c r="G52" s="15">
        <v>0.49917099999999998</v>
      </c>
      <c r="H52" s="15">
        <v>1.0838350000000001</v>
      </c>
      <c r="I52" s="6">
        <v>-5.6063045130000004</v>
      </c>
      <c r="J52" s="15">
        <v>-923.50968647599996</v>
      </c>
      <c r="K52" s="15">
        <v>3.1125013400000001</v>
      </c>
      <c r="L52" s="15">
        <v>-33.1839997785641</v>
      </c>
      <c r="M52" s="15">
        <v>2.1290176087688599</v>
      </c>
      <c r="N52" s="15">
        <v>0.84123169499999995</v>
      </c>
      <c r="O52" s="15">
        <v>0.28613472600000001</v>
      </c>
      <c r="P52" s="15">
        <v>34.013783325175403</v>
      </c>
      <c r="Q52" s="15">
        <v>0</v>
      </c>
      <c r="R52" s="6">
        <v>-5.6063045130000004</v>
      </c>
      <c r="S52" s="15">
        <v>-923.50968647599996</v>
      </c>
      <c r="T52" s="15">
        <v>3.1125013400000001</v>
      </c>
      <c r="U52" s="15">
        <v>-33.1839997785641</v>
      </c>
      <c r="V52" s="15">
        <v>2.1290176087688599</v>
      </c>
      <c r="W52" s="15">
        <v>0.84123169499999995</v>
      </c>
      <c r="X52" s="15">
        <v>0.28613472600000001</v>
      </c>
      <c r="Y52" s="15">
        <v>34.013783325175403</v>
      </c>
      <c r="Z52" s="15">
        <v>0</v>
      </c>
      <c r="AA52" s="8">
        <f t="shared" si="2"/>
        <v>0</v>
      </c>
      <c r="AB52" s="15">
        <f t="shared" si="3"/>
        <v>0</v>
      </c>
      <c r="AC52" s="15">
        <f t="shared" si="4"/>
        <v>0</v>
      </c>
      <c r="AD52" s="15">
        <f t="shared" si="5"/>
        <v>0</v>
      </c>
      <c r="AE52" s="15">
        <f t="shared" si="6"/>
        <v>0</v>
      </c>
      <c r="AF52" s="15">
        <f t="shared" si="7"/>
        <v>0</v>
      </c>
      <c r="AG52" s="15">
        <f t="shared" si="8"/>
        <v>0</v>
      </c>
      <c r="AH52" s="15">
        <f t="shared" si="9"/>
        <v>0</v>
      </c>
      <c r="AI52" s="16">
        <f t="shared" si="10"/>
        <v>0</v>
      </c>
    </row>
    <row r="53" spans="2:35" x14ac:dyDescent="0.25">
      <c r="B53" t="s">
        <v>207</v>
      </c>
      <c r="C53" s="13">
        <v>46064</v>
      </c>
      <c r="D53" s="35" t="s">
        <v>64</v>
      </c>
      <c r="E53" s="35" t="s">
        <v>255</v>
      </c>
      <c r="F53" s="14" t="s">
        <v>256</v>
      </c>
      <c r="G53" s="15">
        <v>1.0221199999999999</v>
      </c>
      <c r="H53" s="15">
        <v>1.8454550000000001</v>
      </c>
      <c r="I53" s="6">
        <v>4.1505565400000002</v>
      </c>
      <c r="J53" s="15">
        <v>56.305893435999998</v>
      </c>
      <c r="K53" s="15">
        <v>4.2379617080000003</v>
      </c>
      <c r="L53" s="15">
        <v>-25.920885418501101</v>
      </c>
      <c r="M53" s="15">
        <v>1.6805443643979401</v>
      </c>
      <c r="N53" s="15">
        <v>0.80357152799999998</v>
      </c>
      <c r="O53" s="15">
        <v>0.30055187900000002</v>
      </c>
      <c r="P53" s="15">
        <v>37.402006981013898</v>
      </c>
      <c r="Q53" s="15">
        <v>0</v>
      </c>
      <c r="R53" s="6">
        <v>4.1505565400000002</v>
      </c>
      <c r="S53" s="15">
        <v>56.305893435999998</v>
      </c>
      <c r="T53" s="15">
        <v>4.2379617080000003</v>
      </c>
      <c r="U53" s="15">
        <v>-25.920885418501101</v>
      </c>
      <c r="V53" s="15">
        <v>1.6805443643979401</v>
      </c>
      <c r="W53" s="15">
        <v>0.80357152799999998</v>
      </c>
      <c r="X53" s="15">
        <v>0.30055187900000002</v>
      </c>
      <c r="Y53" s="15">
        <v>37.402006981013898</v>
      </c>
      <c r="Z53" s="15">
        <v>0</v>
      </c>
      <c r="AA53" s="8">
        <f t="shared" si="2"/>
        <v>0</v>
      </c>
      <c r="AB53" s="15">
        <f t="shared" si="3"/>
        <v>0</v>
      </c>
      <c r="AC53" s="15">
        <f t="shared" si="4"/>
        <v>0</v>
      </c>
      <c r="AD53" s="15">
        <f t="shared" si="5"/>
        <v>0</v>
      </c>
      <c r="AE53" s="15">
        <f t="shared" si="6"/>
        <v>0</v>
      </c>
      <c r="AF53" s="15">
        <f t="shared" si="7"/>
        <v>0</v>
      </c>
      <c r="AG53" s="15">
        <f t="shared" si="8"/>
        <v>0</v>
      </c>
      <c r="AH53" s="15">
        <f t="shared" si="9"/>
        <v>0</v>
      </c>
      <c r="AI53" s="16">
        <f t="shared" si="10"/>
        <v>0</v>
      </c>
    </row>
    <row r="54" spans="2:35" x14ac:dyDescent="0.25">
      <c r="B54" t="s">
        <v>207</v>
      </c>
      <c r="C54" s="13">
        <v>46064</v>
      </c>
      <c r="D54" s="35" t="s">
        <v>64</v>
      </c>
      <c r="E54" s="35" t="s">
        <v>75</v>
      </c>
      <c r="F54" s="14" t="s">
        <v>76</v>
      </c>
      <c r="G54" s="15">
        <v>0.5</v>
      </c>
      <c r="H54" s="15">
        <v>0.67</v>
      </c>
      <c r="I54" s="6">
        <v>16.343463723999999</v>
      </c>
      <c r="J54" s="15">
        <v>1278.962068089</v>
      </c>
      <c r="K54" s="15">
        <v>1.857190836</v>
      </c>
      <c r="L54" s="15">
        <v>-34.378837014925402</v>
      </c>
      <c r="M54" s="15">
        <v>1.25061402985075</v>
      </c>
      <c r="N54" s="15">
        <v>1.7591467190000001</v>
      </c>
      <c r="O54" s="15">
        <v>0.60486402100000003</v>
      </c>
      <c r="P54" s="15">
        <v>34.383943901156798</v>
      </c>
      <c r="Q54" s="15">
        <v>0</v>
      </c>
      <c r="R54" s="6">
        <v>16.343463723999999</v>
      </c>
      <c r="S54" s="15">
        <v>1278.962068089</v>
      </c>
      <c r="T54" s="15">
        <v>1.857190836</v>
      </c>
      <c r="U54" s="15">
        <v>-34.378837014925402</v>
      </c>
      <c r="V54" s="15">
        <v>1.25061402985075</v>
      </c>
      <c r="W54" s="15">
        <v>1.7591467190000001</v>
      </c>
      <c r="X54" s="15">
        <v>0.60486402100000003</v>
      </c>
      <c r="Y54" s="15">
        <v>34.383943901156798</v>
      </c>
      <c r="Z54" s="15">
        <v>0</v>
      </c>
      <c r="AA54" s="8">
        <f t="shared" si="2"/>
        <v>0</v>
      </c>
      <c r="AB54" s="15">
        <f t="shared" si="3"/>
        <v>0</v>
      </c>
      <c r="AC54" s="15">
        <f t="shared" si="4"/>
        <v>0</v>
      </c>
      <c r="AD54" s="15">
        <f t="shared" si="5"/>
        <v>0</v>
      </c>
      <c r="AE54" s="15">
        <f t="shared" si="6"/>
        <v>0</v>
      </c>
      <c r="AF54" s="15">
        <f t="shared" si="7"/>
        <v>0</v>
      </c>
      <c r="AG54" s="15">
        <f t="shared" si="8"/>
        <v>0</v>
      </c>
      <c r="AH54" s="15">
        <f t="shared" si="9"/>
        <v>0</v>
      </c>
      <c r="AI54" s="16">
        <f t="shared" si="10"/>
        <v>0</v>
      </c>
    </row>
    <row r="55" spans="2:35" x14ac:dyDescent="0.25">
      <c r="B55" t="s">
        <v>207</v>
      </c>
      <c r="C55" s="13">
        <v>46064</v>
      </c>
      <c r="D55" s="35" t="s">
        <v>64</v>
      </c>
      <c r="E55" s="35" t="s">
        <v>77</v>
      </c>
      <c r="F55" s="14" t="s">
        <v>78</v>
      </c>
      <c r="G55" s="15">
        <v>0.2</v>
      </c>
      <c r="H55" s="15">
        <v>0.76687000000000005</v>
      </c>
      <c r="I55" s="6">
        <v>8.8010863570000009</v>
      </c>
      <c r="J55" s="15">
        <v>492.72306951000002</v>
      </c>
      <c r="K55" s="15">
        <v>5.6299580469999997</v>
      </c>
      <c r="L55" s="15">
        <v>-11.538650097148199</v>
      </c>
      <c r="M55" s="15">
        <v>3.61662524287037</v>
      </c>
      <c r="N55" s="15">
        <v>0.93145550499999996</v>
      </c>
      <c r="O55" s="15">
        <v>-0.68485685500000004</v>
      </c>
      <c r="P55" s="15">
        <v>-73.525450364910398</v>
      </c>
      <c r="Q55" s="15">
        <v>0</v>
      </c>
      <c r="R55" s="6">
        <v>8.8010863570000009</v>
      </c>
      <c r="S55" s="15">
        <v>492.72306951000002</v>
      </c>
      <c r="T55" s="15">
        <v>5.6299580469999997</v>
      </c>
      <c r="U55" s="15">
        <v>-11.538650097148199</v>
      </c>
      <c r="V55" s="15">
        <v>3.61662524287037</v>
      </c>
      <c r="W55" s="15">
        <v>0.93145550499999996</v>
      </c>
      <c r="X55" s="15">
        <v>-0.68485685500000004</v>
      </c>
      <c r="Y55" s="15">
        <v>-73.525450364910398</v>
      </c>
      <c r="Z55" s="15">
        <v>0</v>
      </c>
      <c r="AA55" s="8">
        <f t="shared" si="2"/>
        <v>0</v>
      </c>
      <c r="AB55" s="15">
        <f t="shared" si="3"/>
        <v>0</v>
      </c>
      <c r="AC55" s="15">
        <f t="shared" si="4"/>
        <v>0</v>
      </c>
      <c r="AD55" s="15">
        <f t="shared" si="5"/>
        <v>0</v>
      </c>
      <c r="AE55" s="15">
        <f t="shared" si="6"/>
        <v>0</v>
      </c>
      <c r="AF55" s="15">
        <f t="shared" si="7"/>
        <v>0</v>
      </c>
      <c r="AG55" s="15">
        <f t="shared" si="8"/>
        <v>0</v>
      </c>
      <c r="AH55" s="15">
        <f t="shared" si="9"/>
        <v>0</v>
      </c>
      <c r="AI55" s="16">
        <f t="shared" si="10"/>
        <v>0</v>
      </c>
    </row>
    <row r="56" spans="2:35" x14ac:dyDescent="0.25">
      <c r="B56" t="s">
        <v>207</v>
      </c>
      <c r="C56" s="13">
        <v>46064</v>
      </c>
      <c r="D56" s="35" t="s">
        <v>64</v>
      </c>
      <c r="E56" s="35" t="s">
        <v>79</v>
      </c>
      <c r="F56" s="14" t="s">
        <v>80</v>
      </c>
      <c r="G56" s="15">
        <v>0.46700399999999997</v>
      </c>
      <c r="H56" s="15">
        <v>0.64187000000000005</v>
      </c>
      <c r="I56" s="6">
        <v>14.460859716</v>
      </c>
      <c r="J56" s="15">
        <v>1086.4691115820001</v>
      </c>
      <c r="K56" s="15">
        <v>2.6094565869999999</v>
      </c>
      <c r="L56" s="15">
        <v>-52.943477028058702</v>
      </c>
      <c r="M56" s="15">
        <v>1.46507517098477</v>
      </c>
      <c r="N56" s="15">
        <v>0.45029977799999998</v>
      </c>
      <c r="O56" s="15">
        <v>0.135167536</v>
      </c>
      <c r="P56" s="15">
        <v>30.017233541696299</v>
      </c>
      <c r="Q56" s="15">
        <v>0</v>
      </c>
      <c r="R56" s="6">
        <v>14.460859716</v>
      </c>
      <c r="S56" s="15">
        <v>1086.4691115820001</v>
      </c>
      <c r="T56" s="15">
        <v>2.6094565869999999</v>
      </c>
      <c r="U56" s="15">
        <v>-52.943477028058702</v>
      </c>
      <c r="V56" s="15">
        <v>1.46507517098477</v>
      </c>
      <c r="W56" s="15">
        <v>0.45029977799999998</v>
      </c>
      <c r="X56" s="15">
        <v>0.135167536</v>
      </c>
      <c r="Y56" s="15">
        <v>30.017233541696299</v>
      </c>
      <c r="Z56" s="15">
        <v>0</v>
      </c>
      <c r="AA56" s="8">
        <f t="shared" si="2"/>
        <v>0</v>
      </c>
      <c r="AB56" s="15">
        <f t="shared" si="3"/>
        <v>0</v>
      </c>
      <c r="AC56" s="15">
        <f t="shared" si="4"/>
        <v>0</v>
      </c>
      <c r="AD56" s="15">
        <f t="shared" si="5"/>
        <v>0</v>
      </c>
      <c r="AE56" s="15">
        <f t="shared" si="6"/>
        <v>0</v>
      </c>
      <c r="AF56" s="15">
        <f t="shared" si="7"/>
        <v>0</v>
      </c>
      <c r="AG56" s="15">
        <f t="shared" si="8"/>
        <v>0</v>
      </c>
      <c r="AH56" s="15">
        <f t="shared" si="9"/>
        <v>0</v>
      </c>
      <c r="AI56" s="16">
        <f t="shared" si="10"/>
        <v>0</v>
      </c>
    </row>
    <row r="57" spans="2:35" x14ac:dyDescent="0.25">
      <c r="B57" t="s">
        <v>207</v>
      </c>
      <c r="C57" s="13">
        <v>46064</v>
      </c>
      <c r="D57" s="35" t="s">
        <v>64</v>
      </c>
      <c r="E57" s="35" t="s">
        <v>81</v>
      </c>
      <c r="F57" s="14" t="s">
        <v>82</v>
      </c>
      <c r="G57" s="15">
        <v>0.58272000000000002</v>
      </c>
      <c r="H57" s="15">
        <v>0.75007999999999997</v>
      </c>
      <c r="I57" s="6">
        <v>10.390713763000001</v>
      </c>
      <c r="J57" s="15">
        <v>683.27391847700005</v>
      </c>
      <c r="K57" s="15">
        <v>1.83040661</v>
      </c>
      <c r="L57" s="15">
        <v>-34.813444965870303</v>
      </c>
      <c r="M57" s="15">
        <v>1.31650077325086</v>
      </c>
      <c r="N57" s="15">
        <v>0.61992540500000004</v>
      </c>
      <c r="O57" s="15">
        <v>0.19513808199999999</v>
      </c>
      <c r="P57" s="15">
        <v>31.477671414353502</v>
      </c>
      <c r="Q57" s="15">
        <v>0</v>
      </c>
      <c r="R57" s="6">
        <v>10.390713763000001</v>
      </c>
      <c r="S57" s="15">
        <v>683.27391847700005</v>
      </c>
      <c r="T57" s="15">
        <v>1.83040661</v>
      </c>
      <c r="U57" s="15">
        <v>-34.813444965870303</v>
      </c>
      <c r="V57" s="15">
        <v>1.31650077325086</v>
      </c>
      <c r="W57" s="15">
        <v>0.61992540500000004</v>
      </c>
      <c r="X57" s="15">
        <v>0.19513808199999999</v>
      </c>
      <c r="Y57" s="15">
        <v>31.477671414353502</v>
      </c>
      <c r="Z57" s="15">
        <v>0</v>
      </c>
      <c r="AA57" s="8">
        <f t="shared" si="2"/>
        <v>0</v>
      </c>
      <c r="AB57" s="15">
        <f t="shared" si="3"/>
        <v>0</v>
      </c>
      <c r="AC57" s="15">
        <f t="shared" si="4"/>
        <v>0</v>
      </c>
      <c r="AD57" s="15">
        <f t="shared" si="5"/>
        <v>0</v>
      </c>
      <c r="AE57" s="15">
        <f t="shared" si="6"/>
        <v>0</v>
      </c>
      <c r="AF57" s="15">
        <f t="shared" si="7"/>
        <v>0</v>
      </c>
      <c r="AG57" s="15">
        <f t="shared" si="8"/>
        <v>0</v>
      </c>
      <c r="AH57" s="15">
        <f t="shared" si="9"/>
        <v>0</v>
      </c>
      <c r="AI57" s="16">
        <f t="shared" si="10"/>
        <v>0</v>
      </c>
    </row>
    <row r="58" spans="2:35" x14ac:dyDescent="0.25">
      <c r="B58" t="s">
        <v>207</v>
      </c>
      <c r="C58" s="13">
        <v>46064</v>
      </c>
      <c r="D58" s="35" t="s">
        <v>64</v>
      </c>
      <c r="E58" s="35" t="s">
        <v>83</v>
      </c>
      <c r="F58" s="14" t="s">
        <v>84</v>
      </c>
      <c r="G58" s="15">
        <v>0.5</v>
      </c>
      <c r="H58" s="15">
        <v>0.76250499999999999</v>
      </c>
      <c r="I58" s="6">
        <v>6.2707268540000003</v>
      </c>
      <c r="J58" s="15">
        <v>271.02806679899999</v>
      </c>
      <c r="K58" s="15">
        <v>1.83040661</v>
      </c>
      <c r="L58" s="15">
        <v>-51.478216142845</v>
      </c>
      <c r="M58" s="15">
        <v>1.42348653451454</v>
      </c>
      <c r="N58" s="15">
        <v>0.61992540500000004</v>
      </c>
      <c r="O58" s="15">
        <v>0.19513808199999999</v>
      </c>
      <c r="P58" s="15">
        <v>31.477671414353502</v>
      </c>
      <c r="Q58" s="15">
        <v>0</v>
      </c>
      <c r="R58" s="6">
        <v>6.2707268540000003</v>
      </c>
      <c r="S58" s="15">
        <v>271.02806679899999</v>
      </c>
      <c r="T58" s="15">
        <v>1.83040661</v>
      </c>
      <c r="U58" s="15">
        <v>-51.478216142845</v>
      </c>
      <c r="V58" s="15">
        <v>1.42348653451454</v>
      </c>
      <c r="W58" s="15">
        <v>0.61992540500000004</v>
      </c>
      <c r="X58" s="15">
        <v>0.19513808199999999</v>
      </c>
      <c r="Y58" s="15">
        <v>31.477671414353502</v>
      </c>
      <c r="Z58" s="15">
        <v>0</v>
      </c>
      <c r="AA58" s="8">
        <f t="shared" si="2"/>
        <v>0</v>
      </c>
      <c r="AB58" s="15">
        <f t="shared" si="3"/>
        <v>0</v>
      </c>
      <c r="AC58" s="15">
        <f t="shared" si="4"/>
        <v>0</v>
      </c>
      <c r="AD58" s="15">
        <f t="shared" si="5"/>
        <v>0</v>
      </c>
      <c r="AE58" s="15">
        <f t="shared" si="6"/>
        <v>0</v>
      </c>
      <c r="AF58" s="15">
        <f t="shared" si="7"/>
        <v>0</v>
      </c>
      <c r="AG58" s="15">
        <f t="shared" si="8"/>
        <v>0</v>
      </c>
      <c r="AH58" s="15">
        <f t="shared" si="9"/>
        <v>0</v>
      </c>
      <c r="AI58" s="16">
        <f t="shared" si="10"/>
        <v>0</v>
      </c>
    </row>
    <row r="59" spans="2:35" x14ac:dyDescent="0.25">
      <c r="B59" t="s">
        <v>207</v>
      </c>
      <c r="C59" s="13">
        <v>46064</v>
      </c>
      <c r="D59" s="35" t="s">
        <v>64</v>
      </c>
      <c r="E59" s="35" t="s">
        <v>85</v>
      </c>
      <c r="F59" s="14" t="s">
        <v>86</v>
      </c>
      <c r="G59" s="15">
        <v>1.038638</v>
      </c>
      <c r="H59" s="15">
        <v>2.0506150000000001</v>
      </c>
      <c r="I59" s="6">
        <v>-2.2347638089999999</v>
      </c>
      <c r="J59" s="15">
        <v>-588.05834026000002</v>
      </c>
      <c r="K59" s="15">
        <v>2.4051447210000001</v>
      </c>
      <c r="L59" s="15">
        <v>-63.725905350346103</v>
      </c>
      <c r="M59" s="15">
        <v>2.0925563306617798</v>
      </c>
      <c r="N59" s="15">
        <v>0.79497538999999995</v>
      </c>
      <c r="O59" s="15">
        <v>0.380727015</v>
      </c>
      <c r="P59" s="15">
        <v>47.8916730994654</v>
      </c>
      <c r="Q59" s="15">
        <v>0</v>
      </c>
      <c r="R59" s="6">
        <v>-2.2347638089999999</v>
      </c>
      <c r="S59" s="15">
        <v>-588.05834026000002</v>
      </c>
      <c r="T59" s="15">
        <v>2.4051447210000001</v>
      </c>
      <c r="U59" s="15">
        <v>-67.149445605342805</v>
      </c>
      <c r="V59" s="15">
        <v>2.0925563306617798</v>
      </c>
      <c r="W59" s="15">
        <v>0.79497538999999995</v>
      </c>
      <c r="X59" s="15">
        <v>0.380727015</v>
      </c>
      <c r="Y59" s="15">
        <v>47.8916730994654</v>
      </c>
      <c r="Z59" s="15">
        <v>0</v>
      </c>
      <c r="AA59" s="8">
        <f t="shared" si="2"/>
        <v>0</v>
      </c>
      <c r="AB59" s="15">
        <f t="shared" si="3"/>
        <v>0</v>
      </c>
      <c r="AC59" s="15">
        <f t="shared" si="4"/>
        <v>0</v>
      </c>
      <c r="AD59" s="15">
        <f t="shared" si="5"/>
        <v>3.423540254996702</v>
      </c>
      <c r="AE59" s="15">
        <f t="shared" si="6"/>
        <v>0</v>
      </c>
      <c r="AF59" s="15">
        <f t="shared" si="7"/>
        <v>0</v>
      </c>
      <c r="AG59" s="15">
        <f t="shared" si="8"/>
        <v>0</v>
      </c>
      <c r="AH59" s="15">
        <f t="shared" si="9"/>
        <v>0</v>
      </c>
      <c r="AI59" s="16">
        <f t="shared" si="10"/>
        <v>0</v>
      </c>
    </row>
    <row r="60" spans="2:35" x14ac:dyDescent="0.25">
      <c r="B60" t="s">
        <v>207</v>
      </c>
      <c r="C60" s="13">
        <v>46064</v>
      </c>
      <c r="D60" s="35" t="s">
        <v>64</v>
      </c>
      <c r="E60" s="35" t="s">
        <v>87</v>
      </c>
      <c r="F60" s="14" t="s">
        <v>88</v>
      </c>
      <c r="G60" s="15">
        <v>6.8758100000000004</v>
      </c>
      <c r="H60" s="15">
        <v>101.057985</v>
      </c>
      <c r="I60" s="6">
        <v>6.0596756640000002</v>
      </c>
      <c r="J60" s="15">
        <v>254.87480710400001</v>
      </c>
      <c r="K60" s="15">
        <v>1.955555556</v>
      </c>
      <c r="L60" s="15">
        <v>0.88415087239271095</v>
      </c>
      <c r="M60" s="15">
        <v>1.79127035731022</v>
      </c>
      <c r="N60" s="15">
        <v>0.59008501000000002</v>
      </c>
      <c r="O60" s="15">
        <v>0.197370509</v>
      </c>
      <c r="P60" s="15">
        <v>33.447809324964901</v>
      </c>
      <c r="Q60" s="15">
        <v>0</v>
      </c>
      <c r="R60" s="6">
        <v>6.0596756640000002</v>
      </c>
      <c r="S60" s="15">
        <v>254.87480710400001</v>
      </c>
      <c r="T60" s="15">
        <v>1.955555556</v>
      </c>
      <c r="U60" s="15">
        <v>0.88415087239271095</v>
      </c>
      <c r="V60" s="15">
        <v>1.79127035731022</v>
      </c>
      <c r="W60" s="15">
        <v>0.59008501000000002</v>
      </c>
      <c r="X60" s="15">
        <v>0.197370509</v>
      </c>
      <c r="Y60" s="15">
        <v>33.447809324964901</v>
      </c>
      <c r="Z60" s="15">
        <v>0</v>
      </c>
      <c r="AA60" s="8">
        <f t="shared" si="2"/>
        <v>0</v>
      </c>
      <c r="AB60" s="15">
        <f t="shared" si="3"/>
        <v>0</v>
      </c>
      <c r="AC60" s="15">
        <f t="shared" si="4"/>
        <v>0</v>
      </c>
      <c r="AD60" s="15">
        <f t="shared" si="5"/>
        <v>0</v>
      </c>
      <c r="AE60" s="15">
        <f t="shared" si="6"/>
        <v>0</v>
      </c>
      <c r="AF60" s="15">
        <f t="shared" si="7"/>
        <v>0</v>
      </c>
      <c r="AG60" s="15">
        <f t="shared" si="8"/>
        <v>0</v>
      </c>
      <c r="AH60" s="15">
        <f t="shared" si="9"/>
        <v>0</v>
      </c>
      <c r="AI60" s="16">
        <f t="shared" si="10"/>
        <v>0</v>
      </c>
    </row>
    <row r="61" spans="2:35" x14ac:dyDescent="0.25">
      <c r="B61" t="s">
        <v>207</v>
      </c>
      <c r="C61" s="13">
        <v>46064</v>
      </c>
      <c r="D61" s="35" t="s">
        <v>64</v>
      </c>
      <c r="E61" s="35" t="s">
        <v>89</v>
      </c>
      <c r="F61" s="14" t="s">
        <v>90</v>
      </c>
      <c r="G61" s="15">
        <v>7.2179039999999999</v>
      </c>
      <c r="H61" s="15">
        <v>101.45632999999999</v>
      </c>
      <c r="I61" s="6">
        <v>5.6086917100000004</v>
      </c>
      <c r="J61" s="15">
        <v>213.48283212600001</v>
      </c>
      <c r="K61" s="15">
        <v>1.205555556</v>
      </c>
      <c r="L61" s="15">
        <v>-0.22286379765561001</v>
      </c>
      <c r="M61" s="15">
        <v>1.13241972777844</v>
      </c>
      <c r="N61" s="15">
        <v>0.52865928600000001</v>
      </c>
      <c r="O61" s="15">
        <v>0.18021583699999999</v>
      </c>
      <c r="P61" s="15">
        <v>34.089221881179597</v>
      </c>
      <c r="Q61" s="15">
        <v>0</v>
      </c>
      <c r="R61" s="6">
        <v>5.6086917100000004</v>
      </c>
      <c r="S61" s="15">
        <v>213.48283212600001</v>
      </c>
      <c r="T61" s="15">
        <v>1.205555556</v>
      </c>
      <c r="U61" s="15">
        <v>-0.22286379765561001</v>
      </c>
      <c r="V61" s="15">
        <v>1.13241972777844</v>
      </c>
      <c r="W61" s="15">
        <v>0.52865928600000001</v>
      </c>
      <c r="X61" s="15">
        <v>0.18021583699999999</v>
      </c>
      <c r="Y61" s="15">
        <v>34.089221881179597</v>
      </c>
      <c r="Z61" s="15">
        <v>0</v>
      </c>
      <c r="AA61" s="8">
        <f t="shared" si="2"/>
        <v>0</v>
      </c>
      <c r="AB61" s="15">
        <f t="shared" si="3"/>
        <v>0</v>
      </c>
      <c r="AC61" s="15">
        <f t="shared" si="4"/>
        <v>0</v>
      </c>
      <c r="AD61" s="15">
        <f t="shared" si="5"/>
        <v>0</v>
      </c>
      <c r="AE61" s="15">
        <f t="shared" si="6"/>
        <v>0</v>
      </c>
      <c r="AF61" s="15">
        <f t="shared" si="7"/>
        <v>0</v>
      </c>
      <c r="AG61" s="15">
        <f t="shared" si="8"/>
        <v>0</v>
      </c>
      <c r="AH61" s="15">
        <f t="shared" si="9"/>
        <v>0</v>
      </c>
      <c r="AI61" s="16">
        <f t="shared" si="10"/>
        <v>0</v>
      </c>
    </row>
    <row r="62" spans="2:35" x14ac:dyDescent="0.25">
      <c r="B62" t="s">
        <v>207</v>
      </c>
      <c r="C62" s="13">
        <v>46064</v>
      </c>
      <c r="D62" s="35" t="s">
        <v>64</v>
      </c>
      <c r="E62" s="35" t="s">
        <v>257</v>
      </c>
      <c r="F62" s="14" t="s">
        <v>258</v>
      </c>
      <c r="G62" s="15">
        <v>7.1742379999999999</v>
      </c>
      <c r="H62" s="15">
        <v>101.86067</v>
      </c>
      <c r="I62" s="6">
        <v>6.4801844759999998</v>
      </c>
      <c r="J62" s="15">
        <v>287.16008435600003</v>
      </c>
      <c r="K62" s="15">
        <v>3.5388888889999999</v>
      </c>
      <c r="L62" s="15">
        <v>3.26583607097814</v>
      </c>
      <c r="M62" s="15">
        <v>3.05813266690667</v>
      </c>
      <c r="N62" s="15">
        <v>0.37455407400000001</v>
      </c>
      <c r="O62" s="15">
        <v>0.12169911999999999</v>
      </c>
      <c r="P62" s="15">
        <v>32.491735759360601</v>
      </c>
      <c r="Q62" s="15">
        <v>0</v>
      </c>
      <c r="R62" s="6">
        <v>6.4801844759999998</v>
      </c>
      <c r="S62" s="15">
        <v>287.16008435700002</v>
      </c>
      <c r="T62" s="15">
        <v>3.5388888889999999</v>
      </c>
      <c r="U62" s="15">
        <v>3.26583607097814</v>
      </c>
      <c r="V62" s="15">
        <v>3.05813266690667</v>
      </c>
      <c r="W62" s="15">
        <v>0.37455407400000001</v>
      </c>
      <c r="X62" s="15">
        <v>0.12169911999999999</v>
      </c>
      <c r="Y62" s="15">
        <v>32.491735759360601</v>
      </c>
      <c r="Z62" s="15">
        <v>0</v>
      </c>
      <c r="AA62" s="8">
        <f t="shared" si="2"/>
        <v>0</v>
      </c>
      <c r="AB62" s="15">
        <f t="shared" si="3"/>
        <v>-9.999894245993346E-10</v>
      </c>
      <c r="AC62" s="15">
        <f t="shared" si="4"/>
        <v>0</v>
      </c>
      <c r="AD62" s="15">
        <f t="shared" si="5"/>
        <v>0</v>
      </c>
      <c r="AE62" s="15">
        <f t="shared" si="6"/>
        <v>0</v>
      </c>
      <c r="AF62" s="15">
        <f t="shared" si="7"/>
        <v>0</v>
      </c>
      <c r="AG62" s="15">
        <f t="shared" si="8"/>
        <v>0</v>
      </c>
      <c r="AH62" s="15">
        <f t="shared" si="9"/>
        <v>0</v>
      </c>
      <c r="AI62" s="16">
        <f t="shared" si="10"/>
        <v>0</v>
      </c>
    </row>
    <row r="63" spans="2:35" x14ac:dyDescent="0.25">
      <c r="B63" t="s">
        <v>207</v>
      </c>
      <c r="C63" s="13">
        <v>46064</v>
      </c>
      <c r="D63" s="35" t="s">
        <v>64</v>
      </c>
      <c r="E63" s="35" t="s">
        <v>259</v>
      </c>
      <c r="F63" s="14" t="s">
        <v>260</v>
      </c>
      <c r="G63" s="15">
        <v>7.1742379999999999</v>
      </c>
      <c r="H63" s="15">
        <v>98.999309999999994</v>
      </c>
      <c r="I63" s="6">
        <v>7.4149556580000002</v>
      </c>
      <c r="J63" s="15">
        <v>380.64837115799997</v>
      </c>
      <c r="K63" s="15">
        <v>3.5388888889999999</v>
      </c>
      <c r="L63" s="15">
        <v>3.2473310884691999</v>
      </c>
      <c r="M63" s="15">
        <v>3.0378224333078601</v>
      </c>
      <c r="N63" s="15">
        <v>0.37455407400000001</v>
      </c>
      <c r="O63" s="15">
        <v>0.12169911999999999</v>
      </c>
      <c r="P63" s="15">
        <v>32.491735759360601</v>
      </c>
      <c r="Q63" s="15">
        <v>0</v>
      </c>
      <c r="R63" s="6">
        <v>7.4149556580000002</v>
      </c>
      <c r="S63" s="15">
        <v>380.64837115799997</v>
      </c>
      <c r="T63" s="15">
        <v>3.5388888889999999</v>
      </c>
      <c r="U63" s="15">
        <v>3.2473310884691999</v>
      </c>
      <c r="V63" s="15">
        <v>3.0378224333078601</v>
      </c>
      <c r="W63" s="15">
        <v>0.37455407400000001</v>
      </c>
      <c r="X63" s="15">
        <v>0.12169911999999999</v>
      </c>
      <c r="Y63" s="15">
        <v>32.491735759360601</v>
      </c>
      <c r="Z63" s="15">
        <v>0</v>
      </c>
      <c r="AA63" s="8">
        <f t="shared" si="2"/>
        <v>0</v>
      </c>
      <c r="AB63" s="15">
        <f t="shared" si="3"/>
        <v>0</v>
      </c>
      <c r="AC63" s="15">
        <f t="shared" si="4"/>
        <v>0</v>
      </c>
      <c r="AD63" s="15">
        <f t="shared" si="5"/>
        <v>0</v>
      </c>
      <c r="AE63" s="15">
        <f t="shared" si="6"/>
        <v>0</v>
      </c>
      <c r="AF63" s="15">
        <f t="shared" si="7"/>
        <v>0</v>
      </c>
      <c r="AG63" s="15">
        <f t="shared" si="8"/>
        <v>0</v>
      </c>
      <c r="AH63" s="15">
        <f t="shared" si="9"/>
        <v>0</v>
      </c>
      <c r="AI63" s="16">
        <f t="shared" si="10"/>
        <v>0</v>
      </c>
    </row>
    <row r="64" spans="2:35" x14ac:dyDescent="0.25">
      <c r="B64" t="s">
        <v>207</v>
      </c>
      <c r="C64" s="13">
        <v>46064</v>
      </c>
      <c r="D64" s="35" t="s">
        <v>64</v>
      </c>
      <c r="E64" s="35" t="s">
        <v>261</v>
      </c>
      <c r="F64" s="14" t="s">
        <v>262</v>
      </c>
      <c r="G64" s="15">
        <v>7.1742379999999999</v>
      </c>
      <c r="H64" s="15">
        <v>92.528935000000004</v>
      </c>
      <c r="I64" s="6">
        <v>9.6577023989999997</v>
      </c>
      <c r="J64" s="15">
        <v>604.95027792400003</v>
      </c>
      <c r="K64" s="15">
        <v>3.5388888889999999</v>
      </c>
      <c r="L64" s="15">
        <v>3.2033711616803999</v>
      </c>
      <c r="M64" s="15">
        <v>2.98950285659292</v>
      </c>
      <c r="N64" s="15">
        <v>0.37455407400000001</v>
      </c>
      <c r="O64" s="15">
        <v>0.12169911999999999</v>
      </c>
      <c r="P64" s="15">
        <v>32.491735759360601</v>
      </c>
      <c r="Q64" s="15">
        <v>0</v>
      </c>
      <c r="R64" s="6">
        <v>9.6577023989999997</v>
      </c>
      <c r="S64" s="15">
        <v>604.95027792400003</v>
      </c>
      <c r="T64" s="15">
        <v>3.5388888889999999</v>
      </c>
      <c r="U64" s="15">
        <v>3.2033711616803999</v>
      </c>
      <c r="V64" s="15">
        <v>2.98950285659292</v>
      </c>
      <c r="W64" s="15">
        <v>0.37455407400000001</v>
      </c>
      <c r="X64" s="15">
        <v>0.12169911999999999</v>
      </c>
      <c r="Y64" s="15">
        <v>32.491735759360601</v>
      </c>
      <c r="Z64" s="15">
        <v>0</v>
      </c>
      <c r="AA64" s="8">
        <f t="shared" si="2"/>
        <v>0</v>
      </c>
      <c r="AB64" s="15">
        <f t="shared" si="3"/>
        <v>0</v>
      </c>
      <c r="AC64" s="15">
        <f t="shared" si="4"/>
        <v>0</v>
      </c>
      <c r="AD64" s="15">
        <f t="shared" si="5"/>
        <v>0</v>
      </c>
      <c r="AE64" s="15">
        <f t="shared" si="6"/>
        <v>0</v>
      </c>
      <c r="AF64" s="15">
        <f t="shared" si="7"/>
        <v>0</v>
      </c>
      <c r="AG64" s="15">
        <f t="shared" si="8"/>
        <v>0</v>
      </c>
      <c r="AH64" s="15">
        <f t="shared" si="9"/>
        <v>0</v>
      </c>
      <c r="AI64" s="16">
        <f t="shared" si="10"/>
        <v>0</v>
      </c>
    </row>
    <row r="65" spans="2:35" x14ac:dyDescent="0.25">
      <c r="B65" t="s">
        <v>207</v>
      </c>
      <c r="C65" s="13">
        <v>46064</v>
      </c>
      <c r="D65" s="35" t="s">
        <v>64</v>
      </c>
      <c r="E65" s="35" t="s">
        <v>91</v>
      </c>
      <c r="F65" s="14" t="s">
        <v>92</v>
      </c>
      <c r="G65" s="15">
        <v>0.36008000000000001</v>
      </c>
      <c r="H65" s="15">
        <v>0.5464</v>
      </c>
      <c r="I65" s="6">
        <v>-24.442986762</v>
      </c>
      <c r="J65" s="15">
        <v>-2799.1095282450001</v>
      </c>
      <c r="K65" s="15">
        <v>3.0547745040000001</v>
      </c>
      <c r="L65" s="15">
        <v>-61.589584553440702</v>
      </c>
      <c r="M65" s="15">
        <v>1.65031826500732</v>
      </c>
      <c r="N65" s="15">
        <v>0.46886512200000002</v>
      </c>
      <c r="O65" s="15">
        <v>0.18481570999999999</v>
      </c>
      <c r="P65" s="15">
        <v>39.417670739006297</v>
      </c>
      <c r="Q65" s="15">
        <v>0</v>
      </c>
      <c r="R65" s="6">
        <v>-24.442986762</v>
      </c>
      <c r="S65" s="15">
        <v>-2799.1095282450001</v>
      </c>
      <c r="T65" s="15">
        <v>3.0547745040000001</v>
      </c>
      <c r="U65" s="15">
        <v>-61.589584553440702</v>
      </c>
      <c r="V65" s="15">
        <v>1.65031826500732</v>
      </c>
      <c r="W65" s="15">
        <v>0.46886512200000002</v>
      </c>
      <c r="X65" s="15">
        <v>0.18481570999999999</v>
      </c>
      <c r="Y65" s="15">
        <v>39.417670739006297</v>
      </c>
      <c r="Z65" s="15">
        <v>0</v>
      </c>
      <c r="AA65" s="8">
        <f t="shared" si="2"/>
        <v>0</v>
      </c>
      <c r="AB65" s="15">
        <f t="shared" si="3"/>
        <v>0</v>
      </c>
      <c r="AC65" s="15">
        <f t="shared" si="4"/>
        <v>0</v>
      </c>
      <c r="AD65" s="15">
        <f t="shared" si="5"/>
        <v>0</v>
      </c>
      <c r="AE65" s="15">
        <f t="shared" si="6"/>
        <v>0</v>
      </c>
      <c r="AF65" s="15">
        <f t="shared" si="7"/>
        <v>0</v>
      </c>
      <c r="AG65" s="15">
        <f t="shared" si="8"/>
        <v>0</v>
      </c>
      <c r="AH65" s="15">
        <f t="shared" si="9"/>
        <v>0</v>
      </c>
      <c r="AI65" s="16">
        <f t="shared" si="10"/>
        <v>0</v>
      </c>
    </row>
    <row r="66" spans="2:35" x14ac:dyDescent="0.25">
      <c r="B66" t="s">
        <v>207</v>
      </c>
      <c r="C66" s="13">
        <v>46064</v>
      </c>
      <c r="D66" s="35" t="s">
        <v>64</v>
      </c>
      <c r="E66" s="35" t="s">
        <v>95</v>
      </c>
      <c r="F66" s="14" t="s">
        <v>96</v>
      </c>
      <c r="G66" s="15">
        <v>2</v>
      </c>
      <c r="H66" s="15">
        <v>2.0968650000000002</v>
      </c>
      <c r="I66" s="6">
        <v>-32.483883906999999</v>
      </c>
      <c r="J66" s="15">
        <v>-3600.3554285559999</v>
      </c>
      <c r="K66" s="15">
        <v>0.86603893600000004</v>
      </c>
      <c r="L66" s="15">
        <v>-85.026343231443207</v>
      </c>
      <c r="M66" s="15">
        <v>0.96524296986215397</v>
      </c>
      <c r="N66" s="15">
        <v>0.40032662400000002</v>
      </c>
      <c r="O66" s="15">
        <v>0.116056431</v>
      </c>
      <c r="P66" s="15">
        <v>28.990435320134999</v>
      </c>
      <c r="Q66" s="15">
        <v>0</v>
      </c>
      <c r="R66" s="6">
        <v>-32.483883906999999</v>
      </c>
      <c r="S66" s="15">
        <v>-3600.3554285559999</v>
      </c>
      <c r="T66" s="15">
        <v>0.86603893600000004</v>
      </c>
      <c r="U66" s="15">
        <v>-85.026343231443207</v>
      </c>
      <c r="V66" s="15">
        <v>0.96524296986215397</v>
      </c>
      <c r="W66" s="15">
        <v>0.40032662400000002</v>
      </c>
      <c r="X66" s="15">
        <v>0.116056431</v>
      </c>
      <c r="Y66" s="15">
        <v>28.990435320134999</v>
      </c>
      <c r="Z66" s="15">
        <v>0</v>
      </c>
      <c r="AA66" s="8">
        <f t="shared" si="2"/>
        <v>0</v>
      </c>
      <c r="AB66" s="15">
        <f t="shared" si="3"/>
        <v>0</v>
      </c>
      <c r="AC66" s="15">
        <f t="shared" si="4"/>
        <v>0</v>
      </c>
      <c r="AD66" s="15">
        <f t="shared" si="5"/>
        <v>0</v>
      </c>
      <c r="AE66" s="15">
        <f t="shared" si="6"/>
        <v>0</v>
      </c>
      <c r="AF66" s="15">
        <f t="shared" si="7"/>
        <v>0</v>
      </c>
      <c r="AG66" s="15">
        <f t="shared" si="8"/>
        <v>0</v>
      </c>
      <c r="AH66" s="15">
        <f t="shared" si="9"/>
        <v>0</v>
      </c>
      <c r="AI66" s="16">
        <f t="shared" si="10"/>
        <v>0</v>
      </c>
    </row>
    <row r="67" spans="2:35" x14ac:dyDescent="0.25">
      <c r="B67" t="s">
        <v>207</v>
      </c>
      <c r="C67" s="13">
        <v>46064</v>
      </c>
      <c r="D67" s="35" t="s">
        <v>64</v>
      </c>
      <c r="E67" s="35" t="s">
        <v>263</v>
      </c>
      <c r="F67" s="14" t="s">
        <v>264</v>
      </c>
      <c r="G67" s="15">
        <v>0.21289</v>
      </c>
      <c r="H67" s="15">
        <v>0.424765</v>
      </c>
      <c r="I67" s="6">
        <v>-58.631884972999998</v>
      </c>
      <c r="J67" s="15">
        <v>-6215.2722741799998</v>
      </c>
      <c r="K67" s="15">
        <v>3.559417523</v>
      </c>
      <c r="L67" s="15">
        <v>-86.922541169823305</v>
      </c>
      <c r="M67" s="15">
        <v>1.84140501218321</v>
      </c>
      <c r="N67" s="15">
        <v>0.47432656699999998</v>
      </c>
      <c r="O67" s="15">
        <v>0.132425986</v>
      </c>
      <c r="P67" s="15">
        <v>27.918736839381001</v>
      </c>
      <c r="Q67" s="15">
        <v>0</v>
      </c>
      <c r="R67" s="6">
        <v>-58.631884972999998</v>
      </c>
      <c r="S67" s="15">
        <v>-6215.2722741799998</v>
      </c>
      <c r="T67" s="15">
        <v>3.559417523</v>
      </c>
      <c r="U67" s="15">
        <v>-86.922541169823305</v>
      </c>
      <c r="V67" s="15">
        <v>1.84140501218321</v>
      </c>
      <c r="W67" s="15">
        <v>0.47432656699999998</v>
      </c>
      <c r="X67" s="15">
        <v>0.132425986</v>
      </c>
      <c r="Y67" s="15">
        <v>27.918736839381001</v>
      </c>
      <c r="Z67" s="15">
        <v>0</v>
      </c>
      <c r="AA67" s="8">
        <f t="shared" si="2"/>
        <v>0</v>
      </c>
      <c r="AB67" s="15">
        <f t="shared" si="3"/>
        <v>0</v>
      </c>
      <c r="AC67" s="15">
        <f t="shared" si="4"/>
        <v>0</v>
      </c>
      <c r="AD67" s="15">
        <f t="shared" si="5"/>
        <v>0</v>
      </c>
      <c r="AE67" s="15">
        <f t="shared" si="6"/>
        <v>0</v>
      </c>
      <c r="AF67" s="15">
        <f t="shared" si="7"/>
        <v>0</v>
      </c>
      <c r="AG67" s="15">
        <f t="shared" si="8"/>
        <v>0</v>
      </c>
      <c r="AH67" s="15">
        <f t="shared" si="9"/>
        <v>0</v>
      </c>
      <c r="AI67" s="16">
        <f t="shared" si="10"/>
        <v>0</v>
      </c>
    </row>
    <row r="68" spans="2:35" x14ac:dyDescent="0.25">
      <c r="B68" t="s">
        <v>207</v>
      </c>
      <c r="C68" s="13">
        <v>46064</v>
      </c>
      <c r="D68" s="35" t="s">
        <v>64</v>
      </c>
      <c r="E68" s="35" t="s">
        <v>97</v>
      </c>
      <c r="F68" s="14" t="s">
        <v>98</v>
      </c>
      <c r="G68" s="15">
        <v>0.5</v>
      </c>
      <c r="H68" s="15">
        <v>1.1447449999999999</v>
      </c>
      <c r="I68" s="6">
        <v>15.405939233</v>
      </c>
      <c r="J68" s="15">
        <v>1170.786645297</v>
      </c>
      <c r="K68" s="15">
        <v>3.494707403</v>
      </c>
      <c r="L68" s="15">
        <v>-31.9753754766345</v>
      </c>
      <c r="M68" s="15">
        <v>2.1918992439364402</v>
      </c>
      <c r="N68" s="15">
        <v>1.0388519000000001</v>
      </c>
      <c r="O68" s="15">
        <v>0.41918523000000002</v>
      </c>
      <c r="P68" s="15">
        <v>40.350817089519701</v>
      </c>
      <c r="Q68" s="15">
        <v>0</v>
      </c>
      <c r="R68" s="6">
        <v>15.405939233</v>
      </c>
      <c r="S68" s="15">
        <v>1170.786645297</v>
      </c>
      <c r="T68" s="15">
        <v>3.494707403</v>
      </c>
      <c r="U68" s="15">
        <v>-31.9753754766345</v>
      </c>
      <c r="V68" s="15">
        <v>2.1918992439364402</v>
      </c>
      <c r="W68" s="15">
        <v>1.0388519000000001</v>
      </c>
      <c r="X68" s="15">
        <v>0.41918523000000002</v>
      </c>
      <c r="Y68" s="15">
        <v>40.350817089519701</v>
      </c>
      <c r="Z68" s="15">
        <v>0</v>
      </c>
      <c r="AA68" s="8">
        <f t="shared" si="2"/>
        <v>0</v>
      </c>
      <c r="AB68" s="15">
        <f t="shared" si="3"/>
        <v>0</v>
      </c>
      <c r="AC68" s="15">
        <f t="shared" si="4"/>
        <v>0</v>
      </c>
      <c r="AD68" s="15">
        <f t="shared" si="5"/>
        <v>0</v>
      </c>
      <c r="AE68" s="15">
        <f t="shared" si="6"/>
        <v>0</v>
      </c>
      <c r="AF68" s="15">
        <f t="shared" si="7"/>
        <v>0</v>
      </c>
      <c r="AG68" s="15">
        <f t="shared" si="8"/>
        <v>0</v>
      </c>
      <c r="AH68" s="15">
        <f t="shared" si="9"/>
        <v>0</v>
      </c>
      <c r="AI68" s="16">
        <f t="shared" si="10"/>
        <v>0</v>
      </c>
    </row>
    <row r="69" spans="2:35" x14ac:dyDescent="0.25">
      <c r="B69" t="s">
        <v>207</v>
      </c>
      <c r="C69" s="13">
        <v>46064</v>
      </c>
      <c r="D69" s="35" t="s">
        <v>64</v>
      </c>
      <c r="E69" s="35" t="s">
        <v>99</v>
      </c>
      <c r="F69" s="14" t="s">
        <v>100</v>
      </c>
      <c r="G69" s="15">
        <v>2.9533900000000002</v>
      </c>
      <c r="H69" s="15">
        <v>4.9457149999999999</v>
      </c>
      <c r="I69" s="6">
        <v>4.4935600280000001</v>
      </c>
      <c r="J69" s="15">
        <v>92.136139198999999</v>
      </c>
      <c r="K69" s="15">
        <v>1.6305788000000001</v>
      </c>
      <c r="L69" s="15">
        <v>-57.400508157061203</v>
      </c>
      <c r="M69" s="15">
        <v>1.4948206679924101</v>
      </c>
      <c r="N69" s="15">
        <v>0.31727650099999999</v>
      </c>
      <c r="O69" s="15">
        <v>8.4043329999999999E-2</v>
      </c>
      <c r="P69" s="15">
        <v>26.4889866520559</v>
      </c>
      <c r="Q69" s="15">
        <v>0</v>
      </c>
      <c r="R69" s="6">
        <v>4.4935600280000001</v>
      </c>
      <c r="S69" s="15">
        <v>92.136139198999999</v>
      </c>
      <c r="T69" s="15">
        <v>1.6305788000000001</v>
      </c>
      <c r="U69" s="15">
        <v>-57.400508157061203</v>
      </c>
      <c r="V69" s="15">
        <v>1.4948206679924101</v>
      </c>
      <c r="W69" s="15">
        <v>0.31727650099999999</v>
      </c>
      <c r="X69" s="15">
        <v>8.4043329999999999E-2</v>
      </c>
      <c r="Y69" s="15">
        <v>26.4889866520559</v>
      </c>
      <c r="Z69" s="15">
        <v>0</v>
      </c>
      <c r="AA69" s="8">
        <f t="shared" si="2"/>
        <v>0</v>
      </c>
      <c r="AB69" s="15">
        <f t="shared" si="3"/>
        <v>0</v>
      </c>
      <c r="AC69" s="15">
        <f t="shared" si="4"/>
        <v>0</v>
      </c>
      <c r="AD69" s="15">
        <f t="shared" si="5"/>
        <v>0</v>
      </c>
      <c r="AE69" s="15">
        <f t="shared" si="6"/>
        <v>0</v>
      </c>
      <c r="AF69" s="15">
        <f t="shared" si="7"/>
        <v>0</v>
      </c>
      <c r="AG69" s="15">
        <f t="shared" si="8"/>
        <v>0</v>
      </c>
      <c r="AH69" s="15">
        <f t="shared" si="9"/>
        <v>0</v>
      </c>
      <c r="AI69" s="16">
        <f t="shared" si="10"/>
        <v>0</v>
      </c>
    </row>
    <row r="70" spans="2:35" x14ac:dyDescent="0.25">
      <c r="B70" t="s">
        <v>207</v>
      </c>
      <c r="C70" s="13">
        <v>46064</v>
      </c>
      <c r="D70" s="35" t="s">
        <v>64</v>
      </c>
      <c r="E70" s="35" t="s">
        <v>101</v>
      </c>
      <c r="F70" s="14" t="s">
        <v>102</v>
      </c>
      <c r="G70" s="15">
        <v>0.13741999999999999</v>
      </c>
      <c r="H70" s="15">
        <v>0.20155999999999999</v>
      </c>
      <c r="I70" s="6">
        <v>-15.115930185</v>
      </c>
      <c r="J70" s="15">
        <v>-1866.0396811400001</v>
      </c>
      <c r="K70" s="15">
        <v>1.731409389</v>
      </c>
      <c r="L70" s="15">
        <v>-64.7525332407224</v>
      </c>
      <c r="M70" s="15">
        <v>1.44041476483429</v>
      </c>
      <c r="N70" s="15">
        <v>0.31727650099999999</v>
      </c>
      <c r="O70" s="15">
        <v>8.4043329999999999E-2</v>
      </c>
      <c r="P70" s="15">
        <v>26.4889866520559</v>
      </c>
      <c r="Q70" s="15">
        <v>0</v>
      </c>
      <c r="R70" s="6">
        <v>-15.115930185</v>
      </c>
      <c r="S70" s="15">
        <v>-1866.0396811400001</v>
      </c>
      <c r="T70" s="15">
        <v>1.731409389</v>
      </c>
      <c r="U70" s="15">
        <v>-64.7525332407224</v>
      </c>
      <c r="V70" s="15">
        <v>1.44041476483429</v>
      </c>
      <c r="W70" s="15">
        <v>0.31727650099999999</v>
      </c>
      <c r="X70" s="15">
        <v>8.4043329999999999E-2</v>
      </c>
      <c r="Y70" s="15">
        <v>26.4889866520559</v>
      </c>
      <c r="Z70" s="15">
        <v>0</v>
      </c>
      <c r="AA70" s="8">
        <f t="shared" ref="AA70:AA126" si="11">I70-R70</f>
        <v>0</v>
      </c>
      <c r="AB70" s="15">
        <f t="shared" ref="AB70:AB126" si="12">J70-S70</f>
        <v>0</v>
      </c>
      <c r="AC70" s="15">
        <f t="shared" ref="AC70:AC126" si="13">K70-T70</f>
        <v>0</v>
      </c>
      <c r="AD70" s="15">
        <f t="shared" ref="AD70:AD126" si="14">L70-U70</f>
        <v>0</v>
      </c>
      <c r="AE70" s="15">
        <f t="shared" ref="AE70:AE126" si="15">M70-V70</f>
        <v>0</v>
      </c>
      <c r="AF70" s="15">
        <f t="shared" ref="AF70:AF126" si="16">N70-W70</f>
        <v>0</v>
      </c>
      <c r="AG70" s="15">
        <f t="shared" ref="AG70:AG126" si="17">O70-X70</f>
        <v>0</v>
      </c>
      <c r="AH70" s="15">
        <f t="shared" ref="AH70:AH126" si="18">P70-Y70</f>
        <v>0</v>
      </c>
      <c r="AI70" s="16">
        <f t="shared" ref="AI70:AI126" si="19">Q70-Z70</f>
        <v>0</v>
      </c>
    </row>
    <row r="71" spans="2:35" x14ac:dyDescent="0.25">
      <c r="B71" t="s">
        <v>207</v>
      </c>
      <c r="C71" s="13">
        <v>46064</v>
      </c>
      <c r="D71" s="35" t="s">
        <v>64</v>
      </c>
      <c r="E71" s="35" t="s">
        <v>265</v>
      </c>
      <c r="F71" s="14" t="s">
        <v>266</v>
      </c>
      <c r="G71" s="15">
        <v>2.5527199999999999</v>
      </c>
      <c r="H71" s="15">
        <v>5.0134850000000002</v>
      </c>
      <c r="I71" s="6">
        <v>14.826246349</v>
      </c>
      <c r="J71" s="15">
        <v>1118.264827666</v>
      </c>
      <c r="K71" s="15">
        <v>2.4571346329999999</v>
      </c>
      <c r="L71" s="15">
        <v>-49.702358858159499</v>
      </c>
      <c r="M71" s="15">
        <v>1.7787430300479701</v>
      </c>
      <c r="N71" s="15">
        <v>0.27817714500000001</v>
      </c>
      <c r="O71" s="15">
        <v>7.5455468999999997E-2</v>
      </c>
      <c r="P71" s="15">
        <v>27.124970672914198</v>
      </c>
      <c r="Q71" s="15">
        <v>0</v>
      </c>
      <c r="R71" s="6">
        <v>14.826246349</v>
      </c>
      <c r="S71" s="15">
        <v>1118.264827666</v>
      </c>
      <c r="T71" s="15">
        <v>2.4571346329999999</v>
      </c>
      <c r="U71" s="15">
        <v>-49.702358858159499</v>
      </c>
      <c r="V71" s="15">
        <v>1.7787430300479701</v>
      </c>
      <c r="W71" s="15">
        <v>0.27817714500000001</v>
      </c>
      <c r="X71" s="15">
        <v>7.5455468999999997E-2</v>
      </c>
      <c r="Y71" s="15">
        <v>27.124970672914198</v>
      </c>
      <c r="Z71" s="15">
        <v>0</v>
      </c>
      <c r="AA71" s="8">
        <f t="shared" si="11"/>
        <v>0</v>
      </c>
      <c r="AB71" s="15">
        <f t="shared" si="12"/>
        <v>0</v>
      </c>
      <c r="AC71" s="15">
        <f t="shared" si="13"/>
        <v>0</v>
      </c>
      <c r="AD71" s="15">
        <f t="shared" si="14"/>
        <v>0</v>
      </c>
      <c r="AE71" s="15">
        <f t="shared" si="15"/>
        <v>0</v>
      </c>
      <c r="AF71" s="15">
        <f t="shared" si="16"/>
        <v>0</v>
      </c>
      <c r="AG71" s="15">
        <f t="shared" si="17"/>
        <v>0</v>
      </c>
      <c r="AH71" s="15">
        <f t="shared" si="18"/>
        <v>0</v>
      </c>
      <c r="AI71" s="16">
        <f t="shared" si="19"/>
        <v>0</v>
      </c>
    </row>
    <row r="72" spans="2:35" x14ac:dyDescent="0.25">
      <c r="B72" t="s">
        <v>207</v>
      </c>
      <c r="C72" s="13">
        <v>46064</v>
      </c>
      <c r="D72" s="35" t="s">
        <v>26</v>
      </c>
      <c r="E72" s="35" t="s">
        <v>29</v>
      </c>
      <c r="F72" s="14" t="s">
        <v>30</v>
      </c>
      <c r="G72" s="15">
        <v>10.411759999999999</v>
      </c>
      <c r="H72" s="15">
        <v>104.9</v>
      </c>
      <c r="I72" s="6">
        <v>5.448751465</v>
      </c>
      <c r="J72" s="15">
        <v>198.09229731100001</v>
      </c>
      <c r="K72" s="15">
        <v>1.0388888890000001</v>
      </c>
      <c r="L72" s="15">
        <v>4.34677836034238E-2</v>
      </c>
      <c r="M72" s="15">
        <v>0.97725832411821101</v>
      </c>
      <c r="N72" s="15">
        <v>1.440387294</v>
      </c>
      <c r="O72" s="15">
        <v>3.6716946E-2</v>
      </c>
      <c r="P72" s="15">
        <v>2.5491023249751099</v>
      </c>
      <c r="Q72" s="15">
        <v>0</v>
      </c>
      <c r="R72" s="6">
        <v>5.448751465</v>
      </c>
      <c r="S72" s="15">
        <v>198.09229731100001</v>
      </c>
      <c r="T72" s="15">
        <v>1.0388888890000001</v>
      </c>
      <c r="U72" s="15">
        <v>4.34677836034238E-2</v>
      </c>
      <c r="V72" s="15">
        <v>0.97725832411821101</v>
      </c>
      <c r="W72" s="15">
        <v>1.440387294</v>
      </c>
      <c r="X72" s="15">
        <v>3.6716946E-2</v>
      </c>
      <c r="Y72" s="15">
        <v>2.5491023249751099</v>
      </c>
      <c r="Z72" s="15">
        <v>0</v>
      </c>
      <c r="AA72" s="8">
        <f t="shared" si="11"/>
        <v>0</v>
      </c>
      <c r="AB72" s="15">
        <f t="shared" si="12"/>
        <v>0</v>
      </c>
      <c r="AC72" s="15">
        <f t="shared" si="13"/>
        <v>0</v>
      </c>
      <c r="AD72" s="15">
        <f t="shared" si="14"/>
        <v>0</v>
      </c>
      <c r="AE72" s="15">
        <f t="shared" si="15"/>
        <v>0</v>
      </c>
      <c r="AF72" s="15">
        <f t="shared" si="16"/>
        <v>0</v>
      </c>
      <c r="AG72" s="15">
        <f t="shared" si="17"/>
        <v>0</v>
      </c>
      <c r="AH72" s="15">
        <f t="shared" si="18"/>
        <v>0</v>
      </c>
      <c r="AI72" s="16">
        <f t="shared" si="19"/>
        <v>0</v>
      </c>
    </row>
    <row r="73" spans="2:35" x14ac:dyDescent="0.25">
      <c r="B73" t="s">
        <v>207</v>
      </c>
      <c r="C73" s="13">
        <v>46064</v>
      </c>
      <c r="D73" s="35" t="s">
        <v>26</v>
      </c>
      <c r="E73" s="35" t="s">
        <v>140</v>
      </c>
      <c r="F73" s="14" t="s">
        <v>141</v>
      </c>
      <c r="G73" s="15">
        <v>14.81176</v>
      </c>
      <c r="H73" s="15">
        <v>123.34375</v>
      </c>
      <c r="I73" s="6">
        <v>5.3211295779999999</v>
      </c>
      <c r="J73" s="15">
        <v>177.156523139</v>
      </c>
      <c r="K73" s="15">
        <v>2.7055555560000002</v>
      </c>
      <c r="L73" s="15">
        <v>0.23765488563465501</v>
      </c>
      <c r="M73" s="15">
        <v>2.2737385445148202</v>
      </c>
      <c r="N73" s="15">
        <v>2.3639098170000001</v>
      </c>
      <c r="O73" s="15">
        <v>0.19850356499999999</v>
      </c>
      <c r="P73" s="15">
        <v>8.3972562562440594</v>
      </c>
      <c r="Q73" s="15">
        <v>0</v>
      </c>
      <c r="R73" s="6">
        <v>5.3211295779999999</v>
      </c>
      <c r="S73" s="15">
        <v>177.156523139</v>
      </c>
      <c r="T73" s="15">
        <v>2.7055555560000002</v>
      </c>
      <c r="U73" s="15">
        <v>0.23765488563465501</v>
      </c>
      <c r="V73" s="15">
        <v>2.2737385445148202</v>
      </c>
      <c r="W73" s="15">
        <v>2.3639098170000001</v>
      </c>
      <c r="X73" s="15">
        <v>0.19850356499999999</v>
      </c>
      <c r="Y73" s="15">
        <v>8.3972562562440594</v>
      </c>
      <c r="Z73" s="15">
        <v>0</v>
      </c>
      <c r="AA73" s="8">
        <f t="shared" si="11"/>
        <v>0</v>
      </c>
      <c r="AB73" s="15">
        <f t="shared" si="12"/>
        <v>0</v>
      </c>
      <c r="AC73" s="15">
        <f t="shared" si="13"/>
        <v>0</v>
      </c>
      <c r="AD73" s="15">
        <f t="shared" si="14"/>
        <v>0</v>
      </c>
      <c r="AE73" s="15">
        <f t="shared" si="15"/>
        <v>0</v>
      </c>
      <c r="AF73" s="15">
        <f t="shared" si="16"/>
        <v>0</v>
      </c>
      <c r="AG73" s="15">
        <f t="shared" si="17"/>
        <v>0</v>
      </c>
      <c r="AH73" s="15">
        <f t="shared" si="18"/>
        <v>0</v>
      </c>
      <c r="AI73" s="16">
        <f t="shared" si="19"/>
        <v>0</v>
      </c>
    </row>
    <row r="74" spans="2:35" x14ac:dyDescent="0.25">
      <c r="B74" t="s">
        <v>207</v>
      </c>
      <c r="C74" s="13">
        <v>46064</v>
      </c>
      <c r="D74" s="35" t="s">
        <v>26</v>
      </c>
      <c r="E74" s="35" t="s">
        <v>144</v>
      </c>
      <c r="F74" s="14" t="s">
        <v>145</v>
      </c>
      <c r="G74" s="15">
        <v>12.161759999999999</v>
      </c>
      <c r="H74" s="15">
        <v>119.7</v>
      </c>
      <c r="I74" s="6">
        <v>5.3816885230000002</v>
      </c>
      <c r="J74" s="15">
        <v>179.34227448600001</v>
      </c>
      <c r="K74" s="15">
        <v>3.2888888889999999</v>
      </c>
      <c r="L74" s="15">
        <v>0.236860561403507</v>
      </c>
      <c r="M74" s="15">
        <v>2.75337077109441</v>
      </c>
      <c r="N74" s="15">
        <v>1.3626116210000001</v>
      </c>
      <c r="O74" s="15">
        <v>6.1684586999999999E-2</v>
      </c>
      <c r="P74" s="15">
        <v>4.5269382742186401</v>
      </c>
      <c r="Q74" s="15">
        <v>0</v>
      </c>
      <c r="R74" s="6">
        <v>5.3816885230000002</v>
      </c>
      <c r="S74" s="15">
        <v>179.34227448600001</v>
      </c>
      <c r="T74" s="15">
        <v>3.2888888889999999</v>
      </c>
      <c r="U74" s="15">
        <v>0.236860561403507</v>
      </c>
      <c r="V74" s="15">
        <v>2.75337077109441</v>
      </c>
      <c r="W74" s="15">
        <v>1.3626116210000001</v>
      </c>
      <c r="X74" s="15">
        <v>6.1684586999999999E-2</v>
      </c>
      <c r="Y74" s="15">
        <v>4.5269382742186401</v>
      </c>
      <c r="Z74" s="15">
        <v>0</v>
      </c>
      <c r="AA74" s="8">
        <f t="shared" si="11"/>
        <v>0</v>
      </c>
      <c r="AB74" s="15">
        <f t="shared" si="12"/>
        <v>0</v>
      </c>
      <c r="AC74" s="15">
        <f t="shared" si="13"/>
        <v>0</v>
      </c>
      <c r="AD74" s="15">
        <f t="shared" si="14"/>
        <v>0</v>
      </c>
      <c r="AE74" s="15">
        <f t="shared" si="15"/>
        <v>0</v>
      </c>
      <c r="AF74" s="15">
        <f t="shared" si="16"/>
        <v>0</v>
      </c>
      <c r="AG74" s="15">
        <f t="shared" si="17"/>
        <v>0</v>
      </c>
      <c r="AH74" s="15">
        <f t="shared" si="18"/>
        <v>0</v>
      </c>
      <c r="AI74" s="16">
        <f t="shared" si="19"/>
        <v>0</v>
      </c>
    </row>
    <row r="75" spans="2:35" x14ac:dyDescent="0.25">
      <c r="B75" t="s">
        <v>207</v>
      </c>
      <c r="C75" s="13">
        <v>46064</v>
      </c>
      <c r="D75" s="35" t="s">
        <v>26</v>
      </c>
      <c r="E75" s="35" t="s">
        <v>146</v>
      </c>
      <c r="F75" s="14" t="s">
        <v>147</v>
      </c>
      <c r="G75" s="15">
        <v>8.7886699999999998</v>
      </c>
      <c r="H75" s="15">
        <v>110.3</v>
      </c>
      <c r="I75" s="6">
        <v>5.4109122210000002</v>
      </c>
      <c r="J75" s="15">
        <v>177.245432902</v>
      </c>
      <c r="K75" s="15">
        <v>3.875</v>
      </c>
      <c r="L75" s="15">
        <v>0.13212931640978301</v>
      </c>
      <c r="M75" s="15">
        <v>3.3105539392565602</v>
      </c>
      <c r="N75" s="15">
        <v>1.054430234</v>
      </c>
      <c r="O75" s="15">
        <v>4.2081741999999998E-2</v>
      </c>
      <c r="P75" s="15">
        <v>3.9909460714496201</v>
      </c>
      <c r="Q75" s="15">
        <v>0</v>
      </c>
      <c r="R75" s="6">
        <v>5.4109122210000002</v>
      </c>
      <c r="S75" s="15">
        <v>177.245432902</v>
      </c>
      <c r="T75" s="15">
        <v>3.875</v>
      </c>
      <c r="U75" s="15">
        <v>0.13212931640978301</v>
      </c>
      <c r="V75" s="15">
        <v>3.3105539392565602</v>
      </c>
      <c r="W75" s="15">
        <v>1.054430234</v>
      </c>
      <c r="X75" s="15">
        <v>4.2081741999999998E-2</v>
      </c>
      <c r="Y75" s="15">
        <v>3.9909460714496201</v>
      </c>
      <c r="Z75" s="15">
        <v>0</v>
      </c>
      <c r="AA75" s="8">
        <f t="shared" si="11"/>
        <v>0</v>
      </c>
      <c r="AB75" s="15">
        <f t="shared" si="12"/>
        <v>0</v>
      </c>
      <c r="AC75" s="15">
        <f t="shared" si="13"/>
        <v>0</v>
      </c>
      <c r="AD75" s="15">
        <f t="shared" si="14"/>
        <v>0</v>
      </c>
      <c r="AE75" s="15">
        <f t="shared" si="15"/>
        <v>0</v>
      </c>
      <c r="AF75" s="15">
        <f t="shared" si="16"/>
        <v>0</v>
      </c>
      <c r="AG75" s="15">
        <f t="shared" si="17"/>
        <v>0</v>
      </c>
      <c r="AH75" s="15">
        <f t="shared" si="18"/>
        <v>0</v>
      </c>
      <c r="AI75" s="16">
        <f t="shared" si="19"/>
        <v>0</v>
      </c>
    </row>
    <row r="76" spans="2:35" x14ac:dyDescent="0.25">
      <c r="B76" t="s">
        <v>207</v>
      </c>
      <c r="C76" s="13">
        <v>46064</v>
      </c>
      <c r="D76" s="35" t="s">
        <v>26</v>
      </c>
      <c r="E76" s="35" t="s">
        <v>148</v>
      </c>
      <c r="F76" s="14" t="s">
        <v>149</v>
      </c>
      <c r="G76" s="15">
        <v>8.8117599999999996</v>
      </c>
      <c r="H76" s="15">
        <v>111</v>
      </c>
      <c r="I76" s="6">
        <v>5.4128345309999997</v>
      </c>
      <c r="J76" s="15">
        <v>177.46545138499999</v>
      </c>
      <c r="K76" s="15">
        <v>3.875</v>
      </c>
      <c r="L76" s="15">
        <v>0.143172774774775</v>
      </c>
      <c r="M76" s="15">
        <v>3.3014205180180198</v>
      </c>
      <c r="N76" s="15">
        <v>1.401940687</v>
      </c>
      <c r="O76" s="15">
        <v>7.4598658999999998E-2</v>
      </c>
      <c r="P76" s="15">
        <v>5.3210995081135</v>
      </c>
      <c r="Q76" s="15">
        <v>0</v>
      </c>
      <c r="R76" s="6">
        <v>5.4128345309999997</v>
      </c>
      <c r="S76" s="15">
        <v>177.46545138499999</v>
      </c>
      <c r="T76" s="15">
        <v>3.875</v>
      </c>
      <c r="U76" s="15">
        <v>0.143172774774775</v>
      </c>
      <c r="V76" s="15">
        <v>3.3014205180180198</v>
      </c>
      <c r="W76" s="15">
        <v>1.401940687</v>
      </c>
      <c r="X76" s="15">
        <v>7.4598658999999998E-2</v>
      </c>
      <c r="Y76" s="15">
        <v>5.3210995081135</v>
      </c>
      <c r="Z76" s="15">
        <v>0</v>
      </c>
      <c r="AA76" s="8">
        <f t="shared" si="11"/>
        <v>0</v>
      </c>
      <c r="AB76" s="15">
        <f t="shared" si="12"/>
        <v>0</v>
      </c>
      <c r="AC76" s="15">
        <f t="shared" si="13"/>
        <v>0</v>
      </c>
      <c r="AD76" s="15">
        <f t="shared" si="14"/>
        <v>0</v>
      </c>
      <c r="AE76" s="15">
        <f t="shared" si="15"/>
        <v>0</v>
      </c>
      <c r="AF76" s="15">
        <f t="shared" si="16"/>
        <v>0</v>
      </c>
      <c r="AG76" s="15">
        <f t="shared" si="17"/>
        <v>0</v>
      </c>
      <c r="AH76" s="15">
        <f t="shared" si="18"/>
        <v>0</v>
      </c>
      <c r="AI76" s="16">
        <f t="shared" si="19"/>
        <v>0</v>
      </c>
    </row>
    <row r="77" spans="2:35" x14ac:dyDescent="0.25">
      <c r="B77" t="s">
        <v>207</v>
      </c>
      <c r="C77" s="13">
        <v>46064</v>
      </c>
      <c r="D77" s="35" t="s">
        <v>26</v>
      </c>
      <c r="E77" s="35" t="s">
        <v>150</v>
      </c>
      <c r="F77" s="14" t="s">
        <v>151</v>
      </c>
      <c r="G77" s="15">
        <v>16.06176</v>
      </c>
      <c r="H77" s="15">
        <v>121.56</v>
      </c>
      <c r="I77" s="6">
        <v>5.4696543249999996</v>
      </c>
      <c r="J77" s="15">
        <v>194.55780828300001</v>
      </c>
      <c r="K77" s="15">
        <v>2.2055555560000002</v>
      </c>
      <c r="L77" s="15">
        <v>-2.2945562216189499</v>
      </c>
      <c r="M77" s="15">
        <v>1.88320706975978</v>
      </c>
      <c r="N77" s="15">
        <v>2.9756239459999998</v>
      </c>
      <c r="O77" s="15">
        <v>0.27202277200000002</v>
      </c>
      <c r="P77" s="15">
        <v>9.1417053006872102</v>
      </c>
      <c r="Q77" s="15">
        <v>0</v>
      </c>
      <c r="R77" s="6">
        <v>5.4696543249999996</v>
      </c>
      <c r="S77" s="15">
        <v>194.55780828300001</v>
      </c>
      <c r="T77" s="15">
        <v>2.2055555560000002</v>
      </c>
      <c r="U77" s="15">
        <v>-2.2945562216189499</v>
      </c>
      <c r="V77" s="15">
        <v>1.88320706975978</v>
      </c>
      <c r="W77" s="15">
        <v>2.9756239459999998</v>
      </c>
      <c r="X77" s="15">
        <v>0.27202277200000002</v>
      </c>
      <c r="Y77" s="15">
        <v>9.1417053006872102</v>
      </c>
      <c r="Z77" s="15">
        <v>0</v>
      </c>
      <c r="AA77" s="8">
        <f t="shared" si="11"/>
        <v>0</v>
      </c>
      <c r="AB77" s="15">
        <f t="shared" si="12"/>
        <v>0</v>
      </c>
      <c r="AC77" s="15">
        <f t="shared" si="13"/>
        <v>0</v>
      </c>
      <c r="AD77" s="15">
        <f t="shared" si="14"/>
        <v>0</v>
      </c>
      <c r="AE77" s="15">
        <f t="shared" si="15"/>
        <v>0</v>
      </c>
      <c r="AF77" s="15">
        <f t="shared" si="16"/>
        <v>0</v>
      </c>
      <c r="AG77" s="15">
        <f t="shared" si="17"/>
        <v>0</v>
      </c>
      <c r="AH77" s="15">
        <f t="shared" si="18"/>
        <v>0</v>
      </c>
      <c r="AI77" s="16">
        <f t="shared" si="19"/>
        <v>0</v>
      </c>
    </row>
    <row r="78" spans="2:35" x14ac:dyDescent="0.25">
      <c r="B78" t="s">
        <v>207</v>
      </c>
      <c r="C78" s="13">
        <v>46064</v>
      </c>
      <c r="D78" s="35" t="s">
        <v>26</v>
      </c>
      <c r="E78" s="35" t="s">
        <v>152</v>
      </c>
      <c r="F78" s="14" t="s">
        <v>153</v>
      </c>
      <c r="G78" s="15">
        <v>15.06176</v>
      </c>
      <c r="H78" s="15">
        <v>120.22</v>
      </c>
      <c r="I78" s="6">
        <v>5.1360477299999996</v>
      </c>
      <c r="J78" s="15">
        <v>161.182315835</v>
      </c>
      <c r="K78" s="15">
        <v>2.2055555560000002</v>
      </c>
      <c r="L78" s="15">
        <v>-1.5698583513558499</v>
      </c>
      <c r="M78" s="15">
        <v>1.90101266594577</v>
      </c>
      <c r="N78" s="15">
        <v>3.1355164310000001</v>
      </c>
      <c r="O78" s="15">
        <v>0.34163924800000001</v>
      </c>
      <c r="P78" s="15">
        <v>10.895788796458101</v>
      </c>
      <c r="Q78" s="15">
        <v>0</v>
      </c>
      <c r="R78" s="6">
        <v>5.1360477299999996</v>
      </c>
      <c r="S78" s="15">
        <v>161.182315835</v>
      </c>
      <c r="T78" s="15">
        <v>2.2055555560000002</v>
      </c>
      <c r="U78" s="15">
        <v>-1.5698583513558499</v>
      </c>
      <c r="V78" s="15">
        <v>1.90101266594577</v>
      </c>
      <c r="W78" s="15">
        <v>3.1355164310000001</v>
      </c>
      <c r="X78" s="15">
        <v>0.34163924800000001</v>
      </c>
      <c r="Y78" s="15">
        <v>10.895788796458101</v>
      </c>
      <c r="Z78" s="15">
        <v>0</v>
      </c>
      <c r="AA78" s="8">
        <f t="shared" si="11"/>
        <v>0</v>
      </c>
      <c r="AB78" s="15">
        <f t="shared" si="12"/>
        <v>0</v>
      </c>
      <c r="AC78" s="15">
        <f t="shared" si="13"/>
        <v>0</v>
      </c>
      <c r="AD78" s="15">
        <f t="shared" si="14"/>
        <v>0</v>
      </c>
      <c r="AE78" s="15">
        <f t="shared" si="15"/>
        <v>0</v>
      </c>
      <c r="AF78" s="15">
        <f t="shared" si="16"/>
        <v>0</v>
      </c>
      <c r="AG78" s="15">
        <f t="shared" si="17"/>
        <v>0</v>
      </c>
      <c r="AH78" s="15">
        <f t="shared" si="18"/>
        <v>0</v>
      </c>
      <c r="AI78" s="16">
        <f t="shared" si="19"/>
        <v>0</v>
      </c>
    </row>
    <row r="79" spans="2:35" x14ac:dyDescent="0.25">
      <c r="B79" t="s">
        <v>207</v>
      </c>
      <c r="C79" s="13">
        <v>46064</v>
      </c>
      <c r="D79" s="35" t="s">
        <v>107</v>
      </c>
      <c r="E79" s="35" t="s">
        <v>108</v>
      </c>
      <c r="F79" s="14" t="s">
        <v>109</v>
      </c>
      <c r="G79" s="15">
        <v>6.55</v>
      </c>
      <c r="H79" s="15">
        <v>102.02217</v>
      </c>
      <c r="I79" s="6">
        <v>5.6019891030000002</v>
      </c>
      <c r="J79" s="15">
        <v>208.24161600100001</v>
      </c>
      <c r="K79" s="15">
        <v>2.122222222</v>
      </c>
      <c r="L79" s="15">
        <v>1.6728720551621299</v>
      </c>
      <c r="M79" s="15">
        <v>1.9347375888985801</v>
      </c>
      <c r="N79" s="15">
        <v>1.8714326830000001</v>
      </c>
      <c r="O79" s="15">
        <v>1.1824640740000001</v>
      </c>
      <c r="P79" s="15">
        <v>63.184964372026002</v>
      </c>
      <c r="Q79" s="15">
        <v>0</v>
      </c>
      <c r="R79" s="6">
        <v>5.6019891030000002</v>
      </c>
      <c r="S79" s="15">
        <v>208.24161600100001</v>
      </c>
      <c r="T79" s="15">
        <v>2.122222222</v>
      </c>
      <c r="U79" s="15">
        <v>1.6728720551621299</v>
      </c>
      <c r="V79" s="15">
        <v>1.9347375888985801</v>
      </c>
      <c r="W79" s="15">
        <v>1.8714326830000001</v>
      </c>
      <c r="X79" s="15">
        <v>1.1824640740000001</v>
      </c>
      <c r="Y79" s="15">
        <v>63.184964372026002</v>
      </c>
      <c r="Z79" s="15">
        <v>0</v>
      </c>
      <c r="AA79" s="8">
        <f t="shared" si="11"/>
        <v>0</v>
      </c>
      <c r="AB79" s="15">
        <f t="shared" si="12"/>
        <v>0</v>
      </c>
      <c r="AC79" s="15">
        <f t="shared" si="13"/>
        <v>0</v>
      </c>
      <c r="AD79" s="15">
        <f t="shared" si="14"/>
        <v>0</v>
      </c>
      <c r="AE79" s="15">
        <f t="shared" si="15"/>
        <v>0</v>
      </c>
      <c r="AF79" s="15">
        <f t="shared" si="16"/>
        <v>0</v>
      </c>
      <c r="AG79" s="15">
        <f t="shared" si="17"/>
        <v>0</v>
      </c>
      <c r="AH79" s="15">
        <f t="shared" si="18"/>
        <v>0</v>
      </c>
      <c r="AI79" s="16">
        <f t="shared" si="19"/>
        <v>0</v>
      </c>
    </row>
    <row r="80" spans="2:35" x14ac:dyDescent="0.25">
      <c r="B80" t="s">
        <v>207</v>
      </c>
      <c r="C80" s="13">
        <v>46064</v>
      </c>
      <c r="D80" s="35" t="s">
        <v>107</v>
      </c>
      <c r="E80" s="35" t="s">
        <v>267</v>
      </c>
      <c r="F80" s="14" t="s">
        <v>268</v>
      </c>
      <c r="G80" s="15">
        <v>7.673</v>
      </c>
      <c r="H80" s="15">
        <v>103.12712500000001</v>
      </c>
      <c r="I80" s="6">
        <v>7.017973435</v>
      </c>
      <c r="J80" s="15">
        <v>321.81602434799998</v>
      </c>
      <c r="K80" s="15">
        <v>5.8722222220000004</v>
      </c>
      <c r="L80" s="15">
        <v>4.6275300344114099</v>
      </c>
      <c r="M80" s="15">
        <v>4.6275300344114099</v>
      </c>
      <c r="N80" s="15">
        <v>0</v>
      </c>
      <c r="O80" s="15">
        <v>0</v>
      </c>
      <c r="P80" s="15" t="s">
        <v>248</v>
      </c>
      <c r="Q80" s="15">
        <v>0</v>
      </c>
      <c r="R80" s="6">
        <v>7.017973435</v>
      </c>
      <c r="S80" s="15">
        <v>321.81602434799998</v>
      </c>
      <c r="T80" s="15">
        <v>5.8722222220000004</v>
      </c>
      <c r="U80" s="15">
        <v>4.6275300344114099</v>
      </c>
      <c r="V80" s="15">
        <v>4.6275300344114099</v>
      </c>
      <c r="W80" s="15">
        <v>0</v>
      </c>
      <c r="X80" s="15">
        <v>0</v>
      </c>
      <c r="Y80" s="15" t="s">
        <v>248</v>
      </c>
      <c r="Z80" s="15">
        <v>0</v>
      </c>
      <c r="AA80" s="8">
        <f t="shared" si="11"/>
        <v>0</v>
      </c>
      <c r="AB80" s="15">
        <f t="shared" si="12"/>
        <v>0</v>
      </c>
      <c r="AC80" s="15">
        <f t="shared" si="13"/>
        <v>0</v>
      </c>
      <c r="AD80" s="15">
        <f t="shared" si="14"/>
        <v>0</v>
      </c>
      <c r="AE80" s="15">
        <f t="shared" si="15"/>
        <v>0</v>
      </c>
      <c r="AF80" s="15">
        <f t="shared" si="16"/>
        <v>0</v>
      </c>
      <c r="AG80" s="15">
        <f t="shared" si="17"/>
        <v>0</v>
      </c>
      <c r="AH80" s="15" t="e">
        <f t="shared" si="18"/>
        <v>#VALUE!</v>
      </c>
      <c r="AI80" s="16">
        <f t="shared" si="19"/>
        <v>0</v>
      </c>
    </row>
    <row r="81" spans="2:35" x14ac:dyDescent="0.25">
      <c r="B81" t="s">
        <v>207</v>
      </c>
      <c r="C81" s="13">
        <v>46064</v>
      </c>
      <c r="D81" s="35" t="s">
        <v>107</v>
      </c>
      <c r="E81" s="35" t="s">
        <v>269</v>
      </c>
      <c r="F81" s="14" t="s">
        <v>270</v>
      </c>
      <c r="G81" s="15">
        <v>8.6560000000000006</v>
      </c>
      <c r="H81" s="15">
        <v>101.18446</v>
      </c>
      <c r="I81" s="6">
        <v>8.4206283630000005</v>
      </c>
      <c r="J81" s="15">
        <v>462.59050508600001</v>
      </c>
      <c r="K81" s="15">
        <v>5.8722222220000004</v>
      </c>
      <c r="L81" s="15">
        <v>4.4710649817175403</v>
      </c>
      <c r="M81" s="15">
        <v>4.4710649817175403</v>
      </c>
      <c r="N81" s="15">
        <v>0</v>
      </c>
      <c r="O81" s="15">
        <v>0</v>
      </c>
      <c r="P81" s="15" t="s">
        <v>248</v>
      </c>
      <c r="Q81" s="15">
        <v>0</v>
      </c>
      <c r="R81" s="6">
        <v>8.4206283630000005</v>
      </c>
      <c r="S81" s="15">
        <v>462.59050508600001</v>
      </c>
      <c r="T81" s="15">
        <v>5.8722222220000004</v>
      </c>
      <c r="U81" s="15">
        <v>4.4710649817175403</v>
      </c>
      <c r="V81" s="15">
        <v>4.4710649817175403</v>
      </c>
      <c r="W81" s="15">
        <v>0</v>
      </c>
      <c r="X81" s="15">
        <v>0</v>
      </c>
      <c r="Y81" s="15" t="s">
        <v>248</v>
      </c>
      <c r="Z81" s="15">
        <v>0</v>
      </c>
      <c r="AA81" s="8">
        <f t="shared" si="11"/>
        <v>0</v>
      </c>
      <c r="AB81" s="15">
        <f t="shared" si="12"/>
        <v>0</v>
      </c>
      <c r="AC81" s="15">
        <f t="shared" si="13"/>
        <v>0</v>
      </c>
      <c r="AD81" s="15">
        <f t="shared" si="14"/>
        <v>0</v>
      </c>
      <c r="AE81" s="15">
        <f t="shared" si="15"/>
        <v>0</v>
      </c>
      <c r="AF81" s="15">
        <f t="shared" si="16"/>
        <v>0</v>
      </c>
      <c r="AG81" s="15">
        <f t="shared" si="17"/>
        <v>0</v>
      </c>
      <c r="AH81" s="15" t="e">
        <f t="shared" si="18"/>
        <v>#VALUE!</v>
      </c>
      <c r="AI81" s="16">
        <f t="shared" si="19"/>
        <v>0</v>
      </c>
    </row>
    <row r="82" spans="2:35" x14ac:dyDescent="0.25">
      <c r="B82" t="s">
        <v>207</v>
      </c>
      <c r="C82" s="13">
        <v>46064</v>
      </c>
      <c r="D82" s="35" t="s">
        <v>107</v>
      </c>
      <c r="E82" s="35" t="s">
        <v>271</v>
      </c>
      <c r="F82" s="14" t="s">
        <v>272</v>
      </c>
      <c r="G82" s="15">
        <v>7.3230000000000004</v>
      </c>
      <c r="H82" s="15">
        <v>101.495255</v>
      </c>
      <c r="I82" s="6">
        <v>6.758245853</v>
      </c>
      <c r="J82" s="15">
        <v>316.33428004199999</v>
      </c>
      <c r="K82" s="15">
        <v>3.372222222</v>
      </c>
      <c r="L82" s="15">
        <v>2.9183970432903399</v>
      </c>
      <c r="M82" s="15">
        <v>2.9183970432903399</v>
      </c>
      <c r="N82" s="15">
        <v>0</v>
      </c>
      <c r="O82" s="15">
        <v>0</v>
      </c>
      <c r="P82" s="15" t="s">
        <v>248</v>
      </c>
      <c r="Q82" s="15">
        <v>0</v>
      </c>
      <c r="R82" s="6">
        <v>6.758245853</v>
      </c>
      <c r="S82" s="15">
        <v>316.33428004199999</v>
      </c>
      <c r="T82" s="15">
        <v>3.372222222</v>
      </c>
      <c r="U82" s="15">
        <v>2.9183970432903399</v>
      </c>
      <c r="V82" s="15">
        <v>2.9183970432903399</v>
      </c>
      <c r="W82" s="15">
        <v>0</v>
      </c>
      <c r="X82" s="15">
        <v>0</v>
      </c>
      <c r="Y82" s="15" t="s">
        <v>248</v>
      </c>
      <c r="Z82" s="15">
        <v>0</v>
      </c>
      <c r="AA82" s="8">
        <f t="shared" si="11"/>
        <v>0</v>
      </c>
      <c r="AB82" s="15">
        <f t="shared" si="12"/>
        <v>0</v>
      </c>
      <c r="AC82" s="15">
        <f t="shared" si="13"/>
        <v>0</v>
      </c>
      <c r="AD82" s="15">
        <f t="shared" si="14"/>
        <v>0</v>
      </c>
      <c r="AE82" s="15">
        <f t="shared" si="15"/>
        <v>0</v>
      </c>
      <c r="AF82" s="15">
        <f t="shared" si="16"/>
        <v>0</v>
      </c>
      <c r="AG82" s="15">
        <f t="shared" si="17"/>
        <v>0</v>
      </c>
      <c r="AH82" s="15" t="e">
        <f t="shared" si="18"/>
        <v>#VALUE!</v>
      </c>
      <c r="AI82" s="16">
        <f t="shared" si="19"/>
        <v>0</v>
      </c>
    </row>
    <row r="83" spans="2:35" x14ac:dyDescent="0.25">
      <c r="B83" t="s">
        <v>207</v>
      </c>
      <c r="C83" s="13">
        <v>46064</v>
      </c>
      <c r="D83" s="35" t="s">
        <v>107</v>
      </c>
      <c r="E83" s="35" t="s">
        <v>273</v>
      </c>
      <c r="F83" s="14" t="s">
        <v>274</v>
      </c>
      <c r="G83" s="15">
        <v>8.3140000000000001</v>
      </c>
      <c r="H83" s="15">
        <v>100.613125</v>
      </c>
      <c r="I83" s="6">
        <v>8.0507372000000004</v>
      </c>
      <c r="J83" s="15">
        <v>445.68570620000003</v>
      </c>
      <c r="K83" s="15">
        <v>3.372222222</v>
      </c>
      <c r="L83" s="15">
        <v>2.85623391679764</v>
      </c>
      <c r="M83" s="15">
        <v>2.85623391679764</v>
      </c>
      <c r="N83" s="15">
        <v>0</v>
      </c>
      <c r="O83" s="15">
        <v>0</v>
      </c>
      <c r="P83" s="15" t="s">
        <v>248</v>
      </c>
      <c r="Q83" s="15">
        <v>0</v>
      </c>
      <c r="R83" s="6">
        <v>8.0507372000000004</v>
      </c>
      <c r="S83" s="15">
        <v>445.68570620000003</v>
      </c>
      <c r="T83" s="15">
        <v>3.372222222</v>
      </c>
      <c r="U83" s="15">
        <v>2.85623391679764</v>
      </c>
      <c r="V83" s="15">
        <v>2.85623391679764</v>
      </c>
      <c r="W83" s="15">
        <v>0</v>
      </c>
      <c r="X83" s="15">
        <v>0</v>
      </c>
      <c r="Y83" s="15" t="s">
        <v>248</v>
      </c>
      <c r="Z83" s="15">
        <v>0</v>
      </c>
      <c r="AA83" s="8">
        <f t="shared" si="11"/>
        <v>0</v>
      </c>
      <c r="AB83" s="15">
        <f t="shared" si="12"/>
        <v>0</v>
      </c>
      <c r="AC83" s="15">
        <f t="shared" si="13"/>
        <v>0</v>
      </c>
      <c r="AD83" s="15">
        <f t="shared" si="14"/>
        <v>0</v>
      </c>
      <c r="AE83" s="15">
        <f t="shared" si="15"/>
        <v>0</v>
      </c>
      <c r="AF83" s="15">
        <f t="shared" si="16"/>
        <v>0</v>
      </c>
      <c r="AG83" s="15">
        <f t="shared" si="17"/>
        <v>0</v>
      </c>
      <c r="AH83" s="15" t="e">
        <f t="shared" si="18"/>
        <v>#VALUE!</v>
      </c>
      <c r="AI83" s="16">
        <f t="shared" si="19"/>
        <v>0</v>
      </c>
    </row>
    <row r="84" spans="2:35" x14ac:dyDescent="0.25">
      <c r="B84" t="s">
        <v>207</v>
      </c>
      <c r="C84" s="13">
        <v>46064</v>
      </c>
      <c r="D84" s="35" t="s">
        <v>107</v>
      </c>
      <c r="E84" s="35" t="s">
        <v>275</v>
      </c>
      <c r="F84" s="14" t="s">
        <v>276</v>
      </c>
      <c r="G84" s="15">
        <v>7.0510000000000002</v>
      </c>
      <c r="H84" s="15">
        <v>101.6618</v>
      </c>
      <c r="I84" s="6">
        <v>6.1926723819999996</v>
      </c>
      <c r="J84" s="15">
        <v>265.55342749200003</v>
      </c>
      <c r="K84" s="15">
        <v>2.4555555560000002</v>
      </c>
      <c r="L84" s="15">
        <v>2.2064971867505698</v>
      </c>
      <c r="M84" s="15">
        <v>2.2064971867505698</v>
      </c>
      <c r="N84" s="15">
        <v>0</v>
      </c>
      <c r="O84" s="15">
        <v>0</v>
      </c>
      <c r="P84" s="15" t="s">
        <v>248</v>
      </c>
      <c r="Q84" s="15">
        <v>0</v>
      </c>
      <c r="R84" s="6">
        <v>6.1926723819999996</v>
      </c>
      <c r="S84" s="15">
        <v>265.55342749200003</v>
      </c>
      <c r="T84" s="15">
        <v>2.4555555560000002</v>
      </c>
      <c r="U84" s="15">
        <v>2.2064971867505698</v>
      </c>
      <c r="V84" s="15">
        <v>2.2064971867505698</v>
      </c>
      <c r="W84" s="15">
        <v>0</v>
      </c>
      <c r="X84" s="15">
        <v>0</v>
      </c>
      <c r="Y84" s="15" t="s">
        <v>248</v>
      </c>
      <c r="Z84" s="15">
        <v>0</v>
      </c>
      <c r="AA84" s="8">
        <f t="shared" si="11"/>
        <v>0</v>
      </c>
      <c r="AB84" s="15">
        <f t="shared" si="12"/>
        <v>0</v>
      </c>
      <c r="AC84" s="15">
        <f t="shared" si="13"/>
        <v>0</v>
      </c>
      <c r="AD84" s="15">
        <f t="shared" si="14"/>
        <v>0</v>
      </c>
      <c r="AE84" s="15">
        <f t="shared" si="15"/>
        <v>0</v>
      </c>
      <c r="AF84" s="15">
        <f t="shared" si="16"/>
        <v>0</v>
      </c>
      <c r="AG84" s="15">
        <f t="shared" si="17"/>
        <v>0</v>
      </c>
      <c r="AH84" s="15" t="e">
        <f t="shared" si="18"/>
        <v>#VALUE!</v>
      </c>
      <c r="AI84" s="16">
        <f t="shared" si="19"/>
        <v>0</v>
      </c>
    </row>
    <row r="85" spans="2:35" x14ac:dyDescent="0.25">
      <c r="B85" t="s">
        <v>207</v>
      </c>
      <c r="C85" s="13">
        <v>46064</v>
      </c>
      <c r="D85" s="35" t="s">
        <v>107</v>
      </c>
      <c r="E85" s="35" t="s">
        <v>277</v>
      </c>
      <c r="F85" s="14" t="s">
        <v>278</v>
      </c>
      <c r="G85" s="15">
        <v>8.141</v>
      </c>
      <c r="H85" s="15">
        <v>101.528915</v>
      </c>
      <c r="I85" s="6">
        <v>7.3278840010000001</v>
      </c>
      <c r="J85" s="15">
        <v>379.10685528200003</v>
      </c>
      <c r="K85" s="15">
        <v>2.4555555560000002</v>
      </c>
      <c r="L85" s="15">
        <v>2.16911171068852</v>
      </c>
      <c r="M85" s="15">
        <v>2.16911171068852</v>
      </c>
      <c r="N85" s="15">
        <v>0</v>
      </c>
      <c r="O85" s="15">
        <v>0</v>
      </c>
      <c r="P85" s="15" t="s">
        <v>248</v>
      </c>
      <c r="Q85" s="15">
        <v>0</v>
      </c>
      <c r="R85" s="6">
        <v>7.3278840010000001</v>
      </c>
      <c r="S85" s="15">
        <v>379.10685528200003</v>
      </c>
      <c r="T85" s="15">
        <v>2.4555555560000002</v>
      </c>
      <c r="U85" s="15">
        <v>2.16911171068852</v>
      </c>
      <c r="V85" s="15">
        <v>2.16911171068852</v>
      </c>
      <c r="W85" s="15">
        <v>0</v>
      </c>
      <c r="X85" s="15">
        <v>0</v>
      </c>
      <c r="Y85" s="15" t="s">
        <v>248</v>
      </c>
      <c r="Z85" s="15">
        <v>0</v>
      </c>
      <c r="AA85" s="8">
        <f t="shared" si="11"/>
        <v>0</v>
      </c>
      <c r="AB85" s="15">
        <f t="shared" si="12"/>
        <v>0</v>
      </c>
      <c r="AC85" s="15">
        <f t="shared" si="13"/>
        <v>0</v>
      </c>
      <c r="AD85" s="15">
        <f t="shared" si="14"/>
        <v>0</v>
      </c>
      <c r="AE85" s="15">
        <f t="shared" si="15"/>
        <v>0</v>
      </c>
      <c r="AF85" s="15">
        <f t="shared" si="16"/>
        <v>0</v>
      </c>
      <c r="AG85" s="15">
        <f t="shared" si="17"/>
        <v>0</v>
      </c>
      <c r="AH85" s="15" t="e">
        <f t="shared" si="18"/>
        <v>#VALUE!</v>
      </c>
      <c r="AI85" s="16">
        <f t="shared" si="19"/>
        <v>0</v>
      </c>
    </row>
    <row r="86" spans="2:35" x14ac:dyDescent="0.25">
      <c r="B86" t="s">
        <v>207</v>
      </c>
      <c r="C86" s="13">
        <v>46064</v>
      </c>
      <c r="D86" s="35" t="s">
        <v>107</v>
      </c>
      <c r="E86" s="35" t="s">
        <v>112</v>
      </c>
      <c r="F86" s="14" t="s">
        <v>113</v>
      </c>
      <c r="G86" s="15">
        <v>5.274216</v>
      </c>
      <c r="H86" s="15">
        <v>191.89516</v>
      </c>
      <c r="I86" s="6">
        <v>8.8834774739999993</v>
      </c>
      <c r="J86" s="15">
        <v>500.422813351</v>
      </c>
      <c r="K86" s="15">
        <v>5.9037008020000004</v>
      </c>
      <c r="L86" s="15">
        <v>-4.6687701529314198</v>
      </c>
      <c r="M86" s="15">
        <v>2.6767258178893201</v>
      </c>
      <c r="N86" s="15">
        <v>2.9653086640000001</v>
      </c>
      <c r="O86" s="15">
        <v>2.483791342</v>
      </c>
      <c r="P86" s="15">
        <v>83.761645866893801</v>
      </c>
      <c r="Q86" s="15">
        <v>64.370422306999998</v>
      </c>
      <c r="R86" s="6">
        <v>8.8834774739999993</v>
      </c>
      <c r="S86" s="15">
        <v>500.422813351</v>
      </c>
      <c r="T86" s="15">
        <v>5.9037008020000004</v>
      </c>
      <c r="U86" s="15">
        <v>-4.6687701529314198</v>
      </c>
      <c r="V86" s="15">
        <v>2.6767258178893201</v>
      </c>
      <c r="W86" s="15">
        <v>2.9653086640000001</v>
      </c>
      <c r="X86" s="15">
        <v>2.483791342</v>
      </c>
      <c r="Y86" s="15">
        <v>83.761645866893801</v>
      </c>
      <c r="Z86" s="15">
        <v>64.370422306999998</v>
      </c>
      <c r="AA86" s="8">
        <f t="shared" si="11"/>
        <v>0</v>
      </c>
      <c r="AB86" s="15">
        <f t="shared" si="12"/>
        <v>0</v>
      </c>
      <c r="AC86" s="15">
        <f t="shared" si="13"/>
        <v>0</v>
      </c>
      <c r="AD86" s="15">
        <f t="shared" si="14"/>
        <v>0</v>
      </c>
      <c r="AE86" s="15">
        <f t="shared" si="15"/>
        <v>0</v>
      </c>
      <c r="AF86" s="15">
        <f t="shared" si="16"/>
        <v>0</v>
      </c>
      <c r="AG86" s="15">
        <f t="shared" si="17"/>
        <v>0</v>
      </c>
      <c r="AH86" s="15">
        <f t="shared" si="18"/>
        <v>0</v>
      </c>
      <c r="AI86" s="16">
        <f t="shared" si="19"/>
        <v>0</v>
      </c>
    </row>
    <row r="87" spans="2:35" x14ac:dyDescent="0.25">
      <c r="B87" t="s">
        <v>207</v>
      </c>
      <c r="C87" s="13">
        <v>46064</v>
      </c>
      <c r="D87" s="35" t="s">
        <v>107</v>
      </c>
      <c r="E87" s="35" t="s">
        <v>114</v>
      </c>
      <c r="F87" s="14" t="s">
        <v>115</v>
      </c>
      <c r="G87" s="15">
        <v>3.7453020000000001</v>
      </c>
      <c r="H87" s="15">
        <v>160.33750000000001</v>
      </c>
      <c r="I87" s="6">
        <v>7.4888704180000003</v>
      </c>
      <c r="J87" s="15">
        <v>338.17149554700001</v>
      </c>
      <c r="K87" s="15">
        <v>8.7826206449999997</v>
      </c>
      <c r="L87" s="15">
        <v>-2.2976151280891899</v>
      </c>
      <c r="M87" s="15">
        <v>4.0269710990878602</v>
      </c>
      <c r="N87" s="15">
        <v>3.6503513910000001</v>
      </c>
      <c r="O87" s="15">
        <v>3.0585695909999999</v>
      </c>
      <c r="P87" s="15">
        <v>83.788360718942101</v>
      </c>
      <c r="Q87" s="15">
        <v>40.887952941999998</v>
      </c>
      <c r="R87" s="6">
        <v>7.4888704180000003</v>
      </c>
      <c r="S87" s="15">
        <v>338.17149554700001</v>
      </c>
      <c r="T87" s="15">
        <v>8.7826206449999997</v>
      </c>
      <c r="U87" s="15">
        <v>-2.2976151280891899</v>
      </c>
      <c r="V87" s="15">
        <v>4.0269710990878602</v>
      </c>
      <c r="W87" s="15">
        <v>3.6503513910000001</v>
      </c>
      <c r="X87" s="15">
        <v>3.0585695909999999</v>
      </c>
      <c r="Y87" s="15">
        <v>83.788360718942101</v>
      </c>
      <c r="Z87" s="15">
        <v>40.887952941999998</v>
      </c>
      <c r="AA87" s="8">
        <f t="shared" si="11"/>
        <v>0</v>
      </c>
      <c r="AB87" s="15">
        <f t="shared" si="12"/>
        <v>0</v>
      </c>
      <c r="AC87" s="15">
        <f t="shared" si="13"/>
        <v>0</v>
      </c>
      <c r="AD87" s="15">
        <f t="shared" si="14"/>
        <v>0</v>
      </c>
      <c r="AE87" s="15">
        <f t="shared" si="15"/>
        <v>0</v>
      </c>
      <c r="AF87" s="15">
        <f t="shared" si="16"/>
        <v>0</v>
      </c>
      <c r="AG87" s="15">
        <f t="shared" si="17"/>
        <v>0</v>
      </c>
      <c r="AH87" s="15">
        <f t="shared" si="18"/>
        <v>0</v>
      </c>
      <c r="AI87" s="16">
        <f t="shared" si="19"/>
        <v>0</v>
      </c>
    </row>
    <row r="88" spans="2:35" x14ac:dyDescent="0.25">
      <c r="B88" t="s">
        <v>207</v>
      </c>
      <c r="C88" s="13">
        <v>46064</v>
      </c>
      <c r="D88" s="35" t="s">
        <v>107</v>
      </c>
      <c r="E88" s="35" t="s">
        <v>116</v>
      </c>
      <c r="F88" s="14" t="s">
        <v>117</v>
      </c>
      <c r="G88" s="15">
        <v>5.3891489999999997</v>
      </c>
      <c r="H88" s="15">
        <v>160.80535</v>
      </c>
      <c r="I88" s="6">
        <v>10.575098837000001</v>
      </c>
      <c r="J88" s="15">
        <v>662.496045923</v>
      </c>
      <c r="K88" s="15">
        <v>6.4728025560000004</v>
      </c>
      <c r="L88" s="15">
        <v>-5.0342129580887596</v>
      </c>
      <c r="M88" s="15">
        <v>3.0670876789858101</v>
      </c>
      <c r="N88" s="15">
        <v>3.6351301180000002</v>
      </c>
      <c r="O88" s="15">
        <v>3.0490495819999999</v>
      </c>
      <c r="P88" s="15">
        <v>83.877316162689297</v>
      </c>
      <c r="Q88" s="15">
        <v>42.553867398000001</v>
      </c>
      <c r="R88" s="6">
        <v>10.575098837000001</v>
      </c>
      <c r="S88" s="15">
        <v>662.496045923</v>
      </c>
      <c r="T88" s="15">
        <v>6.4728025560000004</v>
      </c>
      <c r="U88" s="15">
        <v>-5.0342129580887596</v>
      </c>
      <c r="V88" s="15">
        <v>3.0670876789858101</v>
      </c>
      <c r="W88" s="15">
        <v>3.6351301180000002</v>
      </c>
      <c r="X88" s="15">
        <v>3.0490495819999999</v>
      </c>
      <c r="Y88" s="15">
        <v>83.877316162689297</v>
      </c>
      <c r="Z88" s="15">
        <v>42.553867398000001</v>
      </c>
      <c r="AA88" s="8">
        <f t="shared" si="11"/>
        <v>0</v>
      </c>
      <c r="AB88" s="15">
        <f t="shared" si="12"/>
        <v>0</v>
      </c>
      <c r="AC88" s="15">
        <f t="shared" si="13"/>
        <v>0</v>
      </c>
      <c r="AD88" s="15">
        <f t="shared" si="14"/>
        <v>0</v>
      </c>
      <c r="AE88" s="15">
        <f t="shared" si="15"/>
        <v>0</v>
      </c>
      <c r="AF88" s="15">
        <f t="shared" si="16"/>
        <v>0</v>
      </c>
      <c r="AG88" s="15">
        <f t="shared" si="17"/>
        <v>0</v>
      </c>
      <c r="AH88" s="15">
        <f t="shared" si="18"/>
        <v>0</v>
      </c>
      <c r="AI88" s="16">
        <f t="shared" si="19"/>
        <v>0</v>
      </c>
    </row>
    <row r="89" spans="2:35" x14ac:dyDescent="0.25">
      <c r="B89" t="s">
        <v>207</v>
      </c>
      <c r="C89" s="13">
        <v>46064</v>
      </c>
      <c r="D89" s="35" t="s">
        <v>107</v>
      </c>
      <c r="E89" s="35" t="s">
        <v>118</v>
      </c>
      <c r="F89" s="14" t="s">
        <v>119</v>
      </c>
      <c r="G89" s="15">
        <v>5.3829120000000001</v>
      </c>
      <c r="H89" s="15">
        <v>319.14</v>
      </c>
      <c r="I89" s="6">
        <v>7.5208279610000002</v>
      </c>
      <c r="J89" s="15">
        <v>353.18913882800001</v>
      </c>
      <c r="K89" s="15">
        <v>9.7050060249999994</v>
      </c>
      <c r="L89" s="15">
        <v>-11.5380320928119</v>
      </c>
      <c r="M89" s="15">
        <v>3.1160668064172499</v>
      </c>
      <c r="N89" s="15">
        <v>3.0836295159999998</v>
      </c>
      <c r="O89" s="15">
        <v>2.5900043300000002</v>
      </c>
      <c r="P89" s="15">
        <v>83.992072217536801</v>
      </c>
      <c r="Q89" s="15">
        <v>69.967446097999996</v>
      </c>
      <c r="R89" s="6">
        <v>7.5208279610000002</v>
      </c>
      <c r="S89" s="15">
        <v>353.18913882800001</v>
      </c>
      <c r="T89" s="15">
        <v>9.7050060249999994</v>
      </c>
      <c r="U89" s="15">
        <v>-11.5380320928119</v>
      </c>
      <c r="V89" s="15">
        <v>3.1160668064172499</v>
      </c>
      <c r="W89" s="15">
        <v>3.0836295159999998</v>
      </c>
      <c r="X89" s="15">
        <v>2.5900043300000002</v>
      </c>
      <c r="Y89" s="15">
        <v>83.992072217536801</v>
      </c>
      <c r="Z89" s="15">
        <v>69.967446097999996</v>
      </c>
      <c r="AA89" s="8">
        <f t="shared" si="11"/>
        <v>0</v>
      </c>
      <c r="AB89" s="15">
        <f t="shared" si="12"/>
        <v>0</v>
      </c>
      <c r="AC89" s="15">
        <f t="shared" si="13"/>
        <v>0</v>
      </c>
      <c r="AD89" s="15">
        <f t="shared" si="14"/>
        <v>0</v>
      </c>
      <c r="AE89" s="15">
        <f t="shared" si="15"/>
        <v>0</v>
      </c>
      <c r="AF89" s="15">
        <f t="shared" si="16"/>
        <v>0</v>
      </c>
      <c r="AG89" s="15">
        <f t="shared" si="17"/>
        <v>0</v>
      </c>
      <c r="AH89" s="15">
        <f t="shared" si="18"/>
        <v>0</v>
      </c>
      <c r="AI89" s="16">
        <f t="shared" si="19"/>
        <v>0</v>
      </c>
    </row>
    <row r="90" spans="2:35" x14ac:dyDescent="0.25">
      <c r="B90" t="s">
        <v>207</v>
      </c>
      <c r="C90" s="13">
        <v>46064</v>
      </c>
      <c r="D90" s="35" t="s">
        <v>107</v>
      </c>
      <c r="E90" s="35" t="s">
        <v>120</v>
      </c>
      <c r="F90" s="14" t="s">
        <v>121</v>
      </c>
      <c r="G90" s="15">
        <v>4.9676260000000001</v>
      </c>
      <c r="H90" s="15">
        <v>337.07249999999999</v>
      </c>
      <c r="I90" s="6">
        <v>8.4081401749999998</v>
      </c>
      <c r="J90" s="15">
        <v>433.80961221799998</v>
      </c>
      <c r="K90" s="15">
        <v>11.681514246000001</v>
      </c>
      <c r="L90" s="15">
        <v>-11.056515326228</v>
      </c>
      <c r="M90" s="15">
        <v>3.3281780738565301</v>
      </c>
      <c r="N90" s="15">
        <v>2.9689597609999998</v>
      </c>
      <c r="O90" s="15">
        <v>2.4880625570000001</v>
      </c>
      <c r="P90" s="15">
        <v>83.802501794836601</v>
      </c>
      <c r="Q90" s="15">
        <v>144.414752284</v>
      </c>
      <c r="R90" s="6">
        <v>8.4081401749999998</v>
      </c>
      <c r="S90" s="15">
        <v>433.80961221799998</v>
      </c>
      <c r="T90" s="15">
        <v>11.681514246000001</v>
      </c>
      <c r="U90" s="15">
        <v>-11.056515326228</v>
      </c>
      <c r="V90" s="15">
        <v>3.3281780738565301</v>
      </c>
      <c r="W90" s="15">
        <v>2.9689597609999998</v>
      </c>
      <c r="X90" s="15">
        <v>2.4880625570000001</v>
      </c>
      <c r="Y90" s="15">
        <v>83.802501794836601</v>
      </c>
      <c r="Z90" s="15">
        <v>144.414752284</v>
      </c>
      <c r="AA90" s="8">
        <f t="shared" si="11"/>
        <v>0</v>
      </c>
      <c r="AB90" s="15">
        <f t="shared" si="12"/>
        <v>0</v>
      </c>
      <c r="AC90" s="15">
        <f t="shared" si="13"/>
        <v>0</v>
      </c>
      <c r="AD90" s="15">
        <f t="shared" si="14"/>
        <v>0</v>
      </c>
      <c r="AE90" s="15">
        <f t="shared" si="15"/>
        <v>0</v>
      </c>
      <c r="AF90" s="15">
        <f t="shared" si="16"/>
        <v>0</v>
      </c>
      <c r="AG90" s="15">
        <f t="shared" si="17"/>
        <v>0</v>
      </c>
      <c r="AH90" s="15">
        <f t="shared" si="18"/>
        <v>0</v>
      </c>
      <c r="AI90" s="16">
        <f t="shared" si="19"/>
        <v>0</v>
      </c>
    </row>
    <row r="91" spans="2:35" x14ac:dyDescent="0.25">
      <c r="B91" t="s">
        <v>207</v>
      </c>
      <c r="C91" s="13">
        <v>46064</v>
      </c>
      <c r="D91" s="35" t="s">
        <v>107</v>
      </c>
      <c r="E91" s="35" t="s">
        <v>124</v>
      </c>
      <c r="F91" s="14" t="s">
        <v>125</v>
      </c>
      <c r="G91" s="15">
        <v>0</v>
      </c>
      <c r="H91" s="15">
        <v>13.890425</v>
      </c>
      <c r="I91" s="6">
        <v>10.009308475999999</v>
      </c>
      <c r="J91" s="15">
        <v>531.632848427</v>
      </c>
      <c r="K91" s="15">
        <v>20.081681333999999</v>
      </c>
      <c r="L91" s="15">
        <v>56.631365814940899</v>
      </c>
      <c r="M91" s="15">
        <v>18.265297260522999</v>
      </c>
      <c r="N91" s="15">
        <v>3.075459849</v>
      </c>
      <c r="O91" s="15">
        <v>2.5803867170000001</v>
      </c>
      <c r="P91" s="15">
        <v>83.902468043568305</v>
      </c>
      <c r="Q91" s="15">
        <v>7.8447251600000003</v>
      </c>
      <c r="R91" s="6">
        <v>10.009308475999999</v>
      </c>
      <c r="S91" s="15">
        <v>531.632848427</v>
      </c>
      <c r="T91" s="15">
        <v>20.081681333999999</v>
      </c>
      <c r="U91" s="15">
        <v>56.631365814940899</v>
      </c>
      <c r="V91" s="15">
        <v>18.265297260522999</v>
      </c>
      <c r="W91" s="15">
        <v>3.075459849</v>
      </c>
      <c r="X91" s="15">
        <v>2.5803867170000001</v>
      </c>
      <c r="Y91" s="15">
        <v>83.902468043568305</v>
      </c>
      <c r="Z91" s="15">
        <v>7.8447251600000003</v>
      </c>
      <c r="AA91" s="8">
        <f t="shared" si="11"/>
        <v>0</v>
      </c>
      <c r="AB91" s="15">
        <f t="shared" si="12"/>
        <v>0</v>
      </c>
      <c r="AC91" s="15">
        <f t="shared" si="13"/>
        <v>0</v>
      </c>
      <c r="AD91" s="15">
        <f t="shared" si="14"/>
        <v>0</v>
      </c>
      <c r="AE91" s="15">
        <f t="shared" si="15"/>
        <v>0</v>
      </c>
      <c r="AF91" s="15">
        <f t="shared" si="16"/>
        <v>0</v>
      </c>
      <c r="AG91" s="15">
        <f t="shared" si="17"/>
        <v>0</v>
      </c>
      <c r="AH91" s="15">
        <f t="shared" si="18"/>
        <v>0</v>
      </c>
      <c r="AI91" s="16">
        <f t="shared" si="19"/>
        <v>0</v>
      </c>
    </row>
    <row r="92" spans="2:35" x14ac:dyDescent="0.25">
      <c r="B92" t="s">
        <v>207</v>
      </c>
      <c r="C92" s="13">
        <v>46064</v>
      </c>
      <c r="D92" s="35" t="s">
        <v>107</v>
      </c>
      <c r="E92" s="35" t="s">
        <v>126</v>
      </c>
      <c r="F92" s="14" t="s">
        <v>127</v>
      </c>
      <c r="G92" s="15">
        <v>4.5062430000000004</v>
      </c>
      <c r="H92" s="15">
        <v>9.86</v>
      </c>
      <c r="I92" s="6">
        <v>7.9253145979999999</v>
      </c>
      <c r="J92" s="15">
        <v>405.36830718700003</v>
      </c>
      <c r="K92" s="15">
        <v>3.959782197</v>
      </c>
      <c r="L92" s="15">
        <v>-17.370753884381301</v>
      </c>
      <c r="M92" s="15">
        <v>2.9916264908722199</v>
      </c>
      <c r="N92" s="15">
        <v>3.075459849</v>
      </c>
      <c r="O92" s="15">
        <v>2.5803867170000001</v>
      </c>
      <c r="P92" s="15">
        <v>83.902468043568305</v>
      </c>
      <c r="Q92" s="15">
        <v>0</v>
      </c>
      <c r="R92" s="6">
        <v>7.9253145979999999</v>
      </c>
      <c r="S92" s="15">
        <v>405.36830718700003</v>
      </c>
      <c r="T92" s="15">
        <v>3.959782197</v>
      </c>
      <c r="U92" s="15">
        <v>-17.370753884381301</v>
      </c>
      <c r="V92" s="15">
        <v>2.9916264908722199</v>
      </c>
      <c r="W92" s="15">
        <v>3.075459849</v>
      </c>
      <c r="X92" s="15">
        <v>2.5803867170000001</v>
      </c>
      <c r="Y92" s="15">
        <v>83.902468043568305</v>
      </c>
      <c r="Z92" s="15">
        <v>0</v>
      </c>
      <c r="AA92" s="8">
        <f t="shared" si="11"/>
        <v>0</v>
      </c>
      <c r="AB92" s="15">
        <f t="shared" si="12"/>
        <v>0</v>
      </c>
      <c r="AC92" s="15">
        <f t="shared" si="13"/>
        <v>0</v>
      </c>
      <c r="AD92" s="15">
        <f t="shared" si="14"/>
        <v>0</v>
      </c>
      <c r="AE92" s="15">
        <f t="shared" si="15"/>
        <v>0</v>
      </c>
      <c r="AF92" s="15">
        <f t="shared" si="16"/>
        <v>0</v>
      </c>
      <c r="AG92" s="15">
        <f t="shared" si="17"/>
        <v>0</v>
      </c>
      <c r="AH92" s="15">
        <f t="shared" si="18"/>
        <v>0</v>
      </c>
      <c r="AI92" s="16">
        <f t="shared" si="19"/>
        <v>0</v>
      </c>
    </row>
    <row r="93" spans="2:35" x14ac:dyDescent="0.25">
      <c r="B93" t="s">
        <v>207</v>
      </c>
      <c r="C93" s="13">
        <v>46064</v>
      </c>
      <c r="D93" s="35" t="s">
        <v>107</v>
      </c>
      <c r="E93" s="35" t="s">
        <v>279</v>
      </c>
      <c r="F93" s="14" t="s">
        <v>280</v>
      </c>
      <c r="G93" s="15">
        <v>8.5105699999999995</v>
      </c>
      <c r="H93" s="15">
        <v>102.4511</v>
      </c>
      <c r="I93" s="6">
        <v>7.5740092399999996</v>
      </c>
      <c r="J93" s="15">
        <v>384.97201275999998</v>
      </c>
      <c r="K93" s="15">
        <v>5.0388888889999999</v>
      </c>
      <c r="L93" s="15">
        <v>3.8185075533595998</v>
      </c>
      <c r="M93" s="15">
        <v>4.0298238769520296</v>
      </c>
      <c r="N93" s="15">
        <v>2.618222899</v>
      </c>
      <c r="O93" s="15">
        <v>2.1920466599999999</v>
      </c>
      <c r="P93" s="15">
        <v>83.722690716562994</v>
      </c>
      <c r="Q93" s="15">
        <v>0</v>
      </c>
      <c r="R93" s="6">
        <v>7.5740092399999996</v>
      </c>
      <c r="S93" s="15">
        <v>384.97201275999998</v>
      </c>
      <c r="T93" s="15">
        <v>5.0388888889999999</v>
      </c>
      <c r="U93" s="15">
        <v>3.8185075533595998</v>
      </c>
      <c r="V93" s="15">
        <v>4.0298238769520296</v>
      </c>
      <c r="W93" s="15">
        <v>2.618222899</v>
      </c>
      <c r="X93" s="15">
        <v>2.1920466599999999</v>
      </c>
      <c r="Y93" s="15">
        <v>83.722690716562994</v>
      </c>
      <c r="Z93" s="15">
        <v>0</v>
      </c>
      <c r="AA93" s="8">
        <f t="shared" si="11"/>
        <v>0</v>
      </c>
      <c r="AB93" s="15">
        <f t="shared" si="12"/>
        <v>0</v>
      </c>
      <c r="AC93" s="15">
        <f t="shared" si="13"/>
        <v>0</v>
      </c>
      <c r="AD93" s="15">
        <f t="shared" si="14"/>
        <v>0</v>
      </c>
      <c r="AE93" s="15">
        <f t="shared" si="15"/>
        <v>0</v>
      </c>
      <c r="AF93" s="15">
        <f t="shared" si="16"/>
        <v>0</v>
      </c>
      <c r="AG93" s="15">
        <f t="shared" si="17"/>
        <v>0</v>
      </c>
      <c r="AH93" s="15">
        <f t="shared" si="18"/>
        <v>0</v>
      </c>
      <c r="AI93" s="16">
        <f t="shared" si="19"/>
        <v>0</v>
      </c>
    </row>
    <row r="94" spans="2:35" x14ac:dyDescent="0.25">
      <c r="B94" t="s">
        <v>207</v>
      </c>
      <c r="C94" s="13">
        <v>46064</v>
      </c>
      <c r="D94" s="35" t="s">
        <v>107</v>
      </c>
      <c r="E94" s="35" t="s">
        <v>128</v>
      </c>
      <c r="F94" s="14" t="s">
        <v>129</v>
      </c>
      <c r="G94" s="15">
        <v>8.5105699999999995</v>
      </c>
      <c r="H94" s="15">
        <v>87.292500000000004</v>
      </c>
      <c r="I94" s="6">
        <v>11.625988373</v>
      </c>
      <c r="J94" s="15">
        <v>790.39568025899996</v>
      </c>
      <c r="K94" s="15">
        <v>5.0388888889999999</v>
      </c>
      <c r="L94" s="15">
        <v>6.5836948729845099</v>
      </c>
      <c r="M94" s="15">
        <v>3.8702005647678899</v>
      </c>
      <c r="N94" s="15">
        <v>2.618222899</v>
      </c>
      <c r="O94" s="15">
        <v>2.1920466599999999</v>
      </c>
      <c r="P94" s="15">
        <v>83.722690716562994</v>
      </c>
      <c r="Q94" s="15">
        <v>0</v>
      </c>
      <c r="R94" s="6">
        <v>11.625988373</v>
      </c>
      <c r="S94" s="15">
        <v>790.39568025899996</v>
      </c>
      <c r="T94" s="15">
        <v>5.0388888889999999</v>
      </c>
      <c r="U94" s="15">
        <v>6.5836948729845099</v>
      </c>
      <c r="V94" s="15">
        <v>3.8702005647678899</v>
      </c>
      <c r="W94" s="15">
        <v>2.618222899</v>
      </c>
      <c r="X94" s="15">
        <v>2.1920466599999999</v>
      </c>
      <c r="Y94" s="15">
        <v>83.722690716562994</v>
      </c>
      <c r="Z94" s="15">
        <v>0</v>
      </c>
      <c r="AA94" s="8">
        <f t="shared" si="11"/>
        <v>0</v>
      </c>
      <c r="AB94" s="15">
        <f t="shared" si="12"/>
        <v>0</v>
      </c>
      <c r="AC94" s="15">
        <f t="shared" si="13"/>
        <v>0</v>
      </c>
      <c r="AD94" s="15">
        <f t="shared" si="14"/>
        <v>0</v>
      </c>
      <c r="AE94" s="15">
        <f t="shared" si="15"/>
        <v>0</v>
      </c>
      <c r="AF94" s="15">
        <f t="shared" si="16"/>
        <v>0</v>
      </c>
      <c r="AG94" s="15">
        <f t="shared" si="17"/>
        <v>0</v>
      </c>
      <c r="AH94" s="15">
        <f t="shared" si="18"/>
        <v>0</v>
      </c>
      <c r="AI94" s="16">
        <f t="shared" si="19"/>
        <v>0</v>
      </c>
    </row>
    <row r="95" spans="2:35" x14ac:dyDescent="0.25">
      <c r="B95" t="s">
        <v>207</v>
      </c>
      <c r="C95" s="13">
        <v>46064</v>
      </c>
      <c r="D95" s="35" t="s">
        <v>107</v>
      </c>
      <c r="E95" s="35" t="s">
        <v>130</v>
      </c>
      <c r="F95" s="14" t="s">
        <v>131</v>
      </c>
      <c r="G95" s="15">
        <v>2.0804800000000001</v>
      </c>
      <c r="H95" s="15">
        <v>4.78</v>
      </c>
      <c r="I95" s="6">
        <v>7.9804733260000003</v>
      </c>
      <c r="J95" s="15">
        <v>432.87544351899999</v>
      </c>
      <c r="K95" s="15">
        <v>3.061600163</v>
      </c>
      <c r="L95" s="15">
        <v>-16.5885205439331</v>
      </c>
      <c r="M95" s="15">
        <v>2.3951692887029199</v>
      </c>
      <c r="N95" s="15">
        <v>2.618222899</v>
      </c>
      <c r="O95" s="15">
        <v>2.1920466599999999</v>
      </c>
      <c r="P95" s="15">
        <v>83.722690716562994</v>
      </c>
      <c r="Q95" s="15">
        <v>0</v>
      </c>
      <c r="R95" s="6">
        <v>7.9804733260000003</v>
      </c>
      <c r="S95" s="15">
        <v>432.87544351899999</v>
      </c>
      <c r="T95" s="15">
        <v>3.061600163</v>
      </c>
      <c r="U95" s="15">
        <v>-16.5885205439331</v>
      </c>
      <c r="V95" s="15">
        <v>2.3951692887029199</v>
      </c>
      <c r="W95" s="15">
        <v>2.618222899</v>
      </c>
      <c r="X95" s="15">
        <v>2.1920466599999999</v>
      </c>
      <c r="Y95" s="15">
        <v>83.722690716562994</v>
      </c>
      <c r="Z95" s="15">
        <v>0</v>
      </c>
      <c r="AA95" s="8">
        <f t="shared" si="11"/>
        <v>0</v>
      </c>
      <c r="AB95" s="15">
        <f t="shared" si="12"/>
        <v>0</v>
      </c>
      <c r="AC95" s="15">
        <f t="shared" si="13"/>
        <v>0</v>
      </c>
      <c r="AD95" s="15">
        <f t="shared" si="14"/>
        <v>0</v>
      </c>
      <c r="AE95" s="15">
        <f t="shared" si="15"/>
        <v>0</v>
      </c>
      <c r="AF95" s="15">
        <f t="shared" si="16"/>
        <v>0</v>
      </c>
      <c r="AG95" s="15">
        <f t="shared" si="17"/>
        <v>0</v>
      </c>
      <c r="AH95" s="15">
        <f t="shared" si="18"/>
        <v>0</v>
      </c>
      <c r="AI95" s="16">
        <f t="shared" si="19"/>
        <v>0</v>
      </c>
    </row>
    <row r="96" spans="2:35" x14ac:dyDescent="0.25">
      <c r="B96" t="s">
        <v>207</v>
      </c>
      <c r="C96" s="13">
        <v>46064</v>
      </c>
      <c r="D96" s="35" t="s">
        <v>107</v>
      </c>
      <c r="E96" s="35" t="s">
        <v>281</v>
      </c>
      <c r="F96" s="14" t="s">
        <v>282</v>
      </c>
      <c r="G96" s="15">
        <v>6.0869999999999997</v>
      </c>
      <c r="H96" s="15">
        <v>101.02652999999999</v>
      </c>
      <c r="I96" s="6">
        <v>5.5252684079999996</v>
      </c>
      <c r="J96" s="15">
        <v>198.78452070099999</v>
      </c>
      <c r="K96" s="15">
        <v>2.4555555560000002</v>
      </c>
      <c r="L96" s="15">
        <v>2.235894489299</v>
      </c>
      <c r="M96" s="15">
        <v>2.235894489299</v>
      </c>
      <c r="N96" s="15">
        <v>0</v>
      </c>
      <c r="O96" s="15">
        <v>0</v>
      </c>
      <c r="P96" s="15" t="s">
        <v>248</v>
      </c>
      <c r="Q96" s="15">
        <v>0</v>
      </c>
      <c r="R96" s="6">
        <v>5.5252684079999996</v>
      </c>
      <c r="S96" s="15">
        <v>198.78452070099999</v>
      </c>
      <c r="T96" s="15">
        <v>2.4555555560000002</v>
      </c>
      <c r="U96" s="15">
        <v>2.235894489299</v>
      </c>
      <c r="V96" s="15">
        <v>2.235894489299</v>
      </c>
      <c r="W96" s="15">
        <v>0</v>
      </c>
      <c r="X96" s="15">
        <v>0</v>
      </c>
      <c r="Y96" s="15" t="s">
        <v>248</v>
      </c>
      <c r="Z96" s="15">
        <v>0</v>
      </c>
      <c r="AA96" s="8">
        <f t="shared" si="11"/>
        <v>0</v>
      </c>
      <c r="AB96" s="15">
        <f t="shared" si="12"/>
        <v>0</v>
      </c>
      <c r="AC96" s="15">
        <f t="shared" si="13"/>
        <v>0</v>
      </c>
      <c r="AD96" s="15">
        <f t="shared" si="14"/>
        <v>0</v>
      </c>
      <c r="AE96" s="15">
        <f t="shared" si="15"/>
        <v>0</v>
      </c>
      <c r="AF96" s="15">
        <f t="shared" si="16"/>
        <v>0</v>
      </c>
      <c r="AG96" s="15">
        <f t="shared" si="17"/>
        <v>0</v>
      </c>
      <c r="AH96" s="15" t="e">
        <f t="shared" si="18"/>
        <v>#VALUE!</v>
      </c>
      <c r="AI96" s="16">
        <f t="shared" si="19"/>
        <v>0</v>
      </c>
    </row>
    <row r="97" spans="2:35" x14ac:dyDescent="0.25">
      <c r="B97" t="s">
        <v>207</v>
      </c>
      <c r="C97" s="13">
        <v>46064</v>
      </c>
      <c r="D97" s="35" t="s">
        <v>107</v>
      </c>
      <c r="E97" s="35" t="s">
        <v>132</v>
      </c>
      <c r="F97" s="14" t="s">
        <v>133</v>
      </c>
      <c r="G97" s="15">
        <v>0</v>
      </c>
      <c r="H97" s="15">
        <v>13.939120000000001</v>
      </c>
      <c r="I97" s="6">
        <v>9.9332979669999997</v>
      </c>
      <c r="J97" s="15">
        <v>524.42551952700001</v>
      </c>
      <c r="K97" s="15">
        <v>20.090477232000001</v>
      </c>
      <c r="L97" s="15">
        <v>58.714277744936503</v>
      </c>
      <c r="M97" s="15">
        <v>18.2111059234729</v>
      </c>
      <c r="N97" s="15">
        <v>3.062691112</v>
      </c>
      <c r="O97" s="15">
        <v>2.5708335259999999</v>
      </c>
      <c r="P97" s="15">
        <v>83.940346315929702</v>
      </c>
      <c r="Q97" s="15">
        <v>9.1658938009999993</v>
      </c>
      <c r="R97" s="6">
        <v>9.9332979669999997</v>
      </c>
      <c r="S97" s="15">
        <v>524.42551952700001</v>
      </c>
      <c r="T97" s="15">
        <v>20.090477232000001</v>
      </c>
      <c r="U97" s="15">
        <v>58.714277744936503</v>
      </c>
      <c r="V97" s="15">
        <v>18.2111059234729</v>
      </c>
      <c r="W97" s="15">
        <v>3.062691112</v>
      </c>
      <c r="X97" s="15">
        <v>2.5708335259999999</v>
      </c>
      <c r="Y97" s="15">
        <v>83.940346315929702</v>
      </c>
      <c r="Z97" s="15">
        <v>9.1658938009999993</v>
      </c>
      <c r="AA97" s="8">
        <f t="shared" si="11"/>
        <v>0</v>
      </c>
      <c r="AB97" s="15">
        <f t="shared" si="12"/>
        <v>0</v>
      </c>
      <c r="AC97" s="15">
        <f t="shared" si="13"/>
        <v>0</v>
      </c>
      <c r="AD97" s="15">
        <f t="shared" si="14"/>
        <v>0</v>
      </c>
      <c r="AE97" s="15">
        <f t="shared" si="15"/>
        <v>0</v>
      </c>
      <c r="AF97" s="15">
        <f t="shared" si="16"/>
        <v>0</v>
      </c>
      <c r="AG97" s="15">
        <f t="shared" si="17"/>
        <v>0</v>
      </c>
      <c r="AH97" s="15">
        <f t="shared" si="18"/>
        <v>0</v>
      </c>
      <c r="AI97" s="16">
        <f t="shared" si="19"/>
        <v>0</v>
      </c>
    </row>
    <row r="98" spans="2:35" x14ac:dyDescent="0.25">
      <c r="B98" t="s">
        <v>207</v>
      </c>
      <c r="C98" s="13">
        <v>46064</v>
      </c>
      <c r="D98" s="35" t="s">
        <v>107</v>
      </c>
      <c r="E98" s="35" t="s">
        <v>134</v>
      </c>
      <c r="F98" s="14" t="s">
        <v>135</v>
      </c>
      <c r="G98" s="15">
        <v>4.3139269999999996</v>
      </c>
      <c r="H98" s="15">
        <v>9.2073999999999998</v>
      </c>
      <c r="I98" s="6">
        <v>8.5211628929999996</v>
      </c>
      <c r="J98" s="15">
        <v>465.11775760500001</v>
      </c>
      <c r="K98" s="15">
        <v>4.0177314949999996</v>
      </c>
      <c r="L98" s="15">
        <v>-16.7106773899255</v>
      </c>
      <c r="M98" s="15">
        <v>2.9966984925168898</v>
      </c>
      <c r="N98" s="15">
        <v>3.062691112</v>
      </c>
      <c r="O98" s="15">
        <v>2.5708335259999999</v>
      </c>
      <c r="P98" s="15">
        <v>83.940346315929702</v>
      </c>
      <c r="Q98" s="15">
        <v>0</v>
      </c>
      <c r="R98" s="6">
        <v>8.5211628929999996</v>
      </c>
      <c r="S98" s="15">
        <v>465.11775760500001</v>
      </c>
      <c r="T98" s="15">
        <v>4.0177314949999996</v>
      </c>
      <c r="U98" s="15">
        <v>-16.7106773899255</v>
      </c>
      <c r="V98" s="15">
        <v>2.9966984925168898</v>
      </c>
      <c r="W98" s="15">
        <v>3.062691112</v>
      </c>
      <c r="X98" s="15">
        <v>2.5708335259999999</v>
      </c>
      <c r="Y98" s="15">
        <v>83.940346315929702</v>
      </c>
      <c r="Z98" s="15">
        <v>0</v>
      </c>
      <c r="AA98" s="8">
        <f t="shared" si="11"/>
        <v>0</v>
      </c>
      <c r="AB98" s="15">
        <f t="shared" si="12"/>
        <v>0</v>
      </c>
      <c r="AC98" s="15">
        <f t="shared" si="13"/>
        <v>0</v>
      </c>
      <c r="AD98" s="15">
        <f t="shared" si="14"/>
        <v>0</v>
      </c>
      <c r="AE98" s="15">
        <f t="shared" si="15"/>
        <v>0</v>
      </c>
      <c r="AF98" s="15">
        <f t="shared" si="16"/>
        <v>0</v>
      </c>
      <c r="AG98" s="15">
        <f t="shared" si="17"/>
        <v>0</v>
      </c>
      <c r="AH98" s="15">
        <f t="shared" si="18"/>
        <v>0</v>
      </c>
      <c r="AI98" s="16">
        <f t="shared" si="19"/>
        <v>0</v>
      </c>
    </row>
    <row r="99" spans="2:35" x14ac:dyDescent="0.25">
      <c r="B99" t="s">
        <v>207</v>
      </c>
      <c r="C99" s="13">
        <v>46064</v>
      </c>
      <c r="D99" s="35" t="s">
        <v>107</v>
      </c>
      <c r="E99" s="35" t="s">
        <v>283</v>
      </c>
      <c r="F99" s="14" t="s">
        <v>284</v>
      </c>
      <c r="G99" s="15">
        <v>7.8959999999999999</v>
      </c>
      <c r="H99" s="15">
        <v>100.257965</v>
      </c>
      <c r="I99" s="6">
        <v>7.8775899909999998</v>
      </c>
      <c r="J99" s="15">
        <v>398.06791336200001</v>
      </c>
      <c r="K99" s="15">
        <v>7.0388888889999999</v>
      </c>
      <c r="L99" s="15">
        <v>5.7102849933169999</v>
      </c>
      <c r="M99" s="15">
        <v>5.24333739369236</v>
      </c>
      <c r="N99" s="15">
        <v>2.2721860490000001</v>
      </c>
      <c r="O99" s="15">
        <v>1.910851732</v>
      </c>
      <c r="P99" s="15">
        <v>84.097503056185701</v>
      </c>
      <c r="Q99" s="15">
        <v>0</v>
      </c>
      <c r="R99" s="6">
        <v>7.8775899909999998</v>
      </c>
      <c r="S99" s="15">
        <v>398.06791336200001</v>
      </c>
      <c r="T99" s="15">
        <v>7.0388888889999999</v>
      </c>
      <c r="U99" s="15">
        <v>5.7102849933169999</v>
      </c>
      <c r="V99" s="15">
        <v>5.24333739369236</v>
      </c>
      <c r="W99" s="15">
        <v>2.2721860490000001</v>
      </c>
      <c r="X99" s="15">
        <v>1.910851732</v>
      </c>
      <c r="Y99" s="15">
        <v>84.097503056185701</v>
      </c>
      <c r="Z99" s="15">
        <v>0</v>
      </c>
      <c r="AA99" s="8">
        <f t="shared" si="11"/>
        <v>0</v>
      </c>
      <c r="AB99" s="15">
        <f t="shared" si="12"/>
        <v>0</v>
      </c>
      <c r="AC99" s="15">
        <f t="shared" si="13"/>
        <v>0</v>
      </c>
      <c r="AD99" s="15">
        <f t="shared" si="14"/>
        <v>0</v>
      </c>
      <c r="AE99" s="15">
        <f t="shared" si="15"/>
        <v>0</v>
      </c>
      <c r="AF99" s="15">
        <f t="shared" si="16"/>
        <v>0</v>
      </c>
      <c r="AG99" s="15">
        <f t="shared" si="17"/>
        <v>0</v>
      </c>
      <c r="AH99" s="15">
        <f t="shared" si="18"/>
        <v>0</v>
      </c>
      <c r="AI99" s="16">
        <f t="shared" si="19"/>
        <v>0</v>
      </c>
    </row>
    <row r="100" spans="2:35" x14ac:dyDescent="0.25">
      <c r="B100" t="s">
        <v>207</v>
      </c>
      <c r="C100" s="13">
        <v>46064</v>
      </c>
      <c r="D100" s="35" t="s">
        <v>107</v>
      </c>
      <c r="E100" s="35" t="s">
        <v>136</v>
      </c>
      <c r="F100" s="14" t="s">
        <v>137</v>
      </c>
      <c r="G100" s="15">
        <v>4.3337060000000003</v>
      </c>
      <c r="H100" s="15">
        <v>163.4975</v>
      </c>
      <c r="I100" s="6">
        <v>11.989046622</v>
      </c>
      <c r="J100" s="15">
        <v>822.54461931499998</v>
      </c>
      <c r="K100" s="15">
        <v>4.658576922</v>
      </c>
      <c r="L100" s="15">
        <v>-2.49138142173428</v>
      </c>
      <c r="M100" s="15">
        <v>2.3959085845349199</v>
      </c>
      <c r="N100" s="15">
        <v>2.4006868589999999</v>
      </c>
      <c r="O100" s="15">
        <v>1.9951091599999999</v>
      </c>
      <c r="P100" s="15">
        <v>83.105764190797402</v>
      </c>
      <c r="Q100" s="15">
        <v>25.82216158</v>
      </c>
      <c r="R100" s="6">
        <v>11.989046622</v>
      </c>
      <c r="S100" s="15">
        <v>822.54461931499998</v>
      </c>
      <c r="T100" s="15">
        <v>4.658576922</v>
      </c>
      <c r="U100" s="15">
        <v>-2.49138142173428</v>
      </c>
      <c r="V100" s="15">
        <v>2.3959085845349199</v>
      </c>
      <c r="W100" s="15">
        <v>2.4006868589999999</v>
      </c>
      <c r="X100" s="15">
        <v>1.9951091599999999</v>
      </c>
      <c r="Y100" s="15">
        <v>83.105764190797402</v>
      </c>
      <c r="Z100" s="15">
        <v>25.82216158</v>
      </c>
      <c r="AA100" s="8">
        <f t="shared" si="11"/>
        <v>0</v>
      </c>
      <c r="AB100" s="15">
        <f t="shared" si="12"/>
        <v>0</v>
      </c>
      <c r="AC100" s="15">
        <f t="shared" si="13"/>
        <v>0</v>
      </c>
      <c r="AD100" s="15">
        <f t="shared" si="14"/>
        <v>0</v>
      </c>
      <c r="AE100" s="15">
        <f t="shared" si="15"/>
        <v>0</v>
      </c>
      <c r="AF100" s="15">
        <f t="shared" si="16"/>
        <v>0</v>
      </c>
      <c r="AG100" s="15">
        <f t="shared" si="17"/>
        <v>0</v>
      </c>
      <c r="AH100" s="15">
        <f t="shared" si="18"/>
        <v>0</v>
      </c>
      <c r="AI100" s="16">
        <f t="shared" si="19"/>
        <v>0</v>
      </c>
    </row>
    <row r="101" spans="2:35" x14ac:dyDescent="0.25">
      <c r="B101" t="s">
        <v>207</v>
      </c>
      <c r="C101" s="13">
        <v>46064</v>
      </c>
      <c r="D101" s="35" t="s">
        <v>107</v>
      </c>
      <c r="E101" s="35" t="s">
        <v>138</v>
      </c>
      <c r="F101" s="14" t="s">
        <v>139</v>
      </c>
      <c r="G101" s="15">
        <v>5.1593999999999998</v>
      </c>
      <c r="H101" s="15">
        <v>275.98269499999998</v>
      </c>
      <c r="I101" s="6">
        <v>13.555251753</v>
      </c>
      <c r="J101" s="15">
        <v>975.77692532599997</v>
      </c>
      <c r="K101" s="15">
        <v>6.94522189</v>
      </c>
      <c r="L101" s="15">
        <v>-9.9941922681057793</v>
      </c>
      <c r="M101" s="15">
        <v>2.3626240811946499</v>
      </c>
      <c r="N101" s="15">
        <v>1.9127048579999999</v>
      </c>
      <c r="O101" s="15">
        <v>1.5777209969999999</v>
      </c>
      <c r="P101" s="15">
        <v>82.486379976559903</v>
      </c>
      <c r="Q101" s="15">
        <v>30.100171463999999</v>
      </c>
      <c r="R101" s="6">
        <v>13.555251753</v>
      </c>
      <c r="S101" s="15">
        <v>975.77692532599997</v>
      </c>
      <c r="T101" s="15">
        <v>6.94522189</v>
      </c>
      <c r="U101" s="15">
        <v>-9.9941922681057793</v>
      </c>
      <c r="V101" s="15">
        <v>2.3626240811946499</v>
      </c>
      <c r="W101" s="15">
        <v>1.9127048579999999</v>
      </c>
      <c r="X101" s="15">
        <v>1.5777209969999999</v>
      </c>
      <c r="Y101" s="15">
        <v>82.486379976559903</v>
      </c>
      <c r="Z101" s="15">
        <v>30.100171463999999</v>
      </c>
      <c r="AA101" s="8">
        <f t="shared" si="11"/>
        <v>0</v>
      </c>
      <c r="AB101" s="15">
        <f t="shared" si="12"/>
        <v>0</v>
      </c>
      <c r="AC101" s="15">
        <f t="shared" si="13"/>
        <v>0</v>
      </c>
      <c r="AD101" s="15">
        <f t="shared" si="14"/>
        <v>0</v>
      </c>
      <c r="AE101" s="15">
        <f t="shared" si="15"/>
        <v>0</v>
      </c>
      <c r="AF101" s="15">
        <f t="shared" si="16"/>
        <v>0</v>
      </c>
      <c r="AG101" s="15">
        <f t="shared" si="17"/>
        <v>0</v>
      </c>
      <c r="AH101" s="15">
        <f t="shared" si="18"/>
        <v>0</v>
      </c>
      <c r="AI101" s="16">
        <f t="shared" si="19"/>
        <v>0</v>
      </c>
    </row>
    <row r="102" spans="2:35" x14ac:dyDescent="0.25">
      <c r="B102" t="s">
        <v>207</v>
      </c>
      <c r="C102" s="13">
        <v>46064</v>
      </c>
      <c r="D102" s="35" t="s">
        <v>107</v>
      </c>
      <c r="E102" s="35" t="s">
        <v>203</v>
      </c>
      <c r="F102" s="14" t="s">
        <v>204</v>
      </c>
      <c r="G102" s="15">
        <v>7.7359999999999998</v>
      </c>
      <c r="H102" s="15">
        <v>101.75190000000001</v>
      </c>
      <c r="I102" s="6">
        <v>7.4783451059999999</v>
      </c>
      <c r="J102" s="15">
        <v>350.969584785</v>
      </c>
      <c r="K102" s="15">
        <v>8.1222222219999995</v>
      </c>
      <c r="L102" s="15">
        <v>6.2525507189546303</v>
      </c>
      <c r="M102" s="15">
        <v>5.8800396523308196</v>
      </c>
      <c r="N102" s="15">
        <v>1.197372342</v>
      </c>
      <c r="O102" s="15">
        <v>0.97732411600000002</v>
      </c>
      <c r="P102" s="15">
        <v>81.6224061403951</v>
      </c>
      <c r="Q102" s="15">
        <v>0</v>
      </c>
      <c r="R102" s="6">
        <v>7.4783451059999999</v>
      </c>
      <c r="S102" s="15">
        <v>350.969584785</v>
      </c>
      <c r="T102" s="15">
        <v>8.1222222219999995</v>
      </c>
      <c r="U102" s="15">
        <v>6.2525507189546303</v>
      </c>
      <c r="V102" s="15">
        <v>5.8800396523308196</v>
      </c>
      <c r="W102" s="15">
        <v>1.197372342</v>
      </c>
      <c r="X102" s="15">
        <v>0.97732411600000002</v>
      </c>
      <c r="Y102" s="15">
        <v>81.6224061403951</v>
      </c>
      <c r="Z102" s="15">
        <v>0</v>
      </c>
      <c r="AA102" s="8">
        <f t="shared" si="11"/>
        <v>0</v>
      </c>
      <c r="AB102" s="15">
        <f t="shared" si="12"/>
        <v>0</v>
      </c>
      <c r="AC102" s="15">
        <f t="shared" si="13"/>
        <v>0</v>
      </c>
      <c r="AD102" s="15">
        <f t="shared" si="14"/>
        <v>0</v>
      </c>
      <c r="AE102" s="15">
        <f t="shared" si="15"/>
        <v>0</v>
      </c>
      <c r="AF102" s="15">
        <f t="shared" si="16"/>
        <v>0</v>
      </c>
      <c r="AG102" s="15">
        <f t="shared" si="17"/>
        <v>0</v>
      </c>
      <c r="AH102" s="15">
        <f t="shared" si="18"/>
        <v>0</v>
      </c>
      <c r="AI102" s="16">
        <f t="shared" si="19"/>
        <v>0</v>
      </c>
    </row>
    <row r="103" spans="2:35" x14ac:dyDescent="0.25">
      <c r="B103" t="s">
        <v>207</v>
      </c>
      <c r="C103" s="13">
        <v>46064</v>
      </c>
      <c r="D103" s="35" t="s">
        <v>107</v>
      </c>
      <c r="E103" s="35" t="s">
        <v>205</v>
      </c>
      <c r="F103" s="14" t="s">
        <v>206</v>
      </c>
      <c r="G103" s="15">
        <v>8.9</v>
      </c>
      <c r="H103" s="15">
        <v>100.36409</v>
      </c>
      <c r="I103" s="6">
        <v>8.8958290649999991</v>
      </c>
      <c r="J103" s="15">
        <v>493.86748389899998</v>
      </c>
      <c r="K103" s="15">
        <v>8.1222222219999995</v>
      </c>
      <c r="L103" s="15">
        <v>6.1872945313408501</v>
      </c>
      <c r="M103" s="15">
        <v>5.5943173997791398</v>
      </c>
      <c r="N103" s="15">
        <v>1.197372342</v>
      </c>
      <c r="O103" s="15">
        <v>0.97732411600000002</v>
      </c>
      <c r="P103" s="15">
        <v>81.6224061403951</v>
      </c>
      <c r="Q103" s="15">
        <v>0</v>
      </c>
      <c r="R103" s="6">
        <v>8.8958290649999991</v>
      </c>
      <c r="S103" s="15">
        <v>493.86748389899998</v>
      </c>
      <c r="T103" s="15">
        <v>8.1222222219999995</v>
      </c>
      <c r="U103" s="15">
        <v>6.1872945313408501</v>
      </c>
      <c r="V103" s="15">
        <v>5.5943173997791398</v>
      </c>
      <c r="W103" s="15">
        <v>1.197372342</v>
      </c>
      <c r="X103" s="15">
        <v>0.97732411600000002</v>
      </c>
      <c r="Y103" s="15">
        <v>81.6224061403951</v>
      </c>
      <c r="Z103" s="15">
        <v>0</v>
      </c>
      <c r="AA103" s="8">
        <f t="shared" si="11"/>
        <v>0</v>
      </c>
      <c r="AB103" s="15">
        <f t="shared" si="12"/>
        <v>0</v>
      </c>
      <c r="AC103" s="15">
        <f t="shared" si="13"/>
        <v>0</v>
      </c>
      <c r="AD103" s="15">
        <f t="shared" si="14"/>
        <v>0</v>
      </c>
      <c r="AE103" s="15">
        <f t="shared" si="15"/>
        <v>0</v>
      </c>
      <c r="AF103" s="15">
        <f t="shared" si="16"/>
        <v>0</v>
      </c>
      <c r="AG103" s="15">
        <f t="shared" si="17"/>
        <v>0</v>
      </c>
      <c r="AH103" s="15">
        <f t="shared" si="18"/>
        <v>0</v>
      </c>
      <c r="AI103" s="16">
        <f t="shared" si="19"/>
        <v>0</v>
      </c>
    </row>
    <row r="104" spans="2:35" x14ac:dyDescent="0.25">
      <c r="B104" t="s">
        <v>207</v>
      </c>
      <c r="C104" s="13">
        <v>46064</v>
      </c>
      <c r="D104" s="35" t="s">
        <v>107</v>
      </c>
      <c r="E104" s="35" t="s">
        <v>285</v>
      </c>
      <c r="F104" s="14" t="s">
        <v>286</v>
      </c>
      <c r="G104" s="15">
        <v>5.0713400000000002</v>
      </c>
      <c r="H104" s="15">
        <v>100.25</v>
      </c>
      <c r="I104" s="6">
        <v>4.6467688750000002</v>
      </c>
      <c r="J104" s="15">
        <v>109.875449385</v>
      </c>
      <c r="K104" s="15">
        <v>1.756458565</v>
      </c>
      <c r="L104" s="15">
        <v>3.0850877805479002E-2</v>
      </c>
      <c r="M104" s="15">
        <v>1.64433425436409</v>
      </c>
      <c r="N104" s="15">
        <v>0.24829717700000001</v>
      </c>
      <c r="O104" s="15">
        <v>0.20505063200000001</v>
      </c>
      <c r="P104" s="15">
        <v>82.582748010864407</v>
      </c>
      <c r="Q104" s="15">
        <v>0</v>
      </c>
      <c r="R104" s="6">
        <v>4.6467688750000002</v>
      </c>
      <c r="S104" s="15">
        <v>109.875449385</v>
      </c>
      <c r="T104" s="15">
        <v>1.756458565</v>
      </c>
      <c r="U104" s="15">
        <v>3.0850877805479002E-2</v>
      </c>
      <c r="V104" s="15">
        <v>1.64433425436409</v>
      </c>
      <c r="W104" s="15">
        <v>0.24829717700000001</v>
      </c>
      <c r="X104" s="15">
        <v>0.20505063200000001</v>
      </c>
      <c r="Y104" s="15">
        <v>82.582748010864407</v>
      </c>
      <c r="Z104" s="15">
        <v>0</v>
      </c>
      <c r="AA104" s="8">
        <f t="shared" si="11"/>
        <v>0</v>
      </c>
      <c r="AB104" s="15">
        <f t="shared" si="12"/>
        <v>0</v>
      </c>
      <c r="AC104" s="15">
        <f t="shared" si="13"/>
        <v>0</v>
      </c>
      <c r="AD104" s="15">
        <f t="shared" si="14"/>
        <v>0</v>
      </c>
      <c r="AE104" s="15">
        <f t="shared" si="15"/>
        <v>0</v>
      </c>
      <c r="AF104" s="15">
        <f t="shared" si="16"/>
        <v>0</v>
      </c>
      <c r="AG104" s="15">
        <f t="shared" si="17"/>
        <v>0</v>
      </c>
      <c r="AH104" s="15">
        <f t="shared" si="18"/>
        <v>0</v>
      </c>
      <c r="AI104" s="16">
        <f t="shared" si="19"/>
        <v>0</v>
      </c>
    </row>
    <row r="105" spans="2:35" x14ac:dyDescent="0.25">
      <c r="B105" t="s">
        <v>207</v>
      </c>
      <c r="C105" s="13">
        <v>46064</v>
      </c>
      <c r="D105" s="35" t="s">
        <v>107</v>
      </c>
      <c r="E105" s="35" t="s">
        <v>287</v>
      </c>
      <c r="F105" s="14" t="s">
        <v>288</v>
      </c>
      <c r="G105" s="15">
        <v>1</v>
      </c>
      <c r="H105" s="15">
        <v>1.6850000000000001</v>
      </c>
      <c r="I105" s="6">
        <v>4.3602163100000002</v>
      </c>
      <c r="J105" s="15">
        <v>83.435521883999996</v>
      </c>
      <c r="K105" s="15">
        <v>1.7565582689999999</v>
      </c>
      <c r="L105" s="15">
        <v>1.2067220771513201</v>
      </c>
      <c r="M105" s="15">
        <v>1.2105498516320501</v>
      </c>
      <c r="N105" s="15">
        <v>0.24829717700000001</v>
      </c>
      <c r="O105" s="15">
        <v>0.20505063200000001</v>
      </c>
      <c r="P105" s="15">
        <v>82.582748010864407</v>
      </c>
      <c r="Q105" s="15">
        <v>0</v>
      </c>
      <c r="R105" s="6">
        <v>4.3602163100000002</v>
      </c>
      <c r="S105" s="15">
        <v>83.435521883999996</v>
      </c>
      <c r="T105" s="15">
        <v>1.7565582689999999</v>
      </c>
      <c r="U105" s="15">
        <v>1.2067220771513201</v>
      </c>
      <c r="V105" s="15">
        <v>1.2105498516320501</v>
      </c>
      <c r="W105" s="15">
        <v>0.24829717700000001</v>
      </c>
      <c r="X105" s="15">
        <v>0.20505063200000001</v>
      </c>
      <c r="Y105" s="15">
        <v>82.582748010864407</v>
      </c>
      <c r="Z105" s="15">
        <v>0</v>
      </c>
      <c r="AA105" s="8">
        <f t="shared" si="11"/>
        <v>0</v>
      </c>
      <c r="AB105" s="15">
        <f t="shared" si="12"/>
        <v>0</v>
      </c>
      <c r="AC105" s="15">
        <f t="shared" si="13"/>
        <v>0</v>
      </c>
      <c r="AD105" s="15">
        <f t="shared" si="14"/>
        <v>0</v>
      </c>
      <c r="AE105" s="15">
        <f t="shared" si="15"/>
        <v>0</v>
      </c>
      <c r="AF105" s="15">
        <f t="shared" si="16"/>
        <v>0</v>
      </c>
      <c r="AG105" s="15">
        <f t="shared" si="17"/>
        <v>0</v>
      </c>
      <c r="AH105" s="15">
        <f t="shared" si="18"/>
        <v>0</v>
      </c>
      <c r="AI105" s="16">
        <f t="shared" si="19"/>
        <v>0</v>
      </c>
    </row>
    <row r="106" spans="2:35" x14ac:dyDescent="0.25">
      <c r="B106" t="s">
        <v>207</v>
      </c>
      <c r="C106" s="13">
        <v>46064</v>
      </c>
      <c r="D106" s="35" t="s">
        <v>107</v>
      </c>
      <c r="E106" s="35" t="s">
        <v>289</v>
      </c>
      <c r="F106" s="14" t="s">
        <v>290</v>
      </c>
      <c r="G106" s="15">
        <v>7.12134</v>
      </c>
      <c r="H106" s="15">
        <v>100.125</v>
      </c>
      <c r="I106" s="6">
        <v>6.8152764709999998</v>
      </c>
      <c r="J106" s="15">
        <v>324.92576138800001</v>
      </c>
      <c r="K106" s="15">
        <v>2.9555555560000002</v>
      </c>
      <c r="L106" s="15">
        <v>-1.5966103370779E-2</v>
      </c>
      <c r="M106" s="15">
        <v>2.6298357942571702</v>
      </c>
      <c r="N106" s="15">
        <v>0.24829717700000001</v>
      </c>
      <c r="O106" s="15">
        <v>0.20505063200000001</v>
      </c>
      <c r="P106" s="15">
        <v>82.582748010864407</v>
      </c>
      <c r="Q106" s="15">
        <v>0</v>
      </c>
      <c r="R106" s="6">
        <v>6.8152764709999998</v>
      </c>
      <c r="S106" s="15">
        <v>324.92576138800001</v>
      </c>
      <c r="T106" s="15">
        <v>2.9555555560000002</v>
      </c>
      <c r="U106" s="15">
        <v>-1.5966103370779E-2</v>
      </c>
      <c r="V106" s="15">
        <v>2.6298357942571702</v>
      </c>
      <c r="W106" s="15">
        <v>0.24829717700000001</v>
      </c>
      <c r="X106" s="15">
        <v>0.20505063200000001</v>
      </c>
      <c r="Y106" s="15">
        <v>82.582748010864407</v>
      </c>
      <c r="Z106" s="15">
        <v>0</v>
      </c>
      <c r="AA106" s="8">
        <f t="shared" si="11"/>
        <v>0</v>
      </c>
      <c r="AB106" s="15">
        <f t="shared" si="12"/>
        <v>0</v>
      </c>
      <c r="AC106" s="15">
        <f t="shared" si="13"/>
        <v>0</v>
      </c>
      <c r="AD106" s="15">
        <f t="shared" si="14"/>
        <v>0</v>
      </c>
      <c r="AE106" s="15">
        <f t="shared" si="15"/>
        <v>0</v>
      </c>
      <c r="AF106" s="15">
        <f t="shared" si="16"/>
        <v>0</v>
      </c>
      <c r="AG106" s="15">
        <f t="shared" si="17"/>
        <v>0</v>
      </c>
      <c r="AH106" s="15">
        <f t="shared" si="18"/>
        <v>0</v>
      </c>
      <c r="AI106" s="16">
        <f t="shared" si="19"/>
        <v>0</v>
      </c>
    </row>
    <row r="107" spans="2:35" x14ac:dyDescent="0.25">
      <c r="B107" t="s">
        <v>207</v>
      </c>
      <c r="C107" s="13">
        <v>46064</v>
      </c>
      <c r="D107" s="35" t="s">
        <v>107</v>
      </c>
      <c r="E107" s="35" t="s">
        <v>291</v>
      </c>
      <c r="F107" s="14" t="s">
        <v>292</v>
      </c>
      <c r="G107" s="15">
        <v>6.12134</v>
      </c>
      <c r="H107" s="15">
        <v>100</v>
      </c>
      <c r="I107" s="6">
        <v>5.8389459329999998</v>
      </c>
      <c r="J107" s="15">
        <v>228.565987183</v>
      </c>
      <c r="K107" s="15">
        <v>2.6206568049999999</v>
      </c>
      <c r="L107" s="15">
        <v>-2.7998099999138E-4</v>
      </c>
      <c r="M107" s="15">
        <v>2.3907665059999901</v>
      </c>
      <c r="N107" s="15">
        <v>0.24829717700000001</v>
      </c>
      <c r="O107" s="15">
        <v>0.20505063200000001</v>
      </c>
      <c r="P107" s="15">
        <v>82.582748010864407</v>
      </c>
      <c r="Q107" s="15">
        <v>0</v>
      </c>
      <c r="R107" s="6">
        <v>5.8389459329999998</v>
      </c>
      <c r="S107" s="15">
        <v>228.565987183</v>
      </c>
      <c r="T107" s="15">
        <v>2.6206568049999999</v>
      </c>
      <c r="U107" s="15">
        <v>-2.7998099999138E-4</v>
      </c>
      <c r="V107" s="15">
        <v>2.3907665059999901</v>
      </c>
      <c r="W107" s="15">
        <v>0.24829717700000001</v>
      </c>
      <c r="X107" s="15">
        <v>0.20505063200000001</v>
      </c>
      <c r="Y107" s="15">
        <v>82.582748010864407</v>
      </c>
      <c r="Z107" s="15">
        <v>0</v>
      </c>
      <c r="AA107" s="8">
        <f t="shared" si="11"/>
        <v>0</v>
      </c>
      <c r="AB107" s="15">
        <f t="shared" si="12"/>
        <v>0</v>
      </c>
      <c r="AC107" s="15">
        <f t="shared" si="13"/>
        <v>0</v>
      </c>
      <c r="AD107" s="15">
        <f t="shared" si="14"/>
        <v>0</v>
      </c>
      <c r="AE107" s="15">
        <f t="shared" si="15"/>
        <v>0</v>
      </c>
      <c r="AF107" s="15">
        <f t="shared" si="16"/>
        <v>0</v>
      </c>
      <c r="AG107" s="15">
        <f t="shared" si="17"/>
        <v>0</v>
      </c>
      <c r="AH107" s="15">
        <f t="shared" si="18"/>
        <v>0</v>
      </c>
      <c r="AI107" s="16">
        <f t="shared" si="19"/>
        <v>0</v>
      </c>
    </row>
    <row r="108" spans="2:35" x14ac:dyDescent="0.25">
      <c r="B108" t="s">
        <v>207</v>
      </c>
      <c r="C108" s="13">
        <v>46064</v>
      </c>
      <c r="D108" s="35" t="s">
        <v>107</v>
      </c>
      <c r="E108" s="35" t="s">
        <v>180</v>
      </c>
      <c r="F108" s="14" t="s">
        <v>181</v>
      </c>
      <c r="G108" s="15">
        <v>7.1972800000000001</v>
      </c>
      <c r="H108" s="15">
        <v>101.00416</v>
      </c>
      <c r="I108" s="6">
        <v>6.1828166280000003</v>
      </c>
      <c r="J108" s="15">
        <v>270.43304788199998</v>
      </c>
      <c r="K108" s="15">
        <v>1.2888888890000001</v>
      </c>
      <c r="L108" s="15">
        <v>1.55170638516384E-2</v>
      </c>
      <c r="M108" s="15">
        <v>1.2091977845269</v>
      </c>
      <c r="N108" s="15">
        <v>2.736338081</v>
      </c>
      <c r="O108" s="15">
        <v>2.0514950679999999</v>
      </c>
      <c r="P108" s="15">
        <v>74.972280736972294</v>
      </c>
      <c r="Q108" s="15">
        <v>0</v>
      </c>
      <c r="R108" s="6">
        <v>6.1828166280000003</v>
      </c>
      <c r="S108" s="15">
        <v>270.43304788199998</v>
      </c>
      <c r="T108" s="15">
        <v>1.2888888890000001</v>
      </c>
      <c r="U108" s="15">
        <v>1.55170638516384E-2</v>
      </c>
      <c r="V108" s="15">
        <v>1.2091977845269</v>
      </c>
      <c r="W108" s="15">
        <v>2.736338081</v>
      </c>
      <c r="X108" s="15">
        <v>2.0514950679999999</v>
      </c>
      <c r="Y108" s="15">
        <v>74.972280736972294</v>
      </c>
      <c r="Z108" s="15">
        <v>0</v>
      </c>
      <c r="AA108" s="8">
        <f t="shared" si="11"/>
        <v>0</v>
      </c>
      <c r="AB108" s="15">
        <f t="shared" si="12"/>
        <v>0</v>
      </c>
      <c r="AC108" s="15">
        <f t="shared" si="13"/>
        <v>0</v>
      </c>
      <c r="AD108" s="15">
        <f t="shared" si="14"/>
        <v>0</v>
      </c>
      <c r="AE108" s="15">
        <f t="shared" si="15"/>
        <v>0</v>
      </c>
      <c r="AF108" s="15">
        <f t="shared" si="16"/>
        <v>0</v>
      </c>
      <c r="AG108" s="15">
        <f t="shared" si="17"/>
        <v>0</v>
      </c>
      <c r="AH108" s="15">
        <f t="shared" si="18"/>
        <v>0</v>
      </c>
      <c r="AI108" s="16">
        <f t="shared" si="19"/>
        <v>0</v>
      </c>
    </row>
    <row r="109" spans="2:35" x14ac:dyDescent="0.25">
      <c r="B109" t="s">
        <v>207</v>
      </c>
      <c r="C109" s="13">
        <v>46064</v>
      </c>
      <c r="D109" s="35" t="s">
        <v>107</v>
      </c>
      <c r="E109" s="35" t="s">
        <v>293</v>
      </c>
      <c r="F109" s="14" t="s">
        <v>294</v>
      </c>
      <c r="G109" s="15">
        <v>6.5190000000000001</v>
      </c>
      <c r="H109" s="15">
        <v>100.526455</v>
      </c>
      <c r="I109" s="6">
        <v>6.3262448449999997</v>
      </c>
      <c r="J109" s="15">
        <v>268.33137205399998</v>
      </c>
      <c r="K109" s="15">
        <v>3.9555555560000002</v>
      </c>
      <c r="L109" s="15">
        <v>3.4069167106310498</v>
      </c>
      <c r="M109" s="15">
        <v>3.4069167106310498</v>
      </c>
      <c r="N109" s="15">
        <v>0.43138067299999999</v>
      </c>
      <c r="O109" s="15">
        <v>0.25786677600000002</v>
      </c>
      <c r="P109" s="15">
        <v>59.777081390013997</v>
      </c>
      <c r="Q109" s="15">
        <v>0</v>
      </c>
      <c r="R109" s="6">
        <v>6.3262448449999997</v>
      </c>
      <c r="S109" s="15">
        <v>268.33137205399998</v>
      </c>
      <c r="T109" s="15">
        <v>3.9555555560000002</v>
      </c>
      <c r="U109" s="15">
        <v>3.4069167106310498</v>
      </c>
      <c r="V109" s="15">
        <v>3.4069167106310498</v>
      </c>
      <c r="W109" s="15">
        <v>0.43138067299999999</v>
      </c>
      <c r="X109" s="15">
        <v>0.25786677600000002</v>
      </c>
      <c r="Y109" s="15">
        <v>59.777081390013997</v>
      </c>
      <c r="Z109" s="15">
        <v>0</v>
      </c>
      <c r="AA109" s="8">
        <f t="shared" si="11"/>
        <v>0</v>
      </c>
      <c r="AB109" s="15">
        <f t="shared" si="12"/>
        <v>0</v>
      </c>
      <c r="AC109" s="15">
        <f t="shared" si="13"/>
        <v>0</v>
      </c>
      <c r="AD109" s="15">
        <f t="shared" si="14"/>
        <v>0</v>
      </c>
      <c r="AE109" s="15">
        <f t="shared" si="15"/>
        <v>0</v>
      </c>
      <c r="AF109" s="15">
        <f t="shared" si="16"/>
        <v>0</v>
      </c>
      <c r="AG109" s="15">
        <f t="shared" si="17"/>
        <v>0</v>
      </c>
      <c r="AH109" s="15">
        <f t="shared" si="18"/>
        <v>0</v>
      </c>
      <c r="AI109" s="16">
        <f t="shared" si="19"/>
        <v>0</v>
      </c>
    </row>
    <row r="110" spans="2:35" x14ac:dyDescent="0.25">
      <c r="B110" t="s">
        <v>207</v>
      </c>
      <c r="C110" s="13">
        <v>46064</v>
      </c>
      <c r="D110" s="35" t="s">
        <v>107</v>
      </c>
      <c r="E110" s="35" t="s">
        <v>295</v>
      </c>
      <c r="F110" s="14" t="s">
        <v>296</v>
      </c>
      <c r="G110" s="15">
        <v>6.694</v>
      </c>
      <c r="H110" s="15">
        <v>100.61547</v>
      </c>
      <c r="I110" s="6">
        <v>6.3364117210000002</v>
      </c>
      <c r="J110" s="15">
        <v>279.02828024500002</v>
      </c>
      <c r="K110" s="15">
        <v>2.622222222</v>
      </c>
      <c r="L110" s="15">
        <v>2.34977643696342</v>
      </c>
      <c r="M110" s="15">
        <v>2.34977643696342</v>
      </c>
      <c r="N110" s="15">
        <v>0.57825854499999996</v>
      </c>
      <c r="O110" s="15">
        <v>0.39099785300000001</v>
      </c>
      <c r="P110" s="15">
        <v>67.616441880681606</v>
      </c>
      <c r="Q110" s="15">
        <v>0</v>
      </c>
      <c r="R110" s="6">
        <v>6.3364117210000002</v>
      </c>
      <c r="S110" s="15">
        <v>279.02828024500002</v>
      </c>
      <c r="T110" s="15">
        <v>2.622222222</v>
      </c>
      <c r="U110" s="15">
        <v>2.34977643696342</v>
      </c>
      <c r="V110" s="15">
        <v>2.34977643696342</v>
      </c>
      <c r="W110" s="15">
        <v>0.57825854499999996</v>
      </c>
      <c r="X110" s="15">
        <v>0.39099785300000001</v>
      </c>
      <c r="Y110" s="15">
        <v>67.616441880681606</v>
      </c>
      <c r="Z110" s="15">
        <v>0</v>
      </c>
      <c r="AA110" s="8">
        <f t="shared" si="11"/>
        <v>0</v>
      </c>
      <c r="AB110" s="15">
        <f t="shared" si="12"/>
        <v>0</v>
      </c>
      <c r="AC110" s="15">
        <f t="shared" si="13"/>
        <v>0</v>
      </c>
      <c r="AD110" s="15">
        <f t="shared" si="14"/>
        <v>0</v>
      </c>
      <c r="AE110" s="15">
        <f t="shared" si="15"/>
        <v>0</v>
      </c>
      <c r="AF110" s="15">
        <f t="shared" si="16"/>
        <v>0</v>
      </c>
      <c r="AG110" s="15">
        <f t="shared" si="17"/>
        <v>0</v>
      </c>
      <c r="AH110" s="15">
        <f t="shared" si="18"/>
        <v>0</v>
      </c>
      <c r="AI110" s="16">
        <f t="shared" si="19"/>
        <v>0</v>
      </c>
    </row>
    <row r="111" spans="2:35" x14ac:dyDescent="0.25">
      <c r="B111" t="s">
        <v>207</v>
      </c>
      <c r="C111" s="13">
        <v>46064</v>
      </c>
      <c r="D111" s="35" t="s">
        <v>107</v>
      </c>
      <c r="E111" s="35" t="s">
        <v>297</v>
      </c>
      <c r="F111" s="14" t="s">
        <v>298</v>
      </c>
      <c r="G111" s="15">
        <v>7.1189999999999998</v>
      </c>
      <c r="H111" s="15">
        <v>101.452675</v>
      </c>
      <c r="I111" s="6">
        <v>6.2059046840000001</v>
      </c>
      <c r="J111" s="15">
        <v>271.563362407</v>
      </c>
      <c r="K111" s="15">
        <v>1.5388888890000001</v>
      </c>
      <c r="L111" s="15">
        <v>1.4189259267929599</v>
      </c>
      <c r="M111" s="15">
        <v>1.4189259267929599</v>
      </c>
      <c r="N111" s="15">
        <v>0</v>
      </c>
      <c r="O111" s="15">
        <v>0</v>
      </c>
      <c r="P111" s="15" t="s">
        <v>248</v>
      </c>
      <c r="Q111" s="15">
        <v>0</v>
      </c>
      <c r="R111" s="6">
        <v>6.2059046840000001</v>
      </c>
      <c r="S111" s="15">
        <v>271.563362407</v>
      </c>
      <c r="T111" s="15">
        <v>1.5388888890000001</v>
      </c>
      <c r="U111" s="15">
        <v>1.4189259267929599</v>
      </c>
      <c r="V111" s="15">
        <v>1.4189259267929599</v>
      </c>
      <c r="W111" s="15">
        <v>0</v>
      </c>
      <c r="X111" s="15">
        <v>0</v>
      </c>
      <c r="Y111" s="15" t="s">
        <v>248</v>
      </c>
      <c r="Z111" s="15">
        <v>0</v>
      </c>
      <c r="AA111" s="8">
        <f t="shared" si="11"/>
        <v>0</v>
      </c>
      <c r="AB111" s="15">
        <f t="shared" si="12"/>
        <v>0</v>
      </c>
      <c r="AC111" s="15">
        <f t="shared" si="13"/>
        <v>0</v>
      </c>
      <c r="AD111" s="15">
        <f t="shared" si="14"/>
        <v>0</v>
      </c>
      <c r="AE111" s="15">
        <f t="shared" si="15"/>
        <v>0</v>
      </c>
      <c r="AF111" s="15">
        <f t="shared" si="16"/>
        <v>0</v>
      </c>
      <c r="AG111" s="15">
        <f t="shared" si="17"/>
        <v>0</v>
      </c>
      <c r="AH111" s="15" t="e">
        <f t="shared" si="18"/>
        <v>#VALUE!</v>
      </c>
      <c r="AI111" s="16">
        <f t="shared" si="19"/>
        <v>0</v>
      </c>
    </row>
    <row r="112" spans="2:35" x14ac:dyDescent="0.25">
      <c r="B112" t="s">
        <v>207</v>
      </c>
      <c r="C112" s="13">
        <v>46064</v>
      </c>
      <c r="D112" s="35" t="s">
        <v>107</v>
      </c>
      <c r="E112" s="35" t="s">
        <v>299</v>
      </c>
      <c r="F112" s="14" t="s">
        <v>300</v>
      </c>
      <c r="G112" s="15">
        <v>9.0540000000000003</v>
      </c>
      <c r="H112" s="15">
        <v>100.726585</v>
      </c>
      <c r="I112" s="6">
        <v>8.7016534070000002</v>
      </c>
      <c r="J112" s="15">
        <v>521.10575044100005</v>
      </c>
      <c r="K112" s="15">
        <v>1.5388888890000001</v>
      </c>
      <c r="L112" s="15">
        <v>1.3826915942797</v>
      </c>
      <c r="M112" s="15">
        <v>1.3826915942797</v>
      </c>
      <c r="N112" s="15">
        <v>0</v>
      </c>
      <c r="O112" s="15">
        <v>0</v>
      </c>
      <c r="P112" s="15" t="s">
        <v>248</v>
      </c>
      <c r="Q112" s="15">
        <v>0</v>
      </c>
      <c r="R112" s="6">
        <v>8.7016534070000002</v>
      </c>
      <c r="S112" s="15">
        <v>521.10575044100005</v>
      </c>
      <c r="T112" s="15">
        <v>1.5388888890000001</v>
      </c>
      <c r="U112" s="15">
        <v>1.3826915942797</v>
      </c>
      <c r="V112" s="15">
        <v>1.3826915942797</v>
      </c>
      <c r="W112" s="15">
        <v>0</v>
      </c>
      <c r="X112" s="15">
        <v>0</v>
      </c>
      <c r="Y112" s="15" t="s">
        <v>248</v>
      </c>
      <c r="Z112" s="15">
        <v>0</v>
      </c>
      <c r="AA112" s="8">
        <f t="shared" si="11"/>
        <v>0</v>
      </c>
      <c r="AB112" s="15">
        <f t="shared" si="12"/>
        <v>0</v>
      </c>
      <c r="AC112" s="15">
        <f t="shared" si="13"/>
        <v>0</v>
      </c>
      <c r="AD112" s="15">
        <f t="shared" si="14"/>
        <v>0</v>
      </c>
      <c r="AE112" s="15">
        <f t="shared" si="15"/>
        <v>0</v>
      </c>
      <c r="AF112" s="15">
        <f t="shared" si="16"/>
        <v>0</v>
      </c>
      <c r="AG112" s="15">
        <f t="shared" si="17"/>
        <v>0</v>
      </c>
      <c r="AH112" s="15" t="e">
        <f t="shared" si="18"/>
        <v>#VALUE!</v>
      </c>
      <c r="AI112" s="16">
        <f t="shared" si="19"/>
        <v>0</v>
      </c>
    </row>
    <row r="113" spans="2:35" x14ac:dyDescent="0.25">
      <c r="B113" t="s">
        <v>207</v>
      </c>
      <c r="C113" s="13">
        <v>46064</v>
      </c>
      <c r="D113" s="35" t="s">
        <v>107</v>
      </c>
      <c r="E113" s="35" t="s">
        <v>182</v>
      </c>
      <c r="F113" s="14" t="s">
        <v>183</v>
      </c>
      <c r="G113" s="15">
        <v>6.5640000000000001</v>
      </c>
      <c r="H113" s="15">
        <v>100.31922</v>
      </c>
      <c r="I113" s="6">
        <v>6.414015515</v>
      </c>
      <c r="J113" s="15">
        <v>279.80723935700001</v>
      </c>
      <c r="K113" s="15">
        <v>3.622222222</v>
      </c>
      <c r="L113" s="15">
        <v>3.1482417516802901</v>
      </c>
      <c r="M113" s="15">
        <v>3.1482417516802901</v>
      </c>
      <c r="N113" s="15">
        <v>0.408257017</v>
      </c>
      <c r="O113" s="15">
        <v>0.260350462</v>
      </c>
      <c r="P113" s="15">
        <v>63.771215474295197</v>
      </c>
      <c r="Q113" s="15">
        <v>0</v>
      </c>
      <c r="R113" s="6">
        <v>6.414015515</v>
      </c>
      <c r="S113" s="15">
        <v>279.80723935700001</v>
      </c>
      <c r="T113" s="15">
        <v>3.622222222</v>
      </c>
      <c r="U113" s="15">
        <v>3.1482417516802901</v>
      </c>
      <c r="V113" s="15">
        <v>3.1482417516802901</v>
      </c>
      <c r="W113" s="15">
        <v>0.408257017</v>
      </c>
      <c r="X113" s="15">
        <v>0.260350462</v>
      </c>
      <c r="Y113" s="15">
        <v>63.771215474295197</v>
      </c>
      <c r="Z113" s="15">
        <v>0</v>
      </c>
      <c r="AA113" s="8">
        <f t="shared" si="11"/>
        <v>0</v>
      </c>
      <c r="AB113" s="15">
        <f t="shared" si="12"/>
        <v>0</v>
      </c>
      <c r="AC113" s="15">
        <f t="shared" si="13"/>
        <v>0</v>
      </c>
      <c r="AD113" s="15">
        <f t="shared" si="14"/>
        <v>0</v>
      </c>
      <c r="AE113" s="15">
        <f t="shared" si="15"/>
        <v>0</v>
      </c>
      <c r="AF113" s="15">
        <f t="shared" si="16"/>
        <v>0</v>
      </c>
      <c r="AG113" s="15">
        <f t="shared" si="17"/>
        <v>0</v>
      </c>
      <c r="AH113" s="15">
        <f t="shared" si="18"/>
        <v>0</v>
      </c>
      <c r="AI113" s="16">
        <f t="shared" si="19"/>
        <v>0</v>
      </c>
    </row>
    <row r="114" spans="2:35" x14ac:dyDescent="0.25">
      <c r="B114" t="s">
        <v>207</v>
      </c>
      <c r="C114" s="13">
        <v>46064</v>
      </c>
      <c r="D114" s="35" t="s">
        <v>107</v>
      </c>
      <c r="E114" s="35" t="s">
        <v>184</v>
      </c>
      <c r="F114" s="14" t="s">
        <v>185</v>
      </c>
      <c r="G114" s="15">
        <v>6.7320000000000002</v>
      </c>
      <c r="H114" s="15">
        <v>101.2649</v>
      </c>
      <c r="I114" s="6">
        <v>5.9749346560000003</v>
      </c>
      <c r="J114" s="15">
        <v>245.096579112</v>
      </c>
      <c r="K114" s="15">
        <v>2.2055555560000002</v>
      </c>
      <c r="L114" s="15">
        <v>2.0064578753348901</v>
      </c>
      <c r="M114" s="15">
        <v>2.0064578753348901</v>
      </c>
      <c r="N114" s="15">
        <v>0.46085017700000003</v>
      </c>
      <c r="O114" s="15">
        <v>0.32186801700000001</v>
      </c>
      <c r="P114" s="15">
        <v>69.842224884292506</v>
      </c>
      <c r="Q114" s="15">
        <v>0</v>
      </c>
      <c r="R114" s="6">
        <v>5.9749346560000003</v>
      </c>
      <c r="S114" s="15">
        <v>245.096579112</v>
      </c>
      <c r="T114" s="15">
        <v>2.2055555560000002</v>
      </c>
      <c r="U114" s="15">
        <v>2.0064578753348901</v>
      </c>
      <c r="V114" s="15">
        <v>2.0064578753348901</v>
      </c>
      <c r="W114" s="15">
        <v>0.46085017700000003</v>
      </c>
      <c r="X114" s="15">
        <v>0.32186801700000001</v>
      </c>
      <c r="Y114" s="15">
        <v>69.842224884292506</v>
      </c>
      <c r="Z114" s="15">
        <v>0</v>
      </c>
      <c r="AA114" s="8">
        <f t="shared" si="11"/>
        <v>0</v>
      </c>
      <c r="AB114" s="15">
        <f t="shared" si="12"/>
        <v>0</v>
      </c>
      <c r="AC114" s="15">
        <f t="shared" si="13"/>
        <v>0</v>
      </c>
      <c r="AD114" s="15">
        <f t="shared" si="14"/>
        <v>0</v>
      </c>
      <c r="AE114" s="15">
        <f t="shared" si="15"/>
        <v>0</v>
      </c>
      <c r="AF114" s="15">
        <f t="shared" si="16"/>
        <v>0</v>
      </c>
      <c r="AG114" s="15">
        <f t="shared" si="17"/>
        <v>0</v>
      </c>
      <c r="AH114" s="15">
        <f t="shared" si="18"/>
        <v>0</v>
      </c>
      <c r="AI114" s="16">
        <f t="shared" si="19"/>
        <v>0</v>
      </c>
    </row>
    <row r="115" spans="2:35" x14ac:dyDescent="0.25">
      <c r="B115" t="s">
        <v>207</v>
      </c>
      <c r="C115" s="13">
        <v>46064</v>
      </c>
      <c r="D115" s="35" t="s">
        <v>107</v>
      </c>
      <c r="E115" s="35" t="s">
        <v>186</v>
      </c>
      <c r="F115" s="14" t="s">
        <v>187</v>
      </c>
      <c r="G115" s="15">
        <v>6.97</v>
      </c>
      <c r="H115" s="15">
        <v>101.55336</v>
      </c>
      <c r="I115" s="6">
        <v>6.1886313279999996</v>
      </c>
      <c r="J115" s="15">
        <v>264.69988604500003</v>
      </c>
      <c r="K115" s="15">
        <v>2.5388888889999999</v>
      </c>
      <c r="L115" s="15">
        <v>2.2769414148384599</v>
      </c>
      <c r="M115" s="15">
        <v>2.2769414148384599</v>
      </c>
      <c r="N115" s="15">
        <v>0.37904280299999998</v>
      </c>
      <c r="O115" s="15">
        <v>0.26358524300000002</v>
      </c>
      <c r="P115" s="15">
        <v>69.539703936813694</v>
      </c>
      <c r="Q115" s="15">
        <v>0</v>
      </c>
      <c r="R115" s="6">
        <v>6.1886313279999996</v>
      </c>
      <c r="S115" s="15">
        <v>264.69988604500003</v>
      </c>
      <c r="T115" s="15">
        <v>2.5388888889999999</v>
      </c>
      <c r="U115" s="15">
        <v>2.2769414148384599</v>
      </c>
      <c r="V115" s="15">
        <v>2.2769414148384599</v>
      </c>
      <c r="W115" s="15">
        <v>0.37904280299999998</v>
      </c>
      <c r="X115" s="15">
        <v>0.26358524300000002</v>
      </c>
      <c r="Y115" s="15">
        <v>69.539703936813694</v>
      </c>
      <c r="Z115" s="15">
        <v>0</v>
      </c>
      <c r="AA115" s="8">
        <f t="shared" si="11"/>
        <v>0</v>
      </c>
      <c r="AB115" s="15">
        <f t="shared" si="12"/>
        <v>0</v>
      </c>
      <c r="AC115" s="15">
        <f t="shared" si="13"/>
        <v>0</v>
      </c>
      <c r="AD115" s="15">
        <f t="shared" si="14"/>
        <v>0</v>
      </c>
      <c r="AE115" s="15">
        <f t="shared" si="15"/>
        <v>0</v>
      </c>
      <c r="AF115" s="15">
        <f t="shared" si="16"/>
        <v>0</v>
      </c>
      <c r="AG115" s="15">
        <f t="shared" si="17"/>
        <v>0</v>
      </c>
      <c r="AH115" s="15">
        <f t="shared" si="18"/>
        <v>0</v>
      </c>
      <c r="AI115" s="16">
        <f t="shared" si="19"/>
        <v>0</v>
      </c>
    </row>
    <row r="116" spans="2:35" x14ac:dyDescent="0.25">
      <c r="B116" t="s">
        <v>207</v>
      </c>
      <c r="C116" s="13">
        <v>46064</v>
      </c>
      <c r="D116" s="35" t="s">
        <v>107</v>
      </c>
      <c r="E116" s="35" t="s">
        <v>188</v>
      </c>
      <c r="F116" s="14" t="s">
        <v>189</v>
      </c>
      <c r="G116" s="15">
        <v>8.3719999999999999</v>
      </c>
      <c r="H116" s="15">
        <v>102.84827</v>
      </c>
      <c r="I116" s="6">
        <v>6.2405132779999999</v>
      </c>
      <c r="J116" s="15">
        <v>274.60351599799998</v>
      </c>
      <c r="K116" s="15">
        <v>1.622222222</v>
      </c>
      <c r="L116" s="15">
        <v>1.4863489692145599</v>
      </c>
      <c r="M116" s="15">
        <v>1.4863489692145599</v>
      </c>
      <c r="N116" s="15">
        <v>2.7235874259999999</v>
      </c>
      <c r="O116" s="15">
        <v>2.4360783339999998</v>
      </c>
      <c r="P116" s="15">
        <v>89.443735521196402</v>
      </c>
      <c r="Q116" s="15">
        <v>0</v>
      </c>
      <c r="R116" s="6">
        <v>6.2405132779999999</v>
      </c>
      <c r="S116" s="15">
        <v>274.60351599799998</v>
      </c>
      <c r="T116" s="15">
        <v>1.622222222</v>
      </c>
      <c r="U116" s="15">
        <v>1.4863489692145599</v>
      </c>
      <c r="V116" s="15">
        <v>1.4863489692145599</v>
      </c>
      <c r="W116" s="15">
        <v>2.7235874259999999</v>
      </c>
      <c r="X116" s="15">
        <v>2.4360783339999998</v>
      </c>
      <c r="Y116" s="15">
        <v>89.443735521196402</v>
      </c>
      <c r="Z116" s="15">
        <v>0</v>
      </c>
      <c r="AA116" s="8">
        <f t="shared" si="11"/>
        <v>0</v>
      </c>
      <c r="AB116" s="15">
        <f t="shared" si="12"/>
        <v>0</v>
      </c>
      <c r="AC116" s="15">
        <f t="shared" si="13"/>
        <v>0</v>
      </c>
      <c r="AD116" s="15">
        <f t="shared" si="14"/>
        <v>0</v>
      </c>
      <c r="AE116" s="15">
        <f t="shared" si="15"/>
        <v>0</v>
      </c>
      <c r="AF116" s="15">
        <f t="shared" si="16"/>
        <v>0</v>
      </c>
      <c r="AG116" s="15">
        <f t="shared" si="17"/>
        <v>0</v>
      </c>
      <c r="AH116" s="15">
        <f t="shared" si="18"/>
        <v>0</v>
      </c>
      <c r="AI116" s="16">
        <f t="shared" si="19"/>
        <v>0</v>
      </c>
    </row>
    <row r="117" spans="2:35" x14ac:dyDescent="0.25">
      <c r="B117" t="s">
        <v>207</v>
      </c>
      <c r="C117" s="13">
        <v>46064</v>
      </c>
      <c r="D117" s="35" t="s">
        <v>107</v>
      </c>
      <c r="E117" s="35" t="s">
        <v>301</v>
      </c>
      <c r="F117" s="14" t="s">
        <v>302</v>
      </c>
      <c r="G117" s="15">
        <v>7.234</v>
      </c>
      <c r="H117" s="15">
        <v>100.87444499999999</v>
      </c>
      <c r="I117" s="6">
        <v>6.7624442670000002</v>
      </c>
      <c r="J117" s="15">
        <v>321.652446134</v>
      </c>
      <c r="K117" s="15">
        <v>2.622222222</v>
      </c>
      <c r="L117" s="15">
        <v>2.33079607625102</v>
      </c>
      <c r="M117" s="15">
        <v>2.33079607625102</v>
      </c>
      <c r="N117" s="15">
        <v>0</v>
      </c>
      <c r="O117" s="15">
        <v>-1.6002970000000001E-3</v>
      </c>
      <c r="P117" s="15" t="s">
        <v>248</v>
      </c>
      <c r="Q117" s="15">
        <v>0</v>
      </c>
      <c r="R117" s="6">
        <v>6.7624442670000002</v>
      </c>
      <c r="S117" s="15">
        <v>321.652446134</v>
      </c>
      <c r="T117" s="15">
        <v>2.622222222</v>
      </c>
      <c r="U117" s="15">
        <v>2.33079607625102</v>
      </c>
      <c r="V117" s="15">
        <v>2.33079607625102</v>
      </c>
      <c r="W117" s="15">
        <v>0</v>
      </c>
      <c r="X117" s="15">
        <v>-1.6002970000000001E-3</v>
      </c>
      <c r="Y117" s="15" t="s">
        <v>248</v>
      </c>
      <c r="Z117" s="15">
        <v>0</v>
      </c>
      <c r="AA117" s="8">
        <f t="shared" si="11"/>
        <v>0</v>
      </c>
      <c r="AB117" s="15">
        <f t="shared" si="12"/>
        <v>0</v>
      </c>
      <c r="AC117" s="15">
        <f t="shared" si="13"/>
        <v>0</v>
      </c>
      <c r="AD117" s="15">
        <f t="shared" si="14"/>
        <v>0</v>
      </c>
      <c r="AE117" s="15">
        <f t="shared" si="15"/>
        <v>0</v>
      </c>
      <c r="AF117" s="15">
        <f t="shared" si="16"/>
        <v>0</v>
      </c>
      <c r="AG117" s="15">
        <f t="shared" si="17"/>
        <v>0</v>
      </c>
      <c r="AH117" s="15" t="e">
        <f t="shared" si="18"/>
        <v>#VALUE!</v>
      </c>
      <c r="AI117" s="16">
        <f t="shared" si="19"/>
        <v>0</v>
      </c>
    </row>
    <row r="118" spans="2:35" x14ac:dyDescent="0.25">
      <c r="B118" t="s">
        <v>207</v>
      </c>
      <c r="C118" s="13">
        <v>46064</v>
      </c>
      <c r="D118" s="35" t="s">
        <v>107</v>
      </c>
      <c r="E118" s="35" t="s">
        <v>303</v>
      </c>
      <c r="F118" s="14" t="s">
        <v>304</v>
      </c>
      <c r="G118" s="15">
        <v>8.2249999999999996</v>
      </c>
      <c r="H118" s="15">
        <v>100.572715</v>
      </c>
      <c r="I118" s="6">
        <v>7.8780946619999996</v>
      </c>
      <c r="J118" s="15">
        <v>433.256295615</v>
      </c>
      <c r="K118" s="15">
        <v>2.622222222</v>
      </c>
      <c r="L118" s="15">
        <v>2.2918626030926998</v>
      </c>
      <c r="M118" s="15">
        <v>2.2918626030926998</v>
      </c>
      <c r="N118" s="15">
        <v>0</v>
      </c>
      <c r="O118" s="15">
        <v>-1.6002970000000001E-3</v>
      </c>
      <c r="P118" s="15" t="s">
        <v>248</v>
      </c>
      <c r="Q118" s="15">
        <v>0</v>
      </c>
      <c r="R118" s="6">
        <v>7.8780946619999996</v>
      </c>
      <c r="S118" s="15">
        <v>433.256295615</v>
      </c>
      <c r="T118" s="15">
        <v>2.622222222</v>
      </c>
      <c r="U118" s="15">
        <v>2.2918626030926998</v>
      </c>
      <c r="V118" s="15">
        <v>2.2918626030926998</v>
      </c>
      <c r="W118" s="15">
        <v>0</v>
      </c>
      <c r="X118" s="15">
        <v>-1.6002970000000001E-3</v>
      </c>
      <c r="Y118" s="15" t="s">
        <v>248</v>
      </c>
      <c r="Z118" s="15">
        <v>0</v>
      </c>
      <c r="AA118" s="8">
        <f t="shared" si="11"/>
        <v>0</v>
      </c>
      <c r="AB118" s="15">
        <f t="shared" si="12"/>
        <v>0</v>
      </c>
      <c r="AC118" s="15">
        <f t="shared" si="13"/>
        <v>0</v>
      </c>
      <c r="AD118" s="15">
        <f t="shared" si="14"/>
        <v>0</v>
      </c>
      <c r="AE118" s="15">
        <f t="shared" si="15"/>
        <v>0</v>
      </c>
      <c r="AF118" s="15">
        <f t="shared" si="16"/>
        <v>0</v>
      </c>
      <c r="AG118" s="15">
        <f t="shared" si="17"/>
        <v>0</v>
      </c>
      <c r="AH118" s="15" t="e">
        <f t="shared" si="18"/>
        <v>#VALUE!</v>
      </c>
      <c r="AI118" s="16">
        <f t="shared" si="19"/>
        <v>0</v>
      </c>
    </row>
    <row r="119" spans="2:35" x14ac:dyDescent="0.25">
      <c r="B119" t="s">
        <v>207</v>
      </c>
      <c r="C119" s="13">
        <v>46064</v>
      </c>
      <c r="D119" s="35" t="s">
        <v>107</v>
      </c>
      <c r="E119" s="35" t="s">
        <v>190</v>
      </c>
      <c r="F119" s="14" t="s">
        <v>191</v>
      </c>
      <c r="G119" s="15">
        <v>8.8670000000000009</v>
      </c>
      <c r="H119" s="15">
        <v>102.68478500000001</v>
      </c>
      <c r="I119" s="6">
        <v>6.2977069639999996</v>
      </c>
      <c r="J119" s="15">
        <v>281.934510461</v>
      </c>
      <c r="K119" s="15">
        <v>1.2888888890000001</v>
      </c>
      <c r="L119" s="15">
        <v>1.1933333687167</v>
      </c>
      <c r="M119" s="15">
        <v>1.1933333687167</v>
      </c>
      <c r="N119" s="15">
        <v>5.3086206540000003</v>
      </c>
      <c r="O119" s="15">
        <v>4.4432132190000004</v>
      </c>
      <c r="P119" s="15">
        <v>83.698073541044593</v>
      </c>
      <c r="Q119" s="15">
        <v>0</v>
      </c>
      <c r="R119" s="6">
        <v>6.2977069639999996</v>
      </c>
      <c r="S119" s="15">
        <v>281.934510461</v>
      </c>
      <c r="T119" s="15">
        <v>1.2888888890000001</v>
      </c>
      <c r="U119" s="15">
        <v>1.1933333687167</v>
      </c>
      <c r="V119" s="15">
        <v>1.1933333687167</v>
      </c>
      <c r="W119" s="15">
        <v>5.3086206540000003</v>
      </c>
      <c r="X119" s="15">
        <v>4.4432132190000004</v>
      </c>
      <c r="Y119" s="15">
        <v>83.698073541044593</v>
      </c>
      <c r="Z119" s="15">
        <v>0</v>
      </c>
      <c r="AA119" s="8">
        <f t="shared" si="11"/>
        <v>0</v>
      </c>
      <c r="AB119" s="15">
        <f t="shared" si="12"/>
        <v>0</v>
      </c>
      <c r="AC119" s="15">
        <f t="shared" si="13"/>
        <v>0</v>
      </c>
      <c r="AD119" s="15">
        <f t="shared" si="14"/>
        <v>0</v>
      </c>
      <c r="AE119" s="15">
        <f t="shared" si="15"/>
        <v>0</v>
      </c>
      <c r="AF119" s="15">
        <f t="shared" si="16"/>
        <v>0</v>
      </c>
      <c r="AG119" s="15">
        <f t="shared" si="17"/>
        <v>0</v>
      </c>
      <c r="AH119" s="15">
        <f t="shared" si="18"/>
        <v>0</v>
      </c>
      <c r="AI119" s="16">
        <f t="shared" si="19"/>
        <v>0</v>
      </c>
    </row>
    <row r="120" spans="2:35" x14ac:dyDescent="0.25">
      <c r="B120" t="s">
        <v>207</v>
      </c>
      <c r="C120" s="13">
        <v>46064</v>
      </c>
      <c r="D120" s="35" t="s">
        <v>107</v>
      </c>
      <c r="E120" s="35" t="s">
        <v>305</v>
      </c>
      <c r="F120" s="14" t="s">
        <v>306</v>
      </c>
      <c r="G120" s="15">
        <v>7.4820000000000002</v>
      </c>
      <c r="H120" s="15">
        <v>102.16857</v>
      </c>
      <c r="I120" s="6">
        <v>5.3963490480000003</v>
      </c>
      <c r="J120" s="15">
        <v>191.83649868699999</v>
      </c>
      <c r="K120" s="15">
        <v>1.2888888890000001</v>
      </c>
      <c r="L120" s="15">
        <v>1.20693917317233</v>
      </c>
      <c r="M120" s="15">
        <v>1.20693917317233</v>
      </c>
      <c r="N120" s="15">
        <v>5.3086206540000003</v>
      </c>
      <c r="O120" s="15">
        <v>4.4432132190000004</v>
      </c>
      <c r="P120" s="15">
        <v>83.698073541044593</v>
      </c>
      <c r="Q120" s="15">
        <v>0</v>
      </c>
      <c r="R120" s="6">
        <v>5.3963490480000003</v>
      </c>
      <c r="S120" s="15">
        <v>191.83649868699999</v>
      </c>
      <c r="T120" s="15">
        <v>1.2888888890000001</v>
      </c>
      <c r="U120" s="15">
        <v>1.20693917317233</v>
      </c>
      <c r="V120" s="15">
        <v>1.20693917317233</v>
      </c>
      <c r="W120" s="15">
        <v>5.3086206540000003</v>
      </c>
      <c r="X120" s="15">
        <v>4.4432132190000004</v>
      </c>
      <c r="Y120" s="15">
        <v>83.698073541044593</v>
      </c>
      <c r="Z120" s="15">
        <v>0</v>
      </c>
      <c r="AA120" s="8">
        <f t="shared" si="11"/>
        <v>0</v>
      </c>
      <c r="AB120" s="15">
        <f t="shared" si="12"/>
        <v>0</v>
      </c>
      <c r="AC120" s="15">
        <f t="shared" si="13"/>
        <v>0</v>
      </c>
      <c r="AD120" s="15">
        <f t="shared" si="14"/>
        <v>0</v>
      </c>
      <c r="AE120" s="15">
        <f t="shared" si="15"/>
        <v>0</v>
      </c>
      <c r="AF120" s="15">
        <f t="shared" si="16"/>
        <v>0</v>
      </c>
      <c r="AG120" s="15">
        <f t="shared" si="17"/>
        <v>0</v>
      </c>
      <c r="AH120" s="15">
        <f t="shared" si="18"/>
        <v>0</v>
      </c>
      <c r="AI120" s="16">
        <f t="shared" si="19"/>
        <v>0</v>
      </c>
    </row>
    <row r="121" spans="2:35" x14ac:dyDescent="0.25">
      <c r="B121" t="s">
        <v>207</v>
      </c>
      <c r="C121" s="13">
        <v>46064</v>
      </c>
      <c r="D121" s="35" t="s">
        <v>107</v>
      </c>
      <c r="E121" s="35" t="s">
        <v>192</v>
      </c>
      <c r="F121" s="14" t="s">
        <v>193</v>
      </c>
      <c r="G121" s="15">
        <v>7.4980000000000002</v>
      </c>
      <c r="H121" s="15">
        <v>101.35576</v>
      </c>
      <c r="I121" s="6">
        <v>6.3755460380000004</v>
      </c>
      <c r="J121" s="15">
        <v>288.11553557799999</v>
      </c>
      <c r="K121" s="15">
        <v>1.622222222</v>
      </c>
      <c r="L121" s="15">
        <v>1.49335301417502</v>
      </c>
      <c r="M121" s="15">
        <v>1.49335301417502</v>
      </c>
      <c r="N121" s="15">
        <v>2.6633556710000001</v>
      </c>
      <c r="O121" s="15">
        <v>2.1277350629999998</v>
      </c>
      <c r="P121" s="15">
        <v>79.889257231690294</v>
      </c>
      <c r="Q121" s="15">
        <v>0</v>
      </c>
      <c r="R121" s="6">
        <v>6.3755460380000004</v>
      </c>
      <c r="S121" s="15">
        <v>288.11553557799999</v>
      </c>
      <c r="T121" s="15">
        <v>1.622222222</v>
      </c>
      <c r="U121" s="15">
        <v>1.49335301417502</v>
      </c>
      <c r="V121" s="15">
        <v>1.49335301417502</v>
      </c>
      <c r="W121" s="15">
        <v>2.6633556710000001</v>
      </c>
      <c r="X121" s="15">
        <v>2.1277350629999998</v>
      </c>
      <c r="Y121" s="15">
        <v>79.889257231690294</v>
      </c>
      <c r="Z121" s="15">
        <v>0</v>
      </c>
      <c r="AA121" s="8">
        <f t="shared" si="11"/>
        <v>0</v>
      </c>
      <c r="AB121" s="15">
        <f t="shared" si="12"/>
        <v>0</v>
      </c>
      <c r="AC121" s="15">
        <f t="shared" si="13"/>
        <v>0</v>
      </c>
      <c r="AD121" s="15">
        <f t="shared" si="14"/>
        <v>0</v>
      </c>
      <c r="AE121" s="15">
        <f t="shared" si="15"/>
        <v>0</v>
      </c>
      <c r="AF121" s="15">
        <f t="shared" si="16"/>
        <v>0</v>
      </c>
      <c r="AG121" s="15">
        <f t="shared" si="17"/>
        <v>0</v>
      </c>
      <c r="AH121" s="15">
        <f t="shared" si="18"/>
        <v>0</v>
      </c>
      <c r="AI121" s="16">
        <f t="shared" si="19"/>
        <v>0</v>
      </c>
    </row>
    <row r="122" spans="2:35" x14ac:dyDescent="0.25">
      <c r="B122" t="s">
        <v>207</v>
      </c>
      <c r="C122" s="13">
        <v>46064</v>
      </c>
      <c r="D122" s="35" t="s">
        <v>107</v>
      </c>
      <c r="E122" s="35" t="s">
        <v>194</v>
      </c>
      <c r="F122" s="14" t="s">
        <v>195</v>
      </c>
      <c r="G122" s="15">
        <v>9.3759999999999994</v>
      </c>
      <c r="H122" s="15">
        <v>103.02908499999999</v>
      </c>
      <c r="I122" s="6">
        <v>7.0903461190000003</v>
      </c>
      <c r="J122" s="15">
        <v>359.57522479900001</v>
      </c>
      <c r="K122" s="15">
        <v>1.622222222</v>
      </c>
      <c r="L122" s="15">
        <v>1.47053352749856</v>
      </c>
      <c r="M122" s="15">
        <v>1.47053352749856</v>
      </c>
      <c r="N122" s="15">
        <v>2.6633556710000001</v>
      </c>
      <c r="O122" s="15">
        <v>2.1277350629999998</v>
      </c>
      <c r="P122" s="15">
        <v>79.889257231690294</v>
      </c>
      <c r="Q122" s="15">
        <v>0</v>
      </c>
      <c r="R122" s="6">
        <v>7.0903461190000003</v>
      </c>
      <c r="S122" s="15">
        <v>359.57522479900001</v>
      </c>
      <c r="T122" s="15">
        <v>1.622222222</v>
      </c>
      <c r="U122" s="15">
        <v>1.47053352749856</v>
      </c>
      <c r="V122" s="15">
        <v>1.47053352749856</v>
      </c>
      <c r="W122" s="15">
        <v>2.6633556710000001</v>
      </c>
      <c r="X122" s="15">
        <v>2.1277350629999998</v>
      </c>
      <c r="Y122" s="15">
        <v>79.889257231690294</v>
      </c>
      <c r="Z122" s="15">
        <v>0</v>
      </c>
      <c r="AA122" s="8">
        <f t="shared" si="11"/>
        <v>0</v>
      </c>
      <c r="AB122" s="15">
        <f t="shared" si="12"/>
        <v>0</v>
      </c>
      <c r="AC122" s="15">
        <f t="shared" si="13"/>
        <v>0</v>
      </c>
      <c r="AD122" s="15">
        <f t="shared" si="14"/>
        <v>0</v>
      </c>
      <c r="AE122" s="15">
        <f t="shared" si="15"/>
        <v>0</v>
      </c>
      <c r="AF122" s="15">
        <f t="shared" si="16"/>
        <v>0</v>
      </c>
      <c r="AG122" s="15">
        <f t="shared" si="17"/>
        <v>0</v>
      </c>
      <c r="AH122" s="15">
        <f t="shared" si="18"/>
        <v>0</v>
      </c>
      <c r="AI122" s="16">
        <f t="shared" si="19"/>
        <v>0</v>
      </c>
    </row>
    <row r="123" spans="2:35" x14ac:dyDescent="0.25">
      <c r="B123" t="s">
        <v>207</v>
      </c>
      <c r="C123" s="13">
        <v>46064</v>
      </c>
      <c r="D123" s="35" t="s">
        <v>107</v>
      </c>
      <c r="E123" s="35" t="s">
        <v>196</v>
      </c>
      <c r="F123" s="14" t="s">
        <v>197</v>
      </c>
      <c r="G123" s="15">
        <v>9.5048010000000005</v>
      </c>
      <c r="H123" s="15">
        <v>102.93444</v>
      </c>
      <c r="I123" s="6">
        <v>7.572033963</v>
      </c>
      <c r="J123" s="15">
        <v>406.53572478799998</v>
      </c>
      <c r="K123" s="15">
        <v>1.872222222</v>
      </c>
      <c r="L123" s="15">
        <v>1.67204429829315</v>
      </c>
      <c r="M123" s="15">
        <v>1.6728270897476101</v>
      </c>
      <c r="N123" s="15">
        <v>2.73293645</v>
      </c>
      <c r="O123" s="15">
        <v>2.1693296210000002</v>
      </c>
      <c r="P123" s="15">
        <v>79.377243514023206</v>
      </c>
      <c r="Q123" s="15">
        <v>0</v>
      </c>
      <c r="R123" s="6">
        <v>7.572033963</v>
      </c>
      <c r="S123" s="15">
        <v>406.53572478799998</v>
      </c>
      <c r="T123" s="15">
        <v>1.872222222</v>
      </c>
      <c r="U123" s="15">
        <v>1.67204429829315</v>
      </c>
      <c r="V123" s="15">
        <v>1.6728270897476101</v>
      </c>
      <c r="W123" s="15">
        <v>2.73293645</v>
      </c>
      <c r="X123" s="15">
        <v>2.1693296210000002</v>
      </c>
      <c r="Y123" s="15">
        <v>79.377243514023206</v>
      </c>
      <c r="Z123" s="15">
        <v>0</v>
      </c>
      <c r="AA123" s="8">
        <f t="shared" si="11"/>
        <v>0</v>
      </c>
      <c r="AB123" s="15">
        <f t="shared" si="12"/>
        <v>0</v>
      </c>
      <c r="AC123" s="15">
        <f t="shared" si="13"/>
        <v>0</v>
      </c>
      <c r="AD123" s="15">
        <f t="shared" si="14"/>
        <v>0</v>
      </c>
      <c r="AE123" s="15">
        <f t="shared" si="15"/>
        <v>0</v>
      </c>
      <c r="AF123" s="15">
        <f t="shared" si="16"/>
        <v>0</v>
      </c>
      <c r="AG123" s="15">
        <f t="shared" si="17"/>
        <v>0</v>
      </c>
      <c r="AH123" s="15">
        <f t="shared" si="18"/>
        <v>0</v>
      </c>
      <c r="AI123" s="16">
        <f t="shared" si="19"/>
        <v>0</v>
      </c>
    </row>
    <row r="124" spans="2:35" x14ac:dyDescent="0.25">
      <c r="B124" t="s">
        <v>207</v>
      </c>
      <c r="C124" s="13">
        <v>46064</v>
      </c>
      <c r="D124" s="35" t="s">
        <v>107</v>
      </c>
      <c r="E124" s="35" t="s">
        <v>198</v>
      </c>
      <c r="F124" s="14" t="s">
        <v>199</v>
      </c>
      <c r="G124" s="15">
        <v>6.5919999999999996</v>
      </c>
      <c r="H124" s="15">
        <v>101.45338</v>
      </c>
      <c r="I124" s="6">
        <v>5.5899542440000003</v>
      </c>
      <c r="J124" s="15">
        <v>208.32748879799999</v>
      </c>
      <c r="K124" s="15">
        <v>1.872222222</v>
      </c>
      <c r="L124" s="15">
        <v>1.7269578933693499</v>
      </c>
      <c r="M124" s="15">
        <v>1.7269578933693499</v>
      </c>
      <c r="N124" s="15">
        <v>2.73293645</v>
      </c>
      <c r="O124" s="15">
        <v>2.1693296210000002</v>
      </c>
      <c r="P124" s="15">
        <v>79.377243514023206</v>
      </c>
      <c r="Q124" s="15">
        <v>0</v>
      </c>
      <c r="R124" s="6">
        <v>5.5899542440000003</v>
      </c>
      <c r="S124" s="15">
        <v>208.32748879799999</v>
      </c>
      <c r="T124" s="15">
        <v>1.872222222</v>
      </c>
      <c r="U124" s="15">
        <v>1.7269578933693499</v>
      </c>
      <c r="V124" s="15">
        <v>1.7269578933693499</v>
      </c>
      <c r="W124" s="15">
        <v>2.73293645</v>
      </c>
      <c r="X124" s="15">
        <v>2.1693296210000002</v>
      </c>
      <c r="Y124" s="15">
        <v>79.377243514023206</v>
      </c>
      <c r="Z124" s="15">
        <v>0</v>
      </c>
      <c r="AA124" s="8">
        <f t="shared" si="11"/>
        <v>0</v>
      </c>
      <c r="AB124" s="15">
        <f t="shared" si="12"/>
        <v>0</v>
      </c>
      <c r="AC124" s="15">
        <f t="shared" si="13"/>
        <v>0</v>
      </c>
      <c r="AD124" s="15">
        <f t="shared" si="14"/>
        <v>0</v>
      </c>
      <c r="AE124" s="15">
        <f t="shared" si="15"/>
        <v>0</v>
      </c>
      <c r="AF124" s="15">
        <f t="shared" si="16"/>
        <v>0</v>
      </c>
      <c r="AG124" s="15">
        <f t="shared" si="17"/>
        <v>0</v>
      </c>
      <c r="AH124" s="15">
        <f t="shared" si="18"/>
        <v>0</v>
      </c>
      <c r="AI124" s="16">
        <f t="shared" si="19"/>
        <v>0</v>
      </c>
    </row>
    <row r="125" spans="2:35" x14ac:dyDescent="0.25">
      <c r="B125" t="s">
        <v>207</v>
      </c>
      <c r="C125" s="13">
        <v>46064</v>
      </c>
      <c r="D125" s="35" t="s">
        <v>107</v>
      </c>
      <c r="E125" s="35" t="s">
        <v>200</v>
      </c>
      <c r="F125" s="14" t="s">
        <v>201</v>
      </c>
      <c r="G125" s="15">
        <v>7.6210000000000004</v>
      </c>
      <c r="H125" s="15">
        <v>101.43824499999999</v>
      </c>
      <c r="I125" s="6">
        <v>6.7282922999999997</v>
      </c>
      <c r="J125" s="15">
        <v>320.88665187200002</v>
      </c>
      <c r="K125" s="15">
        <v>2.122222222</v>
      </c>
      <c r="L125" s="15">
        <v>1.9134373342125599</v>
      </c>
      <c r="M125" s="15">
        <v>1.9134373342125599</v>
      </c>
      <c r="N125" s="15">
        <v>1.8491697330000001</v>
      </c>
      <c r="O125" s="15">
        <v>1.471155915</v>
      </c>
      <c r="P125" s="15">
        <v>79.557646263940896</v>
      </c>
      <c r="Q125" s="15">
        <v>0</v>
      </c>
      <c r="R125" s="6">
        <v>6.7282922999999997</v>
      </c>
      <c r="S125" s="15">
        <v>320.88665187200002</v>
      </c>
      <c r="T125" s="15">
        <v>2.122222222</v>
      </c>
      <c r="U125" s="15">
        <v>1.9134373342125599</v>
      </c>
      <c r="V125" s="15">
        <v>1.9134373342125599</v>
      </c>
      <c r="W125" s="15">
        <v>1.8491697330000001</v>
      </c>
      <c r="X125" s="15">
        <v>1.471155915</v>
      </c>
      <c r="Y125" s="15">
        <v>79.557646263940896</v>
      </c>
      <c r="Z125" s="15">
        <v>0</v>
      </c>
      <c r="AA125" s="8">
        <f t="shared" si="11"/>
        <v>0</v>
      </c>
      <c r="AB125" s="15">
        <f t="shared" si="12"/>
        <v>0</v>
      </c>
      <c r="AC125" s="15">
        <f t="shared" si="13"/>
        <v>0</v>
      </c>
      <c r="AD125" s="15">
        <f t="shared" si="14"/>
        <v>0</v>
      </c>
      <c r="AE125" s="15">
        <f t="shared" si="15"/>
        <v>0</v>
      </c>
      <c r="AF125" s="15">
        <f t="shared" si="16"/>
        <v>0</v>
      </c>
      <c r="AG125" s="15">
        <f t="shared" si="17"/>
        <v>0</v>
      </c>
      <c r="AH125" s="15">
        <f t="shared" si="18"/>
        <v>0</v>
      </c>
      <c r="AI125" s="16">
        <f t="shared" si="19"/>
        <v>0</v>
      </c>
    </row>
    <row r="126" spans="2:35" x14ac:dyDescent="0.25">
      <c r="B126" t="s">
        <v>207</v>
      </c>
      <c r="C126" s="13">
        <v>46064</v>
      </c>
      <c r="D126" s="35" t="s">
        <v>307</v>
      </c>
      <c r="E126" s="35" t="s">
        <v>308</v>
      </c>
      <c r="F126" s="14" t="s">
        <v>309</v>
      </c>
      <c r="G126" s="15">
        <v>0.52131000000000005</v>
      </c>
      <c r="H126" s="15">
        <v>1.8675649999999999</v>
      </c>
      <c r="I126" s="6">
        <v>22.229268837999999</v>
      </c>
      <c r="J126" s="15">
        <v>1854.1566499610001</v>
      </c>
      <c r="K126" s="15">
        <v>6.7227506989999997</v>
      </c>
      <c r="L126" s="15">
        <v>5.99813955605293</v>
      </c>
      <c r="M126" s="15">
        <v>2.1984220629536302</v>
      </c>
      <c r="N126" s="15">
        <v>7.5127414139999997</v>
      </c>
      <c r="O126" s="15">
        <v>6.3209454120000004</v>
      </c>
      <c r="P126" s="15">
        <v>84.136336706876605</v>
      </c>
      <c r="Q126" s="15">
        <v>0</v>
      </c>
      <c r="R126" s="6">
        <v>22.229268837999999</v>
      </c>
      <c r="S126" s="15">
        <v>1854.1566499610001</v>
      </c>
      <c r="T126" s="15">
        <v>6.7227506989999997</v>
      </c>
      <c r="U126" s="15">
        <v>5.99813955605293</v>
      </c>
      <c r="V126" s="15">
        <v>2.1984220629536302</v>
      </c>
      <c r="W126" s="15">
        <v>7.5127414139999997</v>
      </c>
      <c r="X126" s="15">
        <v>6.3209454120000004</v>
      </c>
      <c r="Y126" s="15">
        <v>84.136336706876605</v>
      </c>
      <c r="Z126" s="15">
        <v>0</v>
      </c>
      <c r="AA126" s="8">
        <f t="shared" si="11"/>
        <v>0</v>
      </c>
      <c r="AB126" s="15">
        <f t="shared" si="12"/>
        <v>0</v>
      </c>
      <c r="AC126" s="15">
        <f t="shared" si="13"/>
        <v>0</v>
      </c>
      <c r="AD126" s="15">
        <f t="shared" si="14"/>
        <v>0</v>
      </c>
      <c r="AE126" s="15">
        <f t="shared" si="15"/>
        <v>0</v>
      </c>
      <c r="AF126" s="15">
        <f t="shared" si="16"/>
        <v>0</v>
      </c>
      <c r="AG126" s="15">
        <f t="shared" si="17"/>
        <v>0</v>
      </c>
      <c r="AH126" s="15">
        <f t="shared" si="18"/>
        <v>0</v>
      </c>
      <c r="AI126" s="16">
        <f t="shared" si="19"/>
        <v>0</v>
      </c>
    </row>
  </sheetData>
  <mergeCells count="4">
    <mergeCell ref="C2:H2"/>
    <mergeCell ref="I2:Q2"/>
    <mergeCell ref="R2:Z2"/>
    <mergeCell ref="AA2:AI2"/>
  </mergeCells>
  <phoneticPr fontId="10" type="noConversion"/>
  <conditionalFormatting sqref="AA4:AA126">
    <cfRule type="colorScale" priority="2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AB4:AB126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4:AC126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4:AD126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F4:AF126">
    <cfRule type="colorScale" priority="32">
      <colorScale>
        <cfvo type="min"/>
        <cfvo type="num" val="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13F33-26F3-46A6-BD08-6C371644E6EA}">
  <dimension ref="B1:AE33"/>
  <sheetViews>
    <sheetView showGridLines="0" zoomScale="130" zoomScaleNormal="130" workbookViewId="0">
      <selection activeCell="B37" sqref="B37"/>
    </sheetView>
  </sheetViews>
  <sheetFormatPr defaultRowHeight="15" x14ac:dyDescent="0.25"/>
  <cols>
    <col min="2" max="2" width="19.85546875" bestFit="1" customWidth="1"/>
    <col min="3" max="3" width="9.28515625" bestFit="1" customWidth="1"/>
    <col min="4" max="4" width="8.42578125" bestFit="1" customWidth="1"/>
    <col min="5" max="5" width="7" bestFit="1" customWidth="1"/>
    <col min="6" max="6" width="9.42578125" bestFit="1" customWidth="1"/>
    <col min="7" max="7" width="6.5703125" bestFit="1" customWidth="1"/>
    <col min="8" max="8" width="8.42578125" bestFit="1" customWidth="1"/>
    <col min="9" max="10" width="10" bestFit="1" customWidth="1"/>
    <col min="11" max="11" width="10.28515625" bestFit="1" customWidth="1"/>
    <col min="12" max="12" width="7.28515625" bestFit="1" customWidth="1"/>
    <col min="13" max="13" width="12.5703125" bestFit="1" customWidth="1"/>
    <col min="14" max="14" width="7" bestFit="1" customWidth="1"/>
    <col min="15" max="15" width="9.42578125" bestFit="1" customWidth="1"/>
    <col min="16" max="16" width="6.5703125" bestFit="1" customWidth="1"/>
    <col min="17" max="17" width="8.42578125" bestFit="1" customWidth="1"/>
    <col min="18" max="19" width="10" bestFit="1" customWidth="1"/>
    <col min="20" max="20" width="10.28515625" bestFit="1" customWidth="1"/>
    <col min="21" max="21" width="7.28515625" bestFit="1" customWidth="1"/>
    <col min="22" max="22" width="12.5703125" bestFit="1" customWidth="1"/>
    <col min="23" max="23" width="7" bestFit="1" customWidth="1"/>
    <col min="24" max="24" width="8" bestFit="1" customWidth="1"/>
    <col min="25" max="25" width="6.140625" bestFit="1" customWidth="1"/>
    <col min="26" max="26" width="7" bestFit="1" customWidth="1"/>
    <col min="27" max="28" width="8.5703125" bestFit="1" customWidth="1"/>
    <col min="29" max="29" width="8.85546875" bestFit="1" customWidth="1"/>
    <col min="30" max="30" width="8" bestFit="1" customWidth="1"/>
    <col min="31" max="31" width="11.140625" bestFit="1" customWidth="1"/>
  </cols>
  <sheetData>
    <row r="1" spans="2:31" ht="15.75" thickBot="1" x14ac:dyDescent="0.3"/>
    <row r="2" spans="2:31" ht="21.75" thickBot="1" x14ac:dyDescent="0.3">
      <c r="B2" s="90" t="s">
        <v>0</v>
      </c>
      <c r="C2" s="91"/>
      <c r="D2" s="91"/>
      <c r="E2" s="84" t="s">
        <v>1</v>
      </c>
      <c r="F2" s="84"/>
      <c r="G2" s="84"/>
      <c r="H2" s="84"/>
      <c r="I2" s="84"/>
      <c r="J2" s="84"/>
      <c r="K2" s="84"/>
      <c r="L2" s="84"/>
      <c r="M2" s="84"/>
      <c r="N2" s="85" t="s">
        <v>2</v>
      </c>
      <c r="O2" s="85"/>
      <c r="P2" s="85"/>
      <c r="Q2" s="85"/>
      <c r="R2" s="85"/>
      <c r="S2" s="85"/>
      <c r="T2" s="85"/>
      <c r="U2" s="85"/>
      <c r="V2" s="85"/>
      <c r="W2" s="86" t="s">
        <v>3</v>
      </c>
      <c r="X2" s="86"/>
      <c r="Y2" s="86"/>
      <c r="Z2" s="86"/>
      <c r="AA2" s="86"/>
      <c r="AB2" s="86"/>
      <c r="AC2" s="86"/>
      <c r="AD2" s="86"/>
      <c r="AE2" s="87"/>
    </row>
    <row r="3" spans="2:31" ht="15.75" thickBot="1" x14ac:dyDescent="0.3">
      <c r="B3" s="57" t="s">
        <v>6</v>
      </c>
      <c r="C3" s="56" t="s">
        <v>8</v>
      </c>
      <c r="D3" s="56" t="s">
        <v>9</v>
      </c>
      <c r="E3" s="4" t="s">
        <v>10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15</v>
      </c>
      <c r="K3" s="3" t="s">
        <v>16</v>
      </c>
      <c r="L3" s="3" t="s">
        <v>17</v>
      </c>
      <c r="M3" s="3" t="s">
        <v>18</v>
      </c>
      <c r="N3" s="4" t="s">
        <v>10</v>
      </c>
      <c r="O3" s="3" t="s">
        <v>11</v>
      </c>
      <c r="P3" s="3" t="s">
        <v>12</v>
      </c>
      <c r="Q3" s="3" t="s">
        <v>13</v>
      </c>
      <c r="R3" s="3" t="s">
        <v>14</v>
      </c>
      <c r="S3" s="3" t="s">
        <v>15</v>
      </c>
      <c r="T3" s="3" t="s">
        <v>16</v>
      </c>
      <c r="U3" s="3" t="s">
        <v>17</v>
      </c>
      <c r="V3" s="3" t="s">
        <v>18</v>
      </c>
      <c r="W3" s="3" t="s">
        <v>10</v>
      </c>
      <c r="X3" s="2" t="s">
        <v>11</v>
      </c>
      <c r="Y3" s="2" t="s">
        <v>12</v>
      </c>
      <c r="Z3" s="2" t="s">
        <v>13</v>
      </c>
      <c r="AA3" s="2" t="s">
        <v>14</v>
      </c>
      <c r="AB3" s="2" t="s">
        <v>15</v>
      </c>
      <c r="AC3" s="2" t="s">
        <v>16</v>
      </c>
      <c r="AD3" s="2" t="s">
        <v>17</v>
      </c>
      <c r="AE3" s="5" t="s">
        <v>18</v>
      </c>
    </row>
    <row r="4" spans="2:31" x14ac:dyDescent="0.25">
      <c r="B4" s="50" t="s">
        <v>32</v>
      </c>
      <c r="C4" s="51">
        <v>10.356030000000001</v>
      </c>
      <c r="D4" s="51">
        <v>103.73005999999999</v>
      </c>
      <c r="E4" s="52">
        <v>6.1007306369999998</v>
      </c>
      <c r="F4" s="60">
        <v>244.31369917699999</v>
      </c>
      <c r="G4" s="51">
        <v>1.047222222</v>
      </c>
      <c r="H4" s="51">
        <v>4.5713058490461402E-2</v>
      </c>
      <c r="I4" s="51">
        <v>0.98318783966769596</v>
      </c>
      <c r="J4" s="51">
        <v>0.37236080100000002</v>
      </c>
      <c r="K4" s="51">
        <v>1.3949130000000001E-2</v>
      </c>
      <c r="L4" s="51">
        <v>3.7461327729821901</v>
      </c>
      <c r="M4" s="51">
        <v>0</v>
      </c>
      <c r="N4" s="52">
        <v>6.1007306369999998</v>
      </c>
      <c r="O4" s="60">
        <v>244.31369917699999</v>
      </c>
      <c r="P4" s="51">
        <v>1.047222222</v>
      </c>
      <c r="Q4" s="51">
        <v>4.5713058490461402E-2</v>
      </c>
      <c r="R4" s="51">
        <v>0.98318783966769596</v>
      </c>
      <c r="S4" s="51">
        <v>0.37682388</v>
      </c>
      <c r="T4" s="51">
        <v>4.2414359999999998E-2</v>
      </c>
      <c r="U4" s="51">
        <v>11.255751625932</v>
      </c>
      <c r="V4" s="51">
        <v>0</v>
      </c>
      <c r="W4" s="7">
        <f t="shared" ref="W4:AE32" si="0">E4-N4</f>
        <v>0</v>
      </c>
      <c r="X4" s="60">
        <f t="shared" si="0"/>
        <v>0</v>
      </c>
      <c r="Y4" s="51">
        <f t="shared" si="0"/>
        <v>0</v>
      </c>
      <c r="Z4" s="51">
        <f t="shared" si="0"/>
        <v>0</v>
      </c>
      <c r="AA4" s="51">
        <f t="shared" si="0"/>
        <v>0</v>
      </c>
      <c r="AB4" s="51">
        <f t="shared" si="0"/>
        <v>-4.4630789999999809E-3</v>
      </c>
      <c r="AC4" s="51">
        <f t="shared" ref="AC4:AC31" si="1">K4-T4</f>
        <v>-2.8465229999999998E-2</v>
      </c>
      <c r="AD4" s="51">
        <f t="shared" si="0"/>
        <v>-7.50961885294981</v>
      </c>
      <c r="AE4" s="53">
        <f t="shared" si="0"/>
        <v>0</v>
      </c>
    </row>
    <row r="5" spans="2:31" x14ac:dyDescent="0.25">
      <c r="B5" s="54" t="s">
        <v>34</v>
      </c>
      <c r="C5" s="15">
        <v>10.55603</v>
      </c>
      <c r="D5" s="15">
        <v>104.1875</v>
      </c>
      <c r="E5" s="6">
        <v>6.1079829869999998</v>
      </c>
      <c r="F5" s="61">
        <v>245.55996026400001</v>
      </c>
      <c r="G5" s="15">
        <v>1.127777778</v>
      </c>
      <c r="H5" s="15">
        <v>4.7296574925024502E-2</v>
      </c>
      <c r="I5" s="15">
        <v>1.0554409031793599</v>
      </c>
      <c r="J5" s="15">
        <v>0.54688572199999996</v>
      </c>
      <c r="K5" s="15">
        <v>3.2092764000000003E-2</v>
      </c>
      <c r="L5" s="15">
        <v>5.8682760783431096</v>
      </c>
      <c r="M5" s="15">
        <v>0</v>
      </c>
      <c r="N5" s="6">
        <v>6.1079829869999998</v>
      </c>
      <c r="O5" s="61">
        <v>245.55996026400001</v>
      </c>
      <c r="P5" s="15">
        <v>1.127777778</v>
      </c>
      <c r="Q5" s="15">
        <v>4.7296574925024502E-2</v>
      </c>
      <c r="R5" s="15">
        <v>1.0554409031793599</v>
      </c>
      <c r="S5" s="15">
        <v>0.63299865399999999</v>
      </c>
      <c r="T5" s="15">
        <v>6.4437389999999997E-2</v>
      </c>
      <c r="U5" s="15">
        <v>10.179704110397701</v>
      </c>
      <c r="V5" s="15">
        <v>0</v>
      </c>
      <c r="W5" s="8">
        <f t="shared" si="0"/>
        <v>0</v>
      </c>
      <c r="X5" s="61">
        <f t="shared" si="0"/>
        <v>0</v>
      </c>
      <c r="Y5" s="15">
        <f t="shared" si="0"/>
        <v>0</v>
      </c>
      <c r="Z5" s="15">
        <f t="shared" si="0"/>
        <v>0</v>
      </c>
      <c r="AA5" s="15">
        <f t="shared" si="0"/>
        <v>0</v>
      </c>
      <c r="AB5" s="15">
        <f t="shared" si="0"/>
        <v>-8.6112932000000031E-2</v>
      </c>
      <c r="AC5" s="15">
        <f t="shared" si="1"/>
        <v>-3.2344625999999994E-2</v>
      </c>
      <c r="AD5" s="15">
        <f t="shared" si="0"/>
        <v>-4.3114280320545912</v>
      </c>
      <c r="AE5" s="16">
        <f t="shared" si="0"/>
        <v>0</v>
      </c>
    </row>
    <row r="6" spans="2:31" x14ac:dyDescent="0.25">
      <c r="B6" s="54" t="s">
        <v>36</v>
      </c>
      <c r="C6" s="15">
        <v>12.006030000000001</v>
      </c>
      <c r="D6" s="15">
        <v>106.75</v>
      </c>
      <c r="E6" s="6">
        <v>5.9364829730000004</v>
      </c>
      <c r="F6" s="61">
        <v>229.419671045</v>
      </c>
      <c r="G6" s="15">
        <v>1.294444444</v>
      </c>
      <c r="H6" s="15">
        <v>6.1901404215453398E-2</v>
      </c>
      <c r="I6" s="15">
        <v>1.19454568899298</v>
      </c>
      <c r="J6" s="15">
        <v>0.59737031200000001</v>
      </c>
      <c r="K6" s="15">
        <v>3.5136748000000002E-2</v>
      </c>
      <c r="L6" s="15">
        <v>5.88190395374051</v>
      </c>
      <c r="M6" s="15">
        <v>0</v>
      </c>
      <c r="N6" s="6">
        <v>5.9364829730000004</v>
      </c>
      <c r="O6" s="61">
        <v>229.419671045</v>
      </c>
      <c r="P6" s="15">
        <v>1.294444444</v>
      </c>
      <c r="Q6" s="15">
        <v>6.1901404215453398E-2</v>
      </c>
      <c r="R6" s="15">
        <v>1.19454568899298</v>
      </c>
      <c r="S6" s="15">
        <v>0.75170471000000005</v>
      </c>
      <c r="T6" s="15">
        <v>7.8247170000000005E-2</v>
      </c>
      <c r="U6" s="15">
        <v>10.4092962248434</v>
      </c>
      <c r="V6" s="15">
        <v>0</v>
      </c>
      <c r="W6" s="8">
        <f t="shared" si="0"/>
        <v>0</v>
      </c>
      <c r="X6" s="61">
        <f t="shared" si="0"/>
        <v>0</v>
      </c>
      <c r="Y6" s="15">
        <f t="shared" si="0"/>
        <v>0</v>
      </c>
      <c r="Z6" s="15">
        <f t="shared" si="0"/>
        <v>0</v>
      </c>
      <c r="AA6" s="15">
        <f t="shared" si="0"/>
        <v>0</v>
      </c>
      <c r="AB6" s="15">
        <f t="shared" si="0"/>
        <v>-0.15433439800000004</v>
      </c>
      <c r="AC6" s="15">
        <f t="shared" si="1"/>
        <v>-4.3110422000000002E-2</v>
      </c>
      <c r="AD6" s="15">
        <f t="shared" si="0"/>
        <v>-4.5273922711028902</v>
      </c>
      <c r="AE6" s="16">
        <f t="shared" si="0"/>
        <v>0</v>
      </c>
    </row>
    <row r="7" spans="2:31" x14ac:dyDescent="0.25">
      <c r="B7" s="54" t="s">
        <v>38</v>
      </c>
      <c r="C7" s="15">
        <v>13.856030000000001</v>
      </c>
      <c r="D7" s="15">
        <v>110.28567</v>
      </c>
      <c r="E7" s="6">
        <v>5.8087883720000004</v>
      </c>
      <c r="F7" s="61">
        <v>217.545990029</v>
      </c>
      <c r="G7" s="15">
        <v>1.4611111109999999</v>
      </c>
      <c r="H7" s="15">
        <v>8.5388954884165799E-2</v>
      </c>
      <c r="I7" s="15">
        <v>1.3198399075781999</v>
      </c>
      <c r="J7" s="15">
        <v>0.47982033000000002</v>
      </c>
      <c r="K7" s="15">
        <v>2.7399173999999998E-2</v>
      </c>
      <c r="L7" s="15">
        <v>5.7102986861769702</v>
      </c>
      <c r="M7" s="15">
        <v>0</v>
      </c>
      <c r="N7" s="6">
        <v>5.8087883720000004</v>
      </c>
      <c r="O7" s="61">
        <v>217.545990029</v>
      </c>
      <c r="P7" s="15">
        <v>1.4611111109999999</v>
      </c>
      <c r="Q7" s="15">
        <v>8.5388954884165799E-2</v>
      </c>
      <c r="R7" s="15">
        <v>1.3198399075781999</v>
      </c>
      <c r="S7" s="15">
        <v>0.53319623500000002</v>
      </c>
      <c r="T7" s="15">
        <v>6.8332015999999995E-2</v>
      </c>
      <c r="U7" s="15">
        <v>12.8155473565938</v>
      </c>
      <c r="V7" s="15">
        <v>0</v>
      </c>
      <c r="W7" s="8">
        <f t="shared" si="0"/>
        <v>0</v>
      </c>
      <c r="X7" s="61">
        <f t="shared" si="0"/>
        <v>0</v>
      </c>
      <c r="Y7" s="15">
        <f t="shared" si="0"/>
        <v>0</v>
      </c>
      <c r="Z7" s="15">
        <f t="shared" si="0"/>
        <v>0</v>
      </c>
      <c r="AA7" s="15">
        <f t="shared" si="0"/>
        <v>0</v>
      </c>
      <c r="AB7" s="15">
        <f t="shared" si="0"/>
        <v>-5.3375905000000001E-2</v>
      </c>
      <c r="AC7" s="15">
        <f t="shared" si="1"/>
        <v>-4.0932841999999997E-2</v>
      </c>
      <c r="AD7" s="15">
        <f t="shared" si="0"/>
        <v>-7.1052486704168301</v>
      </c>
      <c r="AE7" s="16">
        <f t="shared" si="0"/>
        <v>0</v>
      </c>
    </row>
    <row r="8" spans="2:31" x14ac:dyDescent="0.25">
      <c r="B8" s="54" t="s">
        <v>40</v>
      </c>
      <c r="C8" s="18">
        <v>14.95603</v>
      </c>
      <c r="D8" s="18">
        <v>113.0625</v>
      </c>
      <c r="E8" s="6">
        <v>5.8039625429999999</v>
      </c>
      <c r="F8" s="62">
        <v>218.046220648</v>
      </c>
      <c r="G8" s="18">
        <v>1.627777778</v>
      </c>
      <c r="H8" s="18">
        <v>0.107013567716972</v>
      </c>
      <c r="I8" s="18">
        <v>1.4481560057490199</v>
      </c>
      <c r="J8" s="18">
        <v>0.537665383</v>
      </c>
      <c r="K8" s="18">
        <v>3.2706772000000002E-2</v>
      </c>
      <c r="L8" s="18">
        <v>6.0831091296052398</v>
      </c>
      <c r="M8" s="18">
        <v>0</v>
      </c>
      <c r="N8" s="6">
        <v>5.8039625429999999</v>
      </c>
      <c r="O8" s="62">
        <v>218.046220648</v>
      </c>
      <c r="P8" s="18">
        <v>1.627777778</v>
      </c>
      <c r="Q8" s="18">
        <v>0.107013567716972</v>
      </c>
      <c r="R8" s="18">
        <v>1.4481560057490199</v>
      </c>
      <c r="S8" s="18">
        <v>0.61895641999999995</v>
      </c>
      <c r="T8" s="18">
        <v>8.2078505999999996E-2</v>
      </c>
      <c r="U8" s="18">
        <v>13.2607891844793</v>
      </c>
      <c r="V8" s="18">
        <v>0</v>
      </c>
      <c r="W8" s="8">
        <f t="shared" si="0"/>
        <v>0</v>
      </c>
      <c r="X8" s="61">
        <f t="shared" si="0"/>
        <v>0</v>
      </c>
      <c r="Y8" s="15">
        <f t="shared" si="0"/>
        <v>0</v>
      </c>
      <c r="Z8" s="15">
        <f t="shared" si="0"/>
        <v>0</v>
      </c>
      <c r="AA8" s="15">
        <f t="shared" si="0"/>
        <v>0</v>
      </c>
      <c r="AB8" s="15">
        <f t="shared" si="0"/>
        <v>-8.1291036999999955E-2</v>
      </c>
      <c r="AC8" s="15">
        <f t="shared" si="1"/>
        <v>-4.9371733999999994E-2</v>
      </c>
      <c r="AD8" s="15">
        <f t="shared" si="0"/>
        <v>-7.1776800548740605</v>
      </c>
      <c r="AE8" s="16">
        <f t="shared" si="0"/>
        <v>0</v>
      </c>
    </row>
    <row r="9" spans="2:31" x14ac:dyDescent="0.25">
      <c r="B9" s="54" t="s">
        <v>42</v>
      </c>
      <c r="C9" s="18">
        <v>16.356030000000001</v>
      </c>
      <c r="D9" s="18">
        <v>115.699219</v>
      </c>
      <c r="E9" s="6">
        <v>5.9636515360000004</v>
      </c>
      <c r="F9" s="62">
        <v>234.45996098099999</v>
      </c>
      <c r="G9" s="18">
        <v>1.7111111109999999</v>
      </c>
      <c r="H9" s="18">
        <v>0.126042577694501</v>
      </c>
      <c r="I9" s="18">
        <v>1.5021696801600799</v>
      </c>
      <c r="J9" s="18">
        <v>0.61879892199999997</v>
      </c>
      <c r="K9" s="18">
        <v>3.6856805999999999E-2</v>
      </c>
      <c r="L9" s="18">
        <v>5.9561845843034602</v>
      </c>
      <c r="M9" s="18">
        <v>0</v>
      </c>
      <c r="N9" s="6">
        <v>5.9636515360000004</v>
      </c>
      <c r="O9" s="62">
        <v>234.45996098099999</v>
      </c>
      <c r="P9" s="18">
        <v>1.7111111109999999</v>
      </c>
      <c r="Q9" s="18">
        <v>0.126042577694501</v>
      </c>
      <c r="R9" s="18">
        <v>1.5021696801600799</v>
      </c>
      <c r="S9" s="18">
        <v>0.69956207599999998</v>
      </c>
      <c r="T9" s="18">
        <v>9.8169604999999993E-2</v>
      </c>
      <c r="U9" s="18">
        <v>14.033008415967901</v>
      </c>
      <c r="V9" s="18">
        <v>0</v>
      </c>
      <c r="W9" s="8">
        <f t="shared" si="0"/>
        <v>0</v>
      </c>
      <c r="X9" s="61">
        <f t="shared" si="0"/>
        <v>0</v>
      </c>
      <c r="Y9" s="15">
        <f t="shared" si="0"/>
        <v>0</v>
      </c>
      <c r="Z9" s="15">
        <f t="shared" si="0"/>
        <v>0</v>
      </c>
      <c r="AA9" s="15">
        <f t="shared" si="0"/>
        <v>0</v>
      </c>
      <c r="AB9" s="15">
        <f t="shared" si="0"/>
        <v>-8.0763154000000004E-2</v>
      </c>
      <c r="AC9" s="15">
        <f t="shared" si="1"/>
        <v>-6.1312798999999994E-2</v>
      </c>
      <c r="AD9" s="15">
        <f t="shared" si="0"/>
        <v>-8.0768238316644414</v>
      </c>
      <c r="AE9" s="16">
        <f t="shared" si="0"/>
        <v>0</v>
      </c>
    </row>
    <row r="10" spans="2:31" x14ac:dyDescent="0.25">
      <c r="B10" s="54" t="s">
        <v>44</v>
      </c>
      <c r="C10" s="18">
        <v>8.3560300000000005</v>
      </c>
      <c r="D10" s="18">
        <v>104.35</v>
      </c>
      <c r="E10" s="6">
        <v>5.9637123919999997</v>
      </c>
      <c r="F10" s="62">
        <v>233.350866927</v>
      </c>
      <c r="G10" s="18">
        <v>3.2944444439999998</v>
      </c>
      <c r="H10" s="18">
        <v>3.7448596070908002E-2</v>
      </c>
      <c r="I10" s="18">
        <v>2.8947060287494</v>
      </c>
      <c r="J10" s="18">
        <v>0.80639813000000005</v>
      </c>
      <c r="K10" s="18">
        <v>0.11473128</v>
      </c>
      <c r="L10" s="18">
        <v>14.2276222788364</v>
      </c>
      <c r="M10" s="18">
        <v>0</v>
      </c>
      <c r="N10" s="6">
        <v>5.9637123919999997</v>
      </c>
      <c r="O10" s="62">
        <v>233.350866927</v>
      </c>
      <c r="P10" s="18">
        <v>3.2944444439999998</v>
      </c>
      <c r="Q10" s="18">
        <v>3.7448596070908002E-2</v>
      </c>
      <c r="R10" s="18">
        <v>2.8947060287494</v>
      </c>
      <c r="S10" s="18">
        <v>1.123876613</v>
      </c>
      <c r="T10" s="18">
        <v>0.27249311500000001</v>
      </c>
      <c r="U10" s="18">
        <v>24.245821280382899</v>
      </c>
      <c r="V10" s="18">
        <v>0</v>
      </c>
      <c r="W10" s="8">
        <f t="shared" si="0"/>
        <v>0</v>
      </c>
      <c r="X10" s="61">
        <f t="shared" si="0"/>
        <v>0</v>
      </c>
      <c r="Y10" s="15">
        <f t="shared" si="0"/>
        <v>0</v>
      </c>
      <c r="Z10" s="15">
        <f t="shared" si="0"/>
        <v>0</v>
      </c>
      <c r="AA10" s="15">
        <f t="shared" si="0"/>
        <v>0</v>
      </c>
      <c r="AB10" s="15">
        <f t="shared" si="0"/>
        <v>-0.31747848299999992</v>
      </c>
      <c r="AC10" s="15">
        <f t="shared" si="1"/>
        <v>-0.15776183500000002</v>
      </c>
      <c r="AD10" s="15">
        <f t="shared" si="0"/>
        <v>-10.018199001546499</v>
      </c>
      <c r="AE10" s="16">
        <f t="shared" si="0"/>
        <v>0</v>
      </c>
    </row>
    <row r="11" spans="2:31" x14ac:dyDescent="0.25">
      <c r="B11" s="54" t="s">
        <v>46</v>
      </c>
      <c r="C11" s="18">
        <v>8.0560299999999998</v>
      </c>
      <c r="D11" s="18">
        <v>103.54</v>
      </c>
      <c r="E11" s="6">
        <v>5.957985324</v>
      </c>
      <c r="F11" s="62">
        <v>232.29940297300001</v>
      </c>
      <c r="G11" s="18">
        <v>3.380555556</v>
      </c>
      <c r="H11" s="18">
        <v>2.4446672783461399E-2</v>
      </c>
      <c r="I11" s="18">
        <v>2.9749187927371001</v>
      </c>
      <c r="J11" s="18">
        <v>0.65514839599999997</v>
      </c>
      <c r="K11" s="18">
        <v>0.106279863</v>
      </c>
      <c r="L11" s="18">
        <v>16.2222579874866</v>
      </c>
      <c r="M11" s="18">
        <v>0</v>
      </c>
      <c r="N11" s="6">
        <v>5.957985324</v>
      </c>
      <c r="O11" s="62">
        <v>232.29940297300001</v>
      </c>
      <c r="P11" s="18">
        <v>3.380555556</v>
      </c>
      <c r="Q11" s="18">
        <v>2.4446672783461399E-2</v>
      </c>
      <c r="R11" s="18">
        <v>2.9749187927371001</v>
      </c>
      <c r="S11" s="18">
        <v>0.96882996099999996</v>
      </c>
      <c r="T11" s="18">
        <v>0.23349405000000001</v>
      </c>
      <c r="U11" s="18">
        <v>24.1006223382062</v>
      </c>
      <c r="V11" s="18">
        <v>0</v>
      </c>
      <c r="W11" s="8">
        <f t="shared" si="0"/>
        <v>0</v>
      </c>
      <c r="X11" s="61">
        <f t="shared" si="0"/>
        <v>0</v>
      </c>
      <c r="Y11" s="15">
        <f t="shared" si="0"/>
        <v>0</v>
      </c>
      <c r="Z11" s="15">
        <f t="shared" si="0"/>
        <v>0</v>
      </c>
      <c r="AA11" s="15">
        <f t="shared" si="0"/>
        <v>0</v>
      </c>
      <c r="AB11" s="15">
        <f t="shared" si="0"/>
        <v>-0.313681565</v>
      </c>
      <c r="AC11" s="15">
        <f t="shared" si="1"/>
        <v>-0.12721418700000001</v>
      </c>
      <c r="AD11" s="15">
        <f t="shared" si="0"/>
        <v>-7.8783643507196004</v>
      </c>
      <c r="AE11" s="16">
        <f t="shared" si="0"/>
        <v>0</v>
      </c>
    </row>
    <row r="12" spans="2:31" x14ac:dyDescent="0.25">
      <c r="B12" s="54" t="s">
        <v>156</v>
      </c>
      <c r="C12" s="20">
        <v>9.7205100000000009</v>
      </c>
      <c r="D12" s="20">
        <v>111.30897</v>
      </c>
      <c r="E12" s="6">
        <v>5.8305767529999999</v>
      </c>
      <c r="F12" s="63">
        <v>214.40632898800001</v>
      </c>
      <c r="G12" s="20">
        <v>4.2944444439999998</v>
      </c>
      <c r="H12" s="20">
        <v>0.161848960600398</v>
      </c>
      <c r="I12" s="20">
        <v>3.57977211989295</v>
      </c>
      <c r="J12" s="20">
        <v>1.6700926469999999</v>
      </c>
      <c r="K12" s="20">
        <v>0.126740028</v>
      </c>
      <c r="L12" s="20">
        <v>7.58880222768863</v>
      </c>
      <c r="M12" s="20">
        <v>0</v>
      </c>
      <c r="N12" s="6">
        <v>5.8305767529999999</v>
      </c>
      <c r="O12" s="63">
        <v>214.40632898800001</v>
      </c>
      <c r="P12" s="20">
        <v>4.2944444439999998</v>
      </c>
      <c r="Q12" s="20">
        <v>0.161848960600398</v>
      </c>
      <c r="R12" s="20">
        <v>3.57977211989295</v>
      </c>
      <c r="S12" s="20">
        <v>1.66897692</v>
      </c>
      <c r="T12" s="20">
        <v>0.256840754</v>
      </c>
      <c r="U12" s="20">
        <v>15.3891135894198</v>
      </c>
      <c r="V12" s="20">
        <v>0</v>
      </c>
      <c r="W12" s="8">
        <f t="shared" si="0"/>
        <v>0</v>
      </c>
      <c r="X12" s="61">
        <f t="shared" si="0"/>
        <v>0</v>
      </c>
      <c r="Y12" s="15">
        <f t="shared" si="0"/>
        <v>0</v>
      </c>
      <c r="Z12" s="15">
        <f t="shared" si="0"/>
        <v>0</v>
      </c>
      <c r="AA12" s="15">
        <f t="shared" si="0"/>
        <v>0</v>
      </c>
      <c r="AB12" s="15">
        <f t="shared" si="0"/>
        <v>1.1157269999999553E-3</v>
      </c>
      <c r="AC12" s="15">
        <f t="shared" si="1"/>
        <v>-0.130100726</v>
      </c>
      <c r="AD12" s="15">
        <f t="shared" si="0"/>
        <v>-7.8003113617311701</v>
      </c>
      <c r="AE12" s="16">
        <f t="shared" si="0"/>
        <v>0</v>
      </c>
    </row>
    <row r="13" spans="2:31" x14ac:dyDescent="0.25">
      <c r="B13" s="54" t="s">
        <v>158</v>
      </c>
      <c r="C13" s="20">
        <v>12.070510000000001</v>
      </c>
      <c r="D13" s="20">
        <v>121.25</v>
      </c>
      <c r="E13" s="6">
        <v>5.7802313290000003</v>
      </c>
      <c r="F13" s="63">
        <v>208.70747207700001</v>
      </c>
      <c r="G13" s="20">
        <v>4.4611111110000001</v>
      </c>
      <c r="H13" s="20">
        <v>0.328805620618558</v>
      </c>
      <c r="I13" s="20">
        <v>3.57522731793815</v>
      </c>
      <c r="J13" s="20">
        <v>1.7486221989999999</v>
      </c>
      <c r="K13" s="20">
        <v>0.13463134099999999</v>
      </c>
      <c r="L13" s="20">
        <v>7.6992812442271896</v>
      </c>
      <c r="M13" s="20">
        <v>0</v>
      </c>
      <c r="N13" s="6">
        <v>5.7802313290000003</v>
      </c>
      <c r="O13" s="63">
        <v>208.70747207700001</v>
      </c>
      <c r="P13" s="20">
        <v>4.4611111110000001</v>
      </c>
      <c r="Q13" s="20">
        <v>0.328805620618558</v>
      </c>
      <c r="R13" s="20">
        <v>3.57522731793815</v>
      </c>
      <c r="S13" s="20">
        <v>2.0429754839999998</v>
      </c>
      <c r="T13" s="20">
        <v>0.23361132800000001</v>
      </c>
      <c r="U13" s="20">
        <v>11.4348571399695</v>
      </c>
      <c r="V13" s="20">
        <v>0</v>
      </c>
      <c r="W13" s="8">
        <f t="shared" si="0"/>
        <v>0</v>
      </c>
      <c r="X13" s="61">
        <f t="shared" si="0"/>
        <v>0</v>
      </c>
      <c r="Y13" s="15">
        <f t="shared" si="0"/>
        <v>0</v>
      </c>
      <c r="Z13" s="15">
        <f t="shared" si="0"/>
        <v>0</v>
      </c>
      <c r="AA13" s="15">
        <f t="shared" si="0"/>
        <v>0</v>
      </c>
      <c r="AB13" s="15">
        <f t="shared" si="0"/>
        <v>-0.29435328499999991</v>
      </c>
      <c r="AC13" s="15">
        <f t="shared" si="1"/>
        <v>-9.8979987000000019E-2</v>
      </c>
      <c r="AD13" s="15">
        <f t="shared" si="0"/>
        <v>-3.7355758957423104</v>
      </c>
      <c r="AE13" s="16">
        <f t="shared" si="0"/>
        <v>0</v>
      </c>
    </row>
    <row r="14" spans="2:31" x14ac:dyDescent="0.25">
      <c r="B14" s="54" t="s">
        <v>160</v>
      </c>
      <c r="C14" s="20">
        <v>9.1060300000000005</v>
      </c>
      <c r="D14" s="20">
        <v>111</v>
      </c>
      <c r="E14" s="6">
        <v>5.8041480080000003</v>
      </c>
      <c r="F14" s="63">
        <v>205.10277681599999</v>
      </c>
      <c r="G14" s="20">
        <v>5.3</v>
      </c>
      <c r="H14" s="20">
        <v>0.17961681621622599</v>
      </c>
      <c r="I14" s="20">
        <v>4.3100447981981898</v>
      </c>
      <c r="J14" s="20">
        <v>0.31354512699999998</v>
      </c>
      <c r="K14" s="20">
        <v>1.6673219E-2</v>
      </c>
      <c r="L14" s="20">
        <v>5.3176457116490301</v>
      </c>
      <c r="M14" s="20">
        <v>0</v>
      </c>
      <c r="N14" s="6">
        <v>5.8041480080000003</v>
      </c>
      <c r="O14" s="63">
        <v>205.10277681599999</v>
      </c>
      <c r="P14" s="20">
        <v>5.3</v>
      </c>
      <c r="Q14" s="20">
        <v>0.17961681621622599</v>
      </c>
      <c r="R14" s="20">
        <v>4.3100447981981898</v>
      </c>
      <c r="S14" s="20">
        <v>0.34421919099999998</v>
      </c>
      <c r="T14" s="20">
        <v>4.4028851000000001E-2</v>
      </c>
      <c r="U14" s="20">
        <v>12.790934425268601</v>
      </c>
      <c r="V14" s="20">
        <v>0</v>
      </c>
      <c r="W14" s="8">
        <f t="shared" si="0"/>
        <v>0</v>
      </c>
      <c r="X14" s="61">
        <f t="shared" si="0"/>
        <v>0</v>
      </c>
      <c r="Y14" s="15">
        <f t="shared" si="0"/>
        <v>0</v>
      </c>
      <c r="Z14" s="15">
        <f t="shared" si="0"/>
        <v>0</v>
      </c>
      <c r="AA14" s="15">
        <f t="shared" si="0"/>
        <v>0</v>
      </c>
      <c r="AB14" s="15">
        <f t="shared" si="0"/>
        <v>-3.0674064000000001E-2</v>
      </c>
      <c r="AC14" s="15">
        <f t="shared" si="1"/>
        <v>-2.7355632000000001E-2</v>
      </c>
      <c r="AD14" s="15">
        <f t="shared" si="0"/>
        <v>-7.4732887136195707</v>
      </c>
      <c r="AE14" s="16">
        <f t="shared" si="0"/>
        <v>0</v>
      </c>
    </row>
    <row r="15" spans="2:31" x14ac:dyDescent="0.25">
      <c r="B15" s="54" t="s">
        <v>162</v>
      </c>
      <c r="C15" s="20">
        <v>11.856030000000001</v>
      </c>
      <c r="D15" s="20">
        <v>105.94096</v>
      </c>
      <c r="E15" s="6">
        <v>5.4495066510000001</v>
      </c>
      <c r="F15" s="63">
        <v>179.10930393999999</v>
      </c>
      <c r="G15" s="20">
        <v>1.047222222</v>
      </c>
      <c r="H15" s="20">
        <v>5.8812902016371897E-2</v>
      </c>
      <c r="I15" s="20">
        <v>0.98019234581222803</v>
      </c>
      <c r="J15" s="20">
        <v>0.29938849000000001</v>
      </c>
      <c r="K15" s="20">
        <v>1.2807499999999999E-2</v>
      </c>
      <c r="L15" s="20">
        <v>4.2778865680507598</v>
      </c>
      <c r="M15" s="20">
        <v>0</v>
      </c>
      <c r="N15" s="6">
        <v>5.4495066510000001</v>
      </c>
      <c r="O15" s="63">
        <v>179.10930393999999</v>
      </c>
      <c r="P15" s="20">
        <v>1.047222222</v>
      </c>
      <c r="Q15" s="20">
        <v>5.8812902016371897E-2</v>
      </c>
      <c r="R15" s="20">
        <v>0.98019234581222803</v>
      </c>
      <c r="S15" s="20">
        <v>0.35637987300000001</v>
      </c>
      <c r="T15" s="20">
        <v>4.6406207999999997E-2</v>
      </c>
      <c r="U15" s="20">
        <v>13.0215569160383</v>
      </c>
      <c r="V15" s="20">
        <v>0</v>
      </c>
      <c r="W15" s="8">
        <f t="shared" si="0"/>
        <v>0</v>
      </c>
      <c r="X15" s="61">
        <f t="shared" si="0"/>
        <v>0</v>
      </c>
      <c r="Y15" s="15">
        <f t="shared" si="0"/>
        <v>0</v>
      </c>
      <c r="Z15" s="15">
        <f t="shared" si="0"/>
        <v>0</v>
      </c>
      <c r="AA15" s="15">
        <f t="shared" si="0"/>
        <v>0</v>
      </c>
      <c r="AB15" s="15">
        <f t="shared" si="0"/>
        <v>-5.6991383000000007E-2</v>
      </c>
      <c r="AC15" s="15">
        <f t="shared" si="1"/>
        <v>-3.3598707999999998E-2</v>
      </c>
      <c r="AD15" s="15">
        <f t="shared" si="0"/>
        <v>-8.7436703479875391</v>
      </c>
      <c r="AE15" s="16">
        <f t="shared" si="0"/>
        <v>0</v>
      </c>
    </row>
    <row r="16" spans="2:31" x14ac:dyDescent="0.25">
      <c r="B16" s="54" t="s">
        <v>164</v>
      </c>
      <c r="C16" s="20">
        <v>12.156029999999999</v>
      </c>
      <c r="D16" s="20">
        <v>106.1875</v>
      </c>
      <c r="E16" s="6">
        <v>5.8965366369999996</v>
      </c>
      <c r="F16" s="63">
        <v>224.329307387</v>
      </c>
      <c r="G16" s="20">
        <v>1.127777778</v>
      </c>
      <c r="H16" s="20">
        <v>5.8417395644496502E-2</v>
      </c>
      <c r="I16" s="20">
        <v>1.0488709198352</v>
      </c>
      <c r="J16" s="20">
        <v>0.38710068199999997</v>
      </c>
      <c r="K16" s="20">
        <v>2.4748144E-2</v>
      </c>
      <c r="L16" s="20">
        <v>6.3932059928533</v>
      </c>
      <c r="M16" s="20">
        <v>0</v>
      </c>
      <c r="N16" s="6">
        <v>5.8965366369999996</v>
      </c>
      <c r="O16" s="63">
        <v>224.329307387</v>
      </c>
      <c r="P16" s="20">
        <v>1.127777778</v>
      </c>
      <c r="Q16" s="20">
        <v>5.8417395644496502E-2</v>
      </c>
      <c r="R16" s="20">
        <v>1.0488709198352</v>
      </c>
      <c r="S16" s="20">
        <v>0.48243296299999999</v>
      </c>
      <c r="T16" s="20">
        <v>6.9082705999999994E-2</v>
      </c>
      <c r="U16" s="20">
        <v>14.3196488006148</v>
      </c>
      <c r="V16" s="20">
        <v>0</v>
      </c>
      <c r="W16" s="8">
        <f t="shared" si="0"/>
        <v>0</v>
      </c>
      <c r="X16" s="61">
        <f t="shared" si="0"/>
        <v>0</v>
      </c>
      <c r="Y16" s="15">
        <f t="shared" si="0"/>
        <v>0</v>
      </c>
      <c r="Z16" s="15">
        <f t="shared" si="0"/>
        <v>0</v>
      </c>
      <c r="AA16" s="15">
        <f t="shared" si="0"/>
        <v>0</v>
      </c>
      <c r="AB16" s="15">
        <f t="shared" si="0"/>
        <v>-9.5332281000000019E-2</v>
      </c>
      <c r="AC16" s="15">
        <f t="shared" si="1"/>
        <v>-4.4334561999999994E-2</v>
      </c>
      <c r="AD16" s="15">
        <f t="shared" si="0"/>
        <v>-7.9264428077615001</v>
      </c>
      <c r="AE16" s="16">
        <f t="shared" si="0"/>
        <v>0</v>
      </c>
    </row>
    <row r="17" spans="2:31" x14ac:dyDescent="0.25">
      <c r="B17" s="54" t="s">
        <v>166</v>
      </c>
      <c r="C17" s="20">
        <v>9.3560300000000005</v>
      </c>
      <c r="D17" s="20">
        <v>115.72168499999999</v>
      </c>
      <c r="E17" s="6">
        <v>6.078599112</v>
      </c>
      <c r="F17" s="63">
        <v>213.99627053</v>
      </c>
      <c r="G17" s="20">
        <v>7.8777777779999996</v>
      </c>
      <c r="H17" s="20">
        <v>0.36630167889450199</v>
      </c>
      <c r="I17" s="20">
        <v>5.8397370587889297</v>
      </c>
      <c r="J17" s="20">
        <v>0.434564226</v>
      </c>
      <c r="K17" s="20">
        <v>2.9204865E-2</v>
      </c>
      <c r="L17" s="20">
        <v>6.7204945213322702</v>
      </c>
      <c r="M17" s="20">
        <v>0</v>
      </c>
      <c r="N17" s="6">
        <v>6.078599112</v>
      </c>
      <c r="O17" s="63">
        <v>213.99627053</v>
      </c>
      <c r="P17" s="20">
        <v>7.8777777779999996</v>
      </c>
      <c r="Q17" s="20">
        <v>0.36630167889450199</v>
      </c>
      <c r="R17" s="20">
        <v>5.8397370587889297</v>
      </c>
      <c r="S17" s="20">
        <v>0.55572747</v>
      </c>
      <c r="T17" s="20">
        <v>6.1556804999999999E-2</v>
      </c>
      <c r="U17" s="20">
        <v>11.0767972294045</v>
      </c>
      <c r="V17" s="20">
        <v>0</v>
      </c>
      <c r="W17" s="8">
        <f t="shared" si="0"/>
        <v>0</v>
      </c>
      <c r="X17" s="61">
        <f t="shared" si="0"/>
        <v>0</v>
      </c>
      <c r="Y17" s="15">
        <f t="shared" si="0"/>
        <v>0</v>
      </c>
      <c r="Z17" s="15">
        <f t="shared" si="0"/>
        <v>0</v>
      </c>
      <c r="AA17" s="15">
        <f t="shared" si="0"/>
        <v>0</v>
      </c>
      <c r="AB17" s="15">
        <f t="shared" si="0"/>
        <v>-0.121163244</v>
      </c>
      <c r="AC17" s="15">
        <f t="shared" si="1"/>
        <v>-3.2351939999999996E-2</v>
      </c>
      <c r="AD17" s="15">
        <f t="shared" si="0"/>
        <v>-4.3563027080722296</v>
      </c>
      <c r="AE17" s="16">
        <f t="shared" si="0"/>
        <v>0</v>
      </c>
    </row>
    <row r="18" spans="2:31" x14ac:dyDescent="0.25">
      <c r="B18" s="54" t="s">
        <v>168</v>
      </c>
      <c r="C18" s="20">
        <v>10.606030000000001</v>
      </c>
      <c r="D18" s="20">
        <v>103.5625</v>
      </c>
      <c r="E18" s="6">
        <v>6.25517973</v>
      </c>
      <c r="F18" s="63">
        <v>258.63001481600003</v>
      </c>
      <c r="G18" s="20">
        <v>0.96111111100000002</v>
      </c>
      <c r="H18" s="20">
        <v>4.5167889921550297E-2</v>
      </c>
      <c r="I18" s="20">
        <v>0.90528504236570895</v>
      </c>
      <c r="J18" s="20">
        <v>0.42587428199999999</v>
      </c>
      <c r="K18" s="20">
        <v>2.9511856E-2</v>
      </c>
      <c r="L18" s="20">
        <v>6.9297107731901004</v>
      </c>
      <c r="M18" s="20">
        <v>0</v>
      </c>
      <c r="N18" s="6">
        <v>6.25517973</v>
      </c>
      <c r="O18" s="63">
        <v>258.63001481600003</v>
      </c>
      <c r="P18" s="20">
        <v>0.96111111100000002</v>
      </c>
      <c r="Q18" s="20">
        <v>4.5167889921550297E-2</v>
      </c>
      <c r="R18" s="20">
        <v>0.90528504236570895</v>
      </c>
      <c r="S18" s="20">
        <v>0.58215013299999996</v>
      </c>
      <c r="T18" s="20">
        <v>6.7560856000000002E-2</v>
      </c>
      <c r="U18" s="20">
        <v>11.605400766953</v>
      </c>
      <c r="V18" s="20">
        <v>0</v>
      </c>
      <c r="W18" s="8">
        <f t="shared" si="0"/>
        <v>0</v>
      </c>
      <c r="X18" s="61">
        <f t="shared" si="0"/>
        <v>0</v>
      </c>
      <c r="Y18" s="15">
        <f t="shared" si="0"/>
        <v>0</v>
      </c>
      <c r="Z18" s="15">
        <f t="shared" si="0"/>
        <v>0</v>
      </c>
      <c r="AA18" s="15">
        <f t="shared" si="0"/>
        <v>0</v>
      </c>
      <c r="AB18" s="15">
        <f t="shared" si="0"/>
        <v>-0.15627585099999997</v>
      </c>
      <c r="AC18" s="15">
        <f t="shared" si="1"/>
        <v>-3.8048999999999999E-2</v>
      </c>
      <c r="AD18" s="15">
        <f t="shared" si="0"/>
        <v>-4.6756899937628997</v>
      </c>
      <c r="AE18" s="16">
        <f t="shared" si="0"/>
        <v>0</v>
      </c>
    </row>
    <row r="19" spans="2:31" x14ac:dyDescent="0.25">
      <c r="B19" s="54" t="s">
        <v>170</v>
      </c>
      <c r="C19" s="20">
        <v>11.356030000000001</v>
      </c>
      <c r="D19" s="20">
        <v>105.4375</v>
      </c>
      <c r="E19" s="6">
        <v>6.0922279079999999</v>
      </c>
      <c r="F19" s="63">
        <v>244.529638957</v>
      </c>
      <c r="G19" s="20">
        <v>1.2194444440000001</v>
      </c>
      <c r="H19" s="20">
        <v>5.37146565500893E-2</v>
      </c>
      <c r="I19" s="20">
        <v>1.1308985730883301</v>
      </c>
      <c r="J19" s="20">
        <v>0.469853091</v>
      </c>
      <c r="K19" s="20">
        <v>3.5430106000000003E-2</v>
      </c>
      <c r="L19" s="20">
        <v>7.5406774327254604</v>
      </c>
      <c r="M19" s="20">
        <v>0</v>
      </c>
      <c r="N19" s="6">
        <v>6.0922279079999999</v>
      </c>
      <c r="O19" s="63">
        <v>244.529638957</v>
      </c>
      <c r="P19" s="20">
        <v>1.2194444440000001</v>
      </c>
      <c r="Q19" s="20">
        <v>5.37146565500893E-2</v>
      </c>
      <c r="R19" s="20">
        <v>1.1308985730883301</v>
      </c>
      <c r="S19" s="20">
        <v>0.73563049599999997</v>
      </c>
      <c r="T19" s="20">
        <v>9.3757546999999997E-2</v>
      </c>
      <c r="U19" s="20">
        <v>12.7451957891642</v>
      </c>
      <c r="V19" s="20">
        <v>0</v>
      </c>
      <c r="W19" s="8">
        <f t="shared" si="0"/>
        <v>0</v>
      </c>
      <c r="X19" s="61">
        <f t="shared" si="0"/>
        <v>0</v>
      </c>
      <c r="Y19" s="15">
        <f t="shared" si="0"/>
        <v>0</v>
      </c>
      <c r="Z19" s="15">
        <f t="shared" si="0"/>
        <v>0</v>
      </c>
      <c r="AA19" s="15">
        <f t="shared" si="0"/>
        <v>0</v>
      </c>
      <c r="AB19" s="15">
        <f t="shared" si="0"/>
        <v>-0.26577740499999997</v>
      </c>
      <c r="AC19" s="15">
        <f t="shared" si="1"/>
        <v>-5.8327440999999994E-2</v>
      </c>
      <c r="AD19" s="15">
        <f t="shared" si="0"/>
        <v>-5.2045183564387392</v>
      </c>
      <c r="AE19" s="16">
        <f t="shared" si="0"/>
        <v>0</v>
      </c>
    </row>
    <row r="20" spans="2:31" x14ac:dyDescent="0.25">
      <c r="B20" s="54" t="s">
        <v>172</v>
      </c>
      <c r="C20" s="20">
        <v>12.856030000000001</v>
      </c>
      <c r="D20" s="20">
        <v>108.359375</v>
      </c>
      <c r="E20" s="6">
        <v>5.8777098990000001</v>
      </c>
      <c r="F20" s="63">
        <v>224.008068256</v>
      </c>
      <c r="G20" s="20">
        <v>1.377777778</v>
      </c>
      <c r="H20" s="20">
        <v>7.2301570583987701E-2</v>
      </c>
      <c r="I20" s="20">
        <v>1.262006848969</v>
      </c>
      <c r="J20" s="20">
        <v>0.54150000600000003</v>
      </c>
      <c r="K20" s="20">
        <v>4.0822443E-2</v>
      </c>
      <c r="L20" s="20">
        <v>7.53877055358703</v>
      </c>
      <c r="M20" s="20">
        <v>0</v>
      </c>
      <c r="N20" s="6">
        <v>5.8777098990000001</v>
      </c>
      <c r="O20" s="63">
        <v>224.008068256</v>
      </c>
      <c r="P20" s="20">
        <v>1.377777778</v>
      </c>
      <c r="Q20" s="20">
        <v>7.2301570583987701E-2</v>
      </c>
      <c r="R20" s="20">
        <v>1.262006848969</v>
      </c>
      <c r="S20" s="20">
        <v>0.697121675</v>
      </c>
      <c r="T20" s="20">
        <v>0.10117225000000001</v>
      </c>
      <c r="U20" s="20">
        <v>14.512853871600001</v>
      </c>
      <c r="V20" s="20">
        <v>0</v>
      </c>
      <c r="W20" s="8">
        <f t="shared" si="0"/>
        <v>0</v>
      </c>
      <c r="X20" s="61">
        <f t="shared" si="0"/>
        <v>0</v>
      </c>
      <c r="Y20" s="15">
        <f t="shared" si="0"/>
        <v>0</v>
      </c>
      <c r="Z20" s="15">
        <f t="shared" si="0"/>
        <v>0</v>
      </c>
      <c r="AA20" s="15">
        <f t="shared" si="0"/>
        <v>0</v>
      </c>
      <c r="AB20" s="15">
        <f t="shared" si="0"/>
        <v>-0.15562166899999996</v>
      </c>
      <c r="AC20" s="15">
        <f t="shared" si="1"/>
        <v>-6.0349807000000005E-2</v>
      </c>
      <c r="AD20" s="15">
        <f t="shared" si="0"/>
        <v>-6.9740833180129709</v>
      </c>
      <c r="AE20" s="16">
        <f t="shared" si="0"/>
        <v>0</v>
      </c>
    </row>
    <row r="21" spans="2:31" x14ac:dyDescent="0.25">
      <c r="B21" s="54" t="s">
        <v>174</v>
      </c>
      <c r="C21" s="20">
        <v>14.106030000000001</v>
      </c>
      <c r="D21" s="20">
        <v>111.304688</v>
      </c>
      <c r="E21" s="6">
        <v>5.7479182870000001</v>
      </c>
      <c r="F21" s="63">
        <v>211.98945747799999</v>
      </c>
      <c r="G21" s="20">
        <v>1.547222222</v>
      </c>
      <c r="H21" s="20">
        <v>9.3999684900963706E-2</v>
      </c>
      <c r="I21" s="20">
        <v>1.39093728558854</v>
      </c>
      <c r="J21" s="20">
        <v>0.582397253</v>
      </c>
      <c r="K21" s="20">
        <v>4.0915948000000001E-2</v>
      </c>
      <c r="L21" s="20">
        <v>7.0254362961426997</v>
      </c>
      <c r="M21" s="20">
        <v>0</v>
      </c>
      <c r="N21" s="6">
        <v>5.7479182870000001</v>
      </c>
      <c r="O21" s="63">
        <v>211.98945747799999</v>
      </c>
      <c r="P21" s="20">
        <v>1.547222222</v>
      </c>
      <c r="Q21" s="20">
        <v>9.3999684900963706E-2</v>
      </c>
      <c r="R21" s="20">
        <v>1.39093728558854</v>
      </c>
      <c r="S21" s="20">
        <v>0.76800017899999995</v>
      </c>
      <c r="T21" s="20">
        <v>0.118295583</v>
      </c>
      <c r="U21" s="20">
        <v>15.4030671130872</v>
      </c>
      <c r="V21" s="20">
        <v>0</v>
      </c>
      <c r="W21" s="8">
        <f t="shared" si="0"/>
        <v>0</v>
      </c>
      <c r="X21" s="61">
        <f t="shared" si="0"/>
        <v>0</v>
      </c>
      <c r="Y21" s="15">
        <f t="shared" si="0"/>
        <v>0</v>
      </c>
      <c r="Z21" s="15">
        <f t="shared" si="0"/>
        <v>0</v>
      </c>
      <c r="AA21" s="15">
        <f t="shared" si="0"/>
        <v>0</v>
      </c>
      <c r="AB21" s="15">
        <f t="shared" si="0"/>
        <v>-0.18560292599999995</v>
      </c>
      <c r="AC21" s="15">
        <f t="shared" si="1"/>
        <v>-7.7379635000000002E-2</v>
      </c>
      <c r="AD21" s="15">
        <f t="shared" si="0"/>
        <v>-8.3776308169444995</v>
      </c>
      <c r="AE21" s="16">
        <f t="shared" si="0"/>
        <v>0</v>
      </c>
    </row>
    <row r="22" spans="2:31" x14ac:dyDescent="0.25">
      <c r="B22" s="54" t="s">
        <v>176</v>
      </c>
      <c r="C22" s="20">
        <v>17.256029999999999</v>
      </c>
      <c r="D22" s="20">
        <v>117.01355</v>
      </c>
      <c r="E22" s="6">
        <v>6.0580622709999998</v>
      </c>
      <c r="F22" s="63">
        <v>243.85573127399999</v>
      </c>
      <c r="G22" s="20">
        <v>1.7111111109999999</v>
      </c>
      <c r="H22" s="20">
        <v>0.133807394955543</v>
      </c>
      <c r="I22" s="20">
        <v>1.4933331250953401</v>
      </c>
      <c r="J22" s="20">
        <v>0.63029170599999995</v>
      </c>
      <c r="K22" s="20">
        <v>5.5474017E-2</v>
      </c>
      <c r="L22" s="20">
        <v>8.8013242871388808</v>
      </c>
      <c r="M22" s="20">
        <v>0</v>
      </c>
      <c r="N22" s="6">
        <v>6.0580622709999998</v>
      </c>
      <c r="O22" s="63">
        <v>243.85573127399999</v>
      </c>
      <c r="P22" s="20">
        <v>1.7111111109999999</v>
      </c>
      <c r="Q22" s="20">
        <v>0.133807394955543</v>
      </c>
      <c r="R22" s="20">
        <v>1.4933331250953401</v>
      </c>
      <c r="S22" s="20">
        <v>0.866430492</v>
      </c>
      <c r="T22" s="20">
        <v>0.14597032300000001</v>
      </c>
      <c r="U22" s="20">
        <v>16.847320627307699</v>
      </c>
      <c r="V22" s="20">
        <v>0</v>
      </c>
      <c r="W22" s="8">
        <f t="shared" si="0"/>
        <v>0</v>
      </c>
      <c r="X22" s="61">
        <f t="shared" si="0"/>
        <v>0</v>
      </c>
      <c r="Y22" s="15">
        <f t="shared" si="0"/>
        <v>0</v>
      </c>
      <c r="Z22" s="15">
        <f t="shared" si="0"/>
        <v>0</v>
      </c>
      <c r="AA22" s="15">
        <f t="shared" si="0"/>
        <v>0</v>
      </c>
      <c r="AB22" s="15">
        <f t="shared" si="0"/>
        <v>-0.23613878600000004</v>
      </c>
      <c r="AC22" s="15">
        <f t="shared" si="1"/>
        <v>-9.0496306000000012E-2</v>
      </c>
      <c r="AD22" s="15">
        <f t="shared" si="0"/>
        <v>-8.0459963401688182</v>
      </c>
      <c r="AE22" s="16">
        <f t="shared" si="0"/>
        <v>0</v>
      </c>
    </row>
    <row r="23" spans="2:31" x14ac:dyDescent="0.25">
      <c r="B23" s="54" t="s">
        <v>178</v>
      </c>
      <c r="C23" s="20">
        <v>15.356030000000001</v>
      </c>
      <c r="D23" s="20">
        <v>111.421875</v>
      </c>
      <c r="E23" s="6">
        <v>6.4818093470000004</v>
      </c>
      <c r="F23" s="63">
        <v>284.76925932199998</v>
      </c>
      <c r="G23" s="20">
        <v>1.4611111109999999</v>
      </c>
      <c r="H23" s="20">
        <v>8.8612467704387604E-2</v>
      </c>
      <c r="I23" s="20">
        <v>1.3041313853316501</v>
      </c>
      <c r="J23" s="20">
        <v>0.61071515899999995</v>
      </c>
      <c r="K23" s="20">
        <v>4.8062065000000001E-2</v>
      </c>
      <c r="L23" s="20">
        <v>7.8698005595109199</v>
      </c>
      <c r="M23" s="20">
        <v>0</v>
      </c>
      <c r="N23" s="6">
        <v>6.4818093470000004</v>
      </c>
      <c r="O23" s="63">
        <v>284.76925932199998</v>
      </c>
      <c r="P23" s="20">
        <v>1.4611111109999999</v>
      </c>
      <c r="Q23" s="20">
        <v>8.8612467704387604E-2</v>
      </c>
      <c r="R23" s="20">
        <v>1.3041313853316501</v>
      </c>
      <c r="S23" s="20">
        <v>0.94449666600000004</v>
      </c>
      <c r="T23" s="20">
        <v>0.11571951599999999</v>
      </c>
      <c r="U23" s="20">
        <v>12.251977181674899</v>
      </c>
      <c r="V23" s="20">
        <v>0</v>
      </c>
      <c r="W23" s="8">
        <f t="shared" si="0"/>
        <v>0</v>
      </c>
      <c r="X23" s="61">
        <f t="shared" si="0"/>
        <v>0</v>
      </c>
      <c r="Y23" s="15">
        <f t="shared" si="0"/>
        <v>0</v>
      </c>
      <c r="Z23" s="15">
        <f t="shared" si="0"/>
        <v>0</v>
      </c>
      <c r="AA23" s="15">
        <f t="shared" si="0"/>
        <v>0</v>
      </c>
      <c r="AB23" s="15">
        <f t="shared" si="0"/>
        <v>-0.33378150700000009</v>
      </c>
      <c r="AC23" s="15">
        <f t="shared" si="1"/>
        <v>-6.7657450999999993E-2</v>
      </c>
      <c r="AD23" s="15">
        <f t="shared" si="0"/>
        <v>-4.3821766221639793</v>
      </c>
      <c r="AE23" s="16">
        <f t="shared" si="0"/>
        <v>0</v>
      </c>
    </row>
    <row r="24" spans="2:31" x14ac:dyDescent="0.25">
      <c r="B24" s="54" t="s">
        <v>27</v>
      </c>
      <c r="C24" s="24">
        <v>16.220510000000001</v>
      </c>
      <c r="D24" s="24">
        <v>103.8</v>
      </c>
      <c r="E24" s="6">
        <v>5.5557319529999996</v>
      </c>
      <c r="F24" s="64">
        <v>166.20872628399999</v>
      </c>
      <c r="G24" s="24">
        <v>0.37769093999999998</v>
      </c>
      <c r="H24" s="24">
        <v>5.2405904624274399E-2</v>
      </c>
      <c r="I24" s="24">
        <v>0.36734243834296598</v>
      </c>
      <c r="J24" s="24">
        <v>1.4999821550000001</v>
      </c>
      <c r="K24" s="24">
        <v>5.2885500000000002E-2</v>
      </c>
      <c r="L24" s="24">
        <v>3.5257419445766698</v>
      </c>
      <c r="M24" s="24">
        <v>4.9914975E-2</v>
      </c>
      <c r="N24" s="6">
        <v>5.5390999750000001</v>
      </c>
      <c r="O24" s="64">
        <v>164.545523669</v>
      </c>
      <c r="P24" s="24">
        <v>0.37768866000000001</v>
      </c>
      <c r="Q24" s="24">
        <v>5.2424300578030603E-2</v>
      </c>
      <c r="R24" s="24">
        <v>0.36737198362235701</v>
      </c>
      <c r="S24" s="24">
        <v>1.0953960140000001</v>
      </c>
      <c r="T24" s="24">
        <v>9.0499836E-2</v>
      </c>
      <c r="U24" s="24">
        <v>8.2618372573336707</v>
      </c>
      <c r="V24" s="24">
        <v>5.6365870999999998E-2</v>
      </c>
      <c r="W24" s="8">
        <f t="shared" si="0"/>
        <v>1.6631977999999492E-2</v>
      </c>
      <c r="X24" s="64">
        <f t="shared" si="0"/>
        <v>1.6632026149999888</v>
      </c>
      <c r="Y24" s="24">
        <f t="shared" si="0"/>
        <v>2.2799999999656428E-6</v>
      </c>
      <c r="Z24" s="24">
        <f t="shared" si="0"/>
        <v>-1.8395953756203398E-5</v>
      </c>
      <c r="AA24" s="24">
        <f t="shared" si="0"/>
        <v>-2.9545279391030022E-5</v>
      </c>
      <c r="AB24" s="24">
        <f t="shared" si="0"/>
        <v>0.40458614100000001</v>
      </c>
      <c r="AC24" s="24">
        <f t="shared" si="1"/>
        <v>-3.7614335999999998E-2</v>
      </c>
      <c r="AD24" s="24">
        <f t="shared" si="0"/>
        <v>-4.7360953127570014</v>
      </c>
      <c r="AE24" s="25">
        <f t="shared" si="0"/>
        <v>-6.4508959999999976E-3</v>
      </c>
    </row>
    <row r="25" spans="2:31" x14ac:dyDescent="0.25">
      <c r="B25" s="54" t="s">
        <v>29</v>
      </c>
      <c r="C25" s="11">
        <v>11.070510000000001</v>
      </c>
      <c r="D25" s="11">
        <v>105.971155</v>
      </c>
      <c r="E25" s="6">
        <v>5.8726454529999996</v>
      </c>
      <c r="F25" s="65">
        <v>223.59351580200001</v>
      </c>
      <c r="G25" s="11">
        <v>1.377777778</v>
      </c>
      <c r="H25" s="11">
        <v>5.7892147160229002E-2</v>
      </c>
      <c r="I25" s="11">
        <v>1.2744465085805701</v>
      </c>
      <c r="J25" s="11">
        <v>1.4437545510000001</v>
      </c>
      <c r="K25" s="11">
        <v>3.5305732999999999E-2</v>
      </c>
      <c r="L25" s="11">
        <v>2.4454110274870402</v>
      </c>
      <c r="M25" s="11">
        <v>0</v>
      </c>
      <c r="N25" s="6">
        <v>5.8726454529999996</v>
      </c>
      <c r="O25" s="65">
        <v>223.59351580200001</v>
      </c>
      <c r="P25" s="11">
        <v>1.377777778</v>
      </c>
      <c r="Q25" s="11">
        <v>5.7892147160229002E-2</v>
      </c>
      <c r="R25" s="11">
        <v>1.2744465085805701</v>
      </c>
      <c r="S25" s="11">
        <v>1.1702092340000001</v>
      </c>
      <c r="T25" s="11">
        <v>7.5803775000000004E-2</v>
      </c>
      <c r="U25" s="11">
        <v>6.4777966877673796</v>
      </c>
      <c r="V25" s="11">
        <v>0</v>
      </c>
      <c r="W25" s="8">
        <f t="shared" si="0"/>
        <v>0</v>
      </c>
      <c r="X25" s="65">
        <f t="shared" si="0"/>
        <v>0</v>
      </c>
      <c r="Y25" s="11">
        <f t="shared" si="0"/>
        <v>0</v>
      </c>
      <c r="Z25" s="11">
        <f t="shared" si="0"/>
        <v>0</v>
      </c>
      <c r="AA25" s="11">
        <f t="shared" si="0"/>
        <v>0</v>
      </c>
      <c r="AB25" s="11">
        <f t="shared" si="0"/>
        <v>0.27354531699999995</v>
      </c>
      <c r="AC25" s="11">
        <f t="shared" si="1"/>
        <v>-4.0498042000000005E-2</v>
      </c>
      <c r="AD25" s="11">
        <f t="shared" si="0"/>
        <v>-4.0323856602803394</v>
      </c>
      <c r="AE25" s="12">
        <f t="shared" si="0"/>
        <v>0</v>
      </c>
    </row>
    <row r="26" spans="2:31" x14ac:dyDescent="0.25">
      <c r="B26" s="54" t="s">
        <v>140</v>
      </c>
      <c r="C26" s="20">
        <v>15.470510000000001</v>
      </c>
      <c r="D26" s="20">
        <v>125.00109500000001</v>
      </c>
      <c r="E26" s="6">
        <v>5.6761561990000002</v>
      </c>
      <c r="F26" s="63">
        <v>205.930436243</v>
      </c>
      <c r="G26" s="20">
        <v>3.0444444439999998</v>
      </c>
      <c r="H26" s="20">
        <v>0.282755005466159</v>
      </c>
      <c r="I26" s="20">
        <v>2.5079752181370898</v>
      </c>
      <c r="J26" s="20">
        <v>2.318471546</v>
      </c>
      <c r="K26" s="20">
        <v>0.19173863199999999</v>
      </c>
      <c r="L26" s="20">
        <v>8.2700446477681293</v>
      </c>
      <c r="M26" s="20">
        <v>0</v>
      </c>
      <c r="N26" s="6">
        <v>5.6761561990000002</v>
      </c>
      <c r="O26" s="63">
        <v>205.930436243</v>
      </c>
      <c r="P26" s="20">
        <v>3.0444444439999998</v>
      </c>
      <c r="Q26" s="20">
        <v>0.282755005466159</v>
      </c>
      <c r="R26" s="20">
        <v>2.5079752181370898</v>
      </c>
      <c r="S26" s="20">
        <v>2.4860092759999999</v>
      </c>
      <c r="T26" s="20">
        <v>0.29132989300000001</v>
      </c>
      <c r="U26" s="20">
        <v>11.718777392043799</v>
      </c>
      <c r="V26" s="20">
        <v>0</v>
      </c>
      <c r="W26" s="8">
        <f t="shared" si="0"/>
        <v>0</v>
      </c>
      <c r="X26" s="61">
        <f t="shared" si="0"/>
        <v>0</v>
      </c>
      <c r="Y26" s="15">
        <f t="shared" si="0"/>
        <v>0</v>
      </c>
      <c r="Z26" s="15">
        <f t="shared" si="0"/>
        <v>0</v>
      </c>
      <c r="AA26" s="15">
        <f t="shared" si="0"/>
        <v>0</v>
      </c>
      <c r="AB26" s="15">
        <f t="shared" si="0"/>
        <v>-0.16753772999999983</v>
      </c>
      <c r="AC26" s="15">
        <f t="shared" si="1"/>
        <v>-9.9591261000000014E-2</v>
      </c>
      <c r="AD26" s="15">
        <f t="shared" si="0"/>
        <v>-3.4487327442756701</v>
      </c>
      <c r="AE26" s="16">
        <f t="shared" si="0"/>
        <v>0</v>
      </c>
    </row>
    <row r="27" spans="2:31" x14ac:dyDescent="0.25">
      <c r="B27" s="54" t="s">
        <v>142</v>
      </c>
      <c r="C27" s="20">
        <v>12.620509999999999</v>
      </c>
      <c r="D27" s="20">
        <v>112.54398999999999</v>
      </c>
      <c r="E27" s="6">
        <v>6.5601431290000001</v>
      </c>
      <c r="F27" s="63">
        <v>295.12091550000002</v>
      </c>
      <c r="G27" s="20">
        <v>2.627777778</v>
      </c>
      <c r="H27" s="20">
        <v>-1.1079671575532399</v>
      </c>
      <c r="I27" s="20">
        <v>2.25166343933603</v>
      </c>
      <c r="J27" s="20">
        <v>2.276492256</v>
      </c>
      <c r="K27" s="20">
        <v>0.21017697099999999</v>
      </c>
      <c r="L27" s="20">
        <v>9.2324922452975802</v>
      </c>
      <c r="M27" s="20">
        <v>0</v>
      </c>
      <c r="N27" s="6">
        <v>6.5601431290000001</v>
      </c>
      <c r="O27" s="63">
        <v>295.12091550000002</v>
      </c>
      <c r="P27" s="20">
        <v>2.627777778</v>
      </c>
      <c r="Q27" s="20">
        <v>-1.1079671575532399</v>
      </c>
      <c r="R27" s="20">
        <v>2.25166343933603</v>
      </c>
      <c r="S27" s="20">
        <v>2.1791589230000001</v>
      </c>
      <c r="T27" s="20">
        <v>0.362206998</v>
      </c>
      <c r="U27" s="20">
        <v>16.621412700885401</v>
      </c>
      <c r="V27" s="20">
        <v>0</v>
      </c>
      <c r="W27" s="8">
        <f t="shared" si="0"/>
        <v>0</v>
      </c>
      <c r="X27" s="61">
        <f t="shared" si="0"/>
        <v>0</v>
      </c>
      <c r="Y27" s="15">
        <f t="shared" si="0"/>
        <v>0</v>
      </c>
      <c r="Z27" s="15">
        <f t="shared" si="0"/>
        <v>0</v>
      </c>
      <c r="AA27" s="15">
        <f t="shared" si="0"/>
        <v>0</v>
      </c>
      <c r="AB27" s="15">
        <f t="shared" si="0"/>
        <v>9.7333332999999911E-2</v>
      </c>
      <c r="AC27" s="15">
        <f t="shared" si="1"/>
        <v>-0.15203002700000001</v>
      </c>
      <c r="AD27" s="15">
        <f t="shared" si="0"/>
        <v>-7.3889204555878205</v>
      </c>
      <c r="AE27" s="16">
        <f t="shared" si="0"/>
        <v>0</v>
      </c>
    </row>
    <row r="28" spans="2:31" x14ac:dyDescent="0.25">
      <c r="B28" s="54" t="s">
        <v>144</v>
      </c>
      <c r="C28" s="20">
        <v>12.820510000000001</v>
      </c>
      <c r="D28" s="20">
        <v>119.43558</v>
      </c>
      <c r="E28" s="6">
        <v>5.9727422199999998</v>
      </c>
      <c r="F28" s="63">
        <v>232.50810020200001</v>
      </c>
      <c r="G28" s="20">
        <v>3.627777778</v>
      </c>
      <c r="H28" s="20">
        <v>0.25388292751624603</v>
      </c>
      <c r="I28" s="20">
        <v>2.9776817109273401</v>
      </c>
      <c r="J28" s="20">
        <v>1.3647466070000001</v>
      </c>
      <c r="K28" s="20">
        <v>6.0791694E-2</v>
      </c>
      <c r="L28" s="20">
        <v>4.4544308583139003</v>
      </c>
      <c r="M28" s="20">
        <v>0</v>
      </c>
      <c r="N28" s="6">
        <v>5.9727422199999998</v>
      </c>
      <c r="O28" s="63">
        <v>232.50810020200001</v>
      </c>
      <c r="P28" s="20">
        <v>3.627777778</v>
      </c>
      <c r="Q28" s="20">
        <v>0.25388292751624603</v>
      </c>
      <c r="R28" s="20">
        <v>2.9776817109273401</v>
      </c>
      <c r="S28" s="20">
        <v>1.2719662899999999</v>
      </c>
      <c r="T28" s="20">
        <v>0.14291520299999999</v>
      </c>
      <c r="U28" s="20">
        <v>11.2357696995256</v>
      </c>
      <c r="V28" s="20">
        <v>0</v>
      </c>
      <c r="W28" s="8">
        <f t="shared" si="0"/>
        <v>0</v>
      </c>
      <c r="X28" s="61">
        <f t="shared" si="0"/>
        <v>0</v>
      </c>
      <c r="Y28" s="15">
        <f t="shared" si="0"/>
        <v>0</v>
      </c>
      <c r="Z28" s="15">
        <f t="shared" si="0"/>
        <v>0</v>
      </c>
      <c r="AA28" s="15">
        <f t="shared" si="0"/>
        <v>0</v>
      </c>
      <c r="AB28" s="15">
        <f t="shared" si="0"/>
        <v>9.2780317000000112E-2</v>
      </c>
      <c r="AC28" s="15">
        <f t="shared" si="1"/>
        <v>-8.2123508999999983E-2</v>
      </c>
      <c r="AD28" s="15">
        <f t="shared" si="0"/>
        <v>-6.7813388412116993</v>
      </c>
      <c r="AE28" s="16">
        <f t="shared" si="0"/>
        <v>0</v>
      </c>
    </row>
    <row r="29" spans="2:31" x14ac:dyDescent="0.25">
      <c r="B29" s="54" t="s">
        <v>146</v>
      </c>
      <c r="C29" s="20">
        <v>9.2628699999999995</v>
      </c>
      <c r="D29" s="20">
        <v>108.080865</v>
      </c>
      <c r="E29" s="6">
        <v>6.1759514150000001</v>
      </c>
      <c r="F29" s="63">
        <v>249.36671872299999</v>
      </c>
      <c r="G29" s="20">
        <v>4.2138888889999997</v>
      </c>
      <c r="H29" s="20">
        <v>9.9191496108030894E-2</v>
      </c>
      <c r="I29" s="20">
        <v>3.5342088250311501</v>
      </c>
      <c r="J29" s="20">
        <v>1.100095738</v>
      </c>
      <c r="K29" s="20">
        <v>4.8911485999999997E-2</v>
      </c>
      <c r="L29" s="20">
        <v>4.4461117619564803</v>
      </c>
      <c r="M29" s="20">
        <v>0</v>
      </c>
      <c r="N29" s="6">
        <v>6.1759514150000001</v>
      </c>
      <c r="O29" s="63">
        <v>249.36671872299999</v>
      </c>
      <c r="P29" s="20">
        <v>4.2138888889999997</v>
      </c>
      <c r="Q29" s="20">
        <v>9.9191496108030894E-2</v>
      </c>
      <c r="R29" s="20">
        <v>3.5342088250311501</v>
      </c>
      <c r="S29" s="20">
        <v>1.005593414</v>
      </c>
      <c r="T29" s="20">
        <v>0.10695695</v>
      </c>
      <c r="U29" s="20">
        <v>10.636202317053</v>
      </c>
      <c r="V29" s="20">
        <v>0</v>
      </c>
      <c r="W29" s="8">
        <f t="shared" si="0"/>
        <v>0</v>
      </c>
      <c r="X29" s="61">
        <f t="shared" si="0"/>
        <v>0</v>
      </c>
      <c r="Y29" s="15">
        <f t="shared" si="0"/>
        <v>0</v>
      </c>
      <c r="Z29" s="15">
        <f t="shared" si="0"/>
        <v>0</v>
      </c>
      <c r="AA29" s="15">
        <f t="shared" si="0"/>
        <v>0</v>
      </c>
      <c r="AB29" s="15">
        <f t="shared" si="0"/>
        <v>9.4502324000000026E-2</v>
      </c>
      <c r="AC29" s="15">
        <f t="shared" si="1"/>
        <v>-5.8045463999999998E-2</v>
      </c>
      <c r="AD29" s="15">
        <f t="shared" si="0"/>
        <v>-6.1900905550965195</v>
      </c>
      <c r="AE29" s="16">
        <f t="shared" si="0"/>
        <v>0</v>
      </c>
    </row>
    <row r="30" spans="2:31" x14ac:dyDescent="0.25">
      <c r="B30" s="54" t="s">
        <v>148</v>
      </c>
      <c r="C30" s="20">
        <v>9.4705100000000009</v>
      </c>
      <c r="D30" s="20">
        <v>109.43523999999999</v>
      </c>
      <c r="E30" s="6">
        <v>6.0191402590000003</v>
      </c>
      <c r="F30" s="63">
        <v>233.700530047</v>
      </c>
      <c r="G30" s="20">
        <v>4.2138888889999997</v>
      </c>
      <c r="H30" s="20">
        <v>0.12516417563483201</v>
      </c>
      <c r="I30" s="20">
        <v>3.52861924641459</v>
      </c>
      <c r="J30" s="20">
        <v>1.4156132699999999</v>
      </c>
      <c r="K30" s="20">
        <v>7.6603738000000005E-2</v>
      </c>
      <c r="L30" s="20">
        <v>5.4113464194920997</v>
      </c>
      <c r="M30" s="20">
        <v>0</v>
      </c>
      <c r="N30" s="6">
        <v>6.0191402590000003</v>
      </c>
      <c r="O30" s="63">
        <v>233.700530047</v>
      </c>
      <c r="P30" s="20">
        <v>4.2138888889999997</v>
      </c>
      <c r="Q30" s="20">
        <v>0.12516417563483201</v>
      </c>
      <c r="R30" s="20">
        <v>3.52861924641459</v>
      </c>
      <c r="S30" s="20">
        <v>1.4443538709999999</v>
      </c>
      <c r="T30" s="20">
        <v>0.128267832</v>
      </c>
      <c r="U30" s="20">
        <v>8.88063753456718</v>
      </c>
      <c r="V30" s="20">
        <v>0</v>
      </c>
      <c r="W30" s="8">
        <f t="shared" si="0"/>
        <v>0</v>
      </c>
      <c r="X30" s="61">
        <f t="shared" si="0"/>
        <v>0</v>
      </c>
      <c r="Y30" s="15">
        <f t="shared" si="0"/>
        <v>0</v>
      </c>
      <c r="Z30" s="15">
        <f t="shared" si="0"/>
        <v>0</v>
      </c>
      <c r="AA30" s="15">
        <f t="shared" si="0"/>
        <v>0</v>
      </c>
      <c r="AB30" s="15">
        <f t="shared" si="0"/>
        <v>-2.8740600999999977E-2</v>
      </c>
      <c r="AC30" s="15">
        <f t="shared" si="1"/>
        <v>-5.1664093999999994E-2</v>
      </c>
      <c r="AD30" s="15">
        <f t="shared" si="0"/>
        <v>-3.4692911150750803</v>
      </c>
      <c r="AE30" s="16">
        <f t="shared" si="0"/>
        <v>0</v>
      </c>
    </row>
    <row r="31" spans="2:31" x14ac:dyDescent="0.25">
      <c r="B31" s="54" t="s">
        <v>150</v>
      </c>
      <c r="C31" s="20">
        <v>16.720510000000001</v>
      </c>
      <c r="D31" s="20">
        <v>121.68104</v>
      </c>
      <c r="E31" s="6">
        <v>6.8883031309999998</v>
      </c>
      <c r="F31" s="63">
        <v>327.80217417900002</v>
      </c>
      <c r="G31" s="20">
        <v>2.627777778</v>
      </c>
      <c r="H31" s="20">
        <v>-1.7830270722538299</v>
      </c>
      <c r="I31" s="20">
        <v>2.1683286204654402</v>
      </c>
      <c r="J31" s="20">
        <v>3.0077042939999998</v>
      </c>
      <c r="K31" s="20">
        <v>0.28493798199999998</v>
      </c>
      <c r="L31" s="20">
        <v>9.4736035908987493</v>
      </c>
      <c r="M31" s="20">
        <v>0</v>
      </c>
      <c r="N31" s="6">
        <v>6.6501336289999999</v>
      </c>
      <c r="O31" s="63">
        <v>304.061594576</v>
      </c>
      <c r="P31" s="20">
        <v>2.5444444439999998</v>
      </c>
      <c r="Q31" s="20">
        <v>-1.3511059298967101</v>
      </c>
      <c r="R31" s="20">
        <v>2.1140041718907101</v>
      </c>
      <c r="S31" s="20">
        <v>3.2784518949999999</v>
      </c>
      <c r="T31" s="20">
        <v>0.418553012</v>
      </c>
      <c r="U31" s="20">
        <v>12.7667882709623</v>
      </c>
      <c r="V31" s="20">
        <v>0</v>
      </c>
      <c r="W31" s="8">
        <f t="shared" si="0"/>
        <v>0.23816950199999987</v>
      </c>
      <c r="X31" s="61">
        <f t="shared" si="0"/>
        <v>23.740579603000015</v>
      </c>
      <c r="Y31" s="15">
        <f t="shared" si="0"/>
        <v>8.3333334000000203E-2</v>
      </c>
      <c r="Z31" s="15">
        <f t="shared" si="0"/>
        <v>-0.43192114235711987</v>
      </c>
      <c r="AA31" s="15">
        <f t="shared" si="0"/>
        <v>5.4324448574730066E-2</v>
      </c>
      <c r="AB31" s="15">
        <f t="shared" si="0"/>
        <v>-0.27074760100000006</v>
      </c>
      <c r="AC31" s="15">
        <f t="shared" si="1"/>
        <v>-0.13361503000000002</v>
      </c>
      <c r="AD31" s="15">
        <f t="shared" si="0"/>
        <v>-3.2931846800635505</v>
      </c>
      <c r="AE31" s="16">
        <f t="shared" si="0"/>
        <v>0</v>
      </c>
    </row>
    <row r="32" spans="2:31" x14ac:dyDescent="0.25">
      <c r="B32" s="54" t="s">
        <v>152</v>
      </c>
      <c r="C32" s="20">
        <v>15.720510000000001</v>
      </c>
      <c r="D32" s="20">
        <v>119</v>
      </c>
      <c r="E32" s="6">
        <v>6.7735410829999996</v>
      </c>
      <c r="F32" s="63">
        <v>316.43416069300002</v>
      </c>
      <c r="G32" s="20">
        <v>2.5444444439999998</v>
      </c>
      <c r="H32" s="20">
        <v>-1.69377987478993</v>
      </c>
      <c r="I32" s="20">
        <v>2.1291733890756301</v>
      </c>
      <c r="J32" s="20">
        <v>3.1350510919999999</v>
      </c>
      <c r="K32" s="20">
        <v>0.32824077600000001</v>
      </c>
      <c r="L32" s="20">
        <v>10.470029558293399</v>
      </c>
      <c r="M32" s="20">
        <v>0</v>
      </c>
      <c r="N32" s="6">
        <v>6.7735410829999996</v>
      </c>
      <c r="O32" s="63">
        <v>316.43416069300002</v>
      </c>
      <c r="P32" s="20">
        <v>2.5444444439999998</v>
      </c>
      <c r="Q32" s="20">
        <v>-1.69377987478993</v>
      </c>
      <c r="R32" s="20">
        <v>2.1291733890756301</v>
      </c>
      <c r="S32" s="20">
        <v>3.4492139470000001</v>
      </c>
      <c r="T32" s="20">
        <v>0.46778622800000003</v>
      </c>
      <c r="U32" s="20">
        <v>13.5621111125004</v>
      </c>
      <c r="V32" s="20">
        <v>0</v>
      </c>
      <c r="W32" s="8">
        <f t="shared" si="0"/>
        <v>0</v>
      </c>
      <c r="X32" s="61">
        <f t="shared" si="0"/>
        <v>0</v>
      </c>
      <c r="Y32" s="15">
        <f t="shared" si="0"/>
        <v>0</v>
      </c>
      <c r="Z32" s="15">
        <f t="shared" ref="Z32:AE33" si="2">H32-Q32</f>
        <v>0</v>
      </c>
      <c r="AA32" s="15">
        <f t="shared" si="2"/>
        <v>0</v>
      </c>
      <c r="AB32" s="15">
        <f t="shared" si="2"/>
        <v>-0.31416285500000019</v>
      </c>
      <c r="AC32" s="15">
        <f t="shared" si="2"/>
        <v>-0.13954545200000001</v>
      </c>
      <c r="AD32" s="15">
        <f t="shared" si="2"/>
        <v>-3.0920815542070006</v>
      </c>
      <c r="AE32" s="16">
        <f t="shared" si="2"/>
        <v>0</v>
      </c>
    </row>
    <row r="33" spans="2:31" ht="15.75" thickBot="1" x14ac:dyDescent="0.3">
      <c r="B33" s="55" t="s">
        <v>154</v>
      </c>
      <c r="C33" s="30">
        <v>11.070510000000001</v>
      </c>
      <c r="D33" s="30">
        <v>112</v>
      </c>
      <c r="E33" s="31">
        <v>5.969331736</v>
      </c>
      <c r="F33" s="66">
        <v>234.82720848700001</v>
      </c>
      <c r="G33" s="30">
        <v>3.1333333329999999</v>
      </c>
      <c r="H33" s="30">
        <v>-1.08535718125</v>
      </c>
      <c r="I33" s="30">
        <v>2.6813994249999902</v>
      </c>
      <c r="J33" s="30">
        <v>3.1173345100000001</v>
      </c>
      <c r="K33" s="30">
        <v>0.314548995</v>
      </c>
      <c r="L33" s="30">
        <v>10.0903189564985</v>
      </c>
      <c r="M33" s="30">
        <v>0</v>
      </c>
      <c r="N33" s="31">
        <v>5.969331736</v>
      </c>
      <c r="O33" s="66">
        <v>234.82720848700001</v>
      </c>
      <c r="P33" s="30">
        <v>3.1333333329999999</v>
      </c>
      <c r="Q33" s="30">
        <v>-1.09724496428572</v>
      </c>
      <c r="R33" s="30">
        <v>2.6813994249999902</v>
      </c>
      <c r="S33" s="30">
        <v>3.4596958779999998</v>
      </c>
      <c r="T33" s="30">
        <v>0.51094863800000001</v>
      </c>
      <c r="U33" s="30">
        <v>14.768599785001101</v>
      </c>
      <c r="V33" s="30">
        <v>0</v>
      </c>
      <c r="W33" s="32">
        <f>E33-N33</f>
        <v>0</v>
      </c>
      <c r="X33" s="67">
        <f>F33-O33</f>
        <v>0</v>
      </c>
      <c r="Y33" s="33">
        <f>G33-P33</f>
        <v>0</v>
      </c>
      <c r="Z33" s="33">
        <f t="shared" si="2"/>
        <v>1.1887783035720023E-2</v>
      </c>
      <c r="AA33" s="33">
        <f t="shared" si="2"/>
        <v>0</v>
      </c>
      <c r="AB33" s="33">
        <f t="shared" si="2"/>
        <v>-0.34236136799999972</v>
      </c>
      <c r="AC33" s="33">
        <f t="shared" si="2"/>
        <v>-0.19639964300000001</v>
      </c>
      <c r="AD33" s="33">
        <f t="shared" si="2"/>
        <v>-4.6782808285026007</v>
      </c>
      <c r="AE33" s="34">
        <f t="shared" si="2"/>
        <v>0</v>
      </c>
    </row>
  </sheetData>
  <mergeCells count="4">
    <mergeCell ref="B2:D2"/>
    <mergeCell ref="E2:M2"/>
    <mergeCell ref="N2:V2"/>
    <mergeCell ref="W2:AE2"/>
  </mergeCells>
  <conditionalFormatting sqref="W4:W33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{C5B2D803-C849-4DDD-8CE5-0659A89AFC37}</x14:id>
        </ext>
      </extLst>
    </cfRule>
  </conditionalFormatting>
  <conditionalFormatting sqref="X4:X33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{A64049D5-E729-4D5E-9B00-FAFC0AC1EBDC}</x14:id>
        </ext>
      </extLst>
    </cfRule>
  </conditionalFormatting>
  <conditionalFormatting sqref="Y4:Y3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{10185BBD-B33B-4FA4-93B6-0C01C72FF8B4}</x14:id>
        </ext>
      </extLst>
    </cfRule>
  </conditionalFormatting>
  <conditionalFormatting sqref="Z4:Z34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{35DF9A7C-2A6B-491E-ACD8-A08B75F83FDB}</x14:id>
        </ext>
      </extLst>
    </cfRule>
  </conditionalFormatting>
  <conditionalFormatting sqref="AA4:AA33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{75834CED-BF07-4F23-84C0-8F68F4E7E30C}</x14:id>
        </ext>
      </extLst>
    </cfRule>
  </conditionalFormatting>
  <conditionalFormatting sqref="AB4:AB33">
    <cfRule type="colorScale" priority="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AC4:AC33">
    <cfRule type="colorScale" priority="1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AD4:AD33">
    <cfRule type="colorScale" priority="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AE4:AE3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{FF425F11-8EE9-4B19-B9F4-85264782E7C4}</x14:id>
        </ext>
      </extLst>
    </cfRule>
  </conditionalFormatting>
  <printOptions gridLines="1"/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5B2D803-C849-4DDD-8CE5-0659A89AFC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W4:W33</xm:sqref>
        </x14:conditionalFormatting>
        <x14:conditionalFormatting xmlns:xm="http://schemas.microsoft.com/office/excel/2006/main">
          <x14:cfRule type="dataBar" id="{A64049D5-E729-4D5E-9B00-FAFC0AC1EB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X4:X33</xm:sqref>
        </x14:conditionalFormatting>
        <x14:conditionalFormatting xmlns:xm="http://schemas.microsoft.com/office/excel/2006/main">
          <x14:cfRule type="dataBar" id="{10185BBD-B33B-4FA4-93B6-0C01C72FF8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Y4:Y33</xm:sqref>
        </x14:conditionalFormatting>
        <x14:conditionalFormatting xmlns:xm="http://schemas.microsoft.com/office/excel/2006/main">
          <x14:cfRule type="dataBar" id="{35DF9A7C-2A6B-491E-ACD8-A08B75F83F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Z4:Z34</xm:sqref>
        </x14:conditionalFormatting>
        <x14:conditionalFormatting xmlns:xm="http://schemas.microsoft.com/office/excel/2006/main">
          <x14:cfRule type="dataBar" id="{75834CED-BF07-4F23-84C0-8F68F4E7E3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AA4:AA33</xm:sqref>
        </x14:conditionalFormatting>
        <x14:conditionalFormatting xmlns:xm="http://schemas.microsoft.com/office/excel/2006/main">
          <x14:cfRule type="dataBar" id="{FF425F11-8EE9-4B19-B9F4-85264782E7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AE4:AE33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AA3B0-FFF9-4D78-919B-BF564ADCA0A8}">
  <dimension ref="C1:Z93"/>
  <sheetViews>
    <sheetView showGridLines="0" zoomScale="145" zoomScaleNormal="145" workbookViewId="0">
      <selection activeCell="F14" sqref="F14"/>
    </sheetView>
  </sheetViews>
  <sheetFormatPr defaultRowHeight="15" x14ac:dyDescent="0.25"/>
  <cols>
    <col min="3" max="3" width="20.85546875" style="73" bestFit="1" customWidth="1"/>
    <col min="4" max="4" width="9.28515625" bestFit="1" customWidth="1"/>
    <col min="5" max="5" width="8" bestFit="1" customWidth="1"/>
    <col min="6" max="6" width="7.7109375" bestFit="1" customWidth="1"/>
    <col min="7" max="7" width="11.28515625" bestFit="1" customWidth="1"/>
    <col min="8" max="8" width="7" bestFit="1" customWidth="1"/>
    <col min="9" max="9" width="10" bestFit="1" customWidth="1"/>
    <col min="10" max="10" width="10.28515625" bestFit="1" customWidth="1"/>
    <col min="11" max="11" width="7" bestFit="1" customWidth="1"/>
    <col min="12" max="12" width="12.5703125" bestFit="1" customWidth="1"/>
    <col min="13" max="13" width="7.7109375" bestFit="1" customWidth="1"/>
    <col min="14" max="14" width="10.28515625" bestFit="1" customWidth="1"/>
    <col min="15" max="15" width="7" bestFit="1" customWidth="1"/>
    <col min="16" max="16" width="10" bestFit="1" customWidth="1"/>
    <col min="17" max="17" width="10.28515625" bestFit="1" customWidth="1"/>
    <col min="18" max="18" width="7" bestFit="1" customWidth="1"/>
    <col min="19" max="19" width="12.5703125" bestFit="1" customWidth="1"/>
    <col min="20" max="20" width="7" bestFit="1" customWidth="1"/>
    <col min="21" max="21" width="9.5703125" bestFit="1" customWidth="1"/>
    <col min="22" max="22" width="6.7109375" bestFit="1" customWidth="1"/>
    <col min="23" max="23" width="8.5703125" bestFit="1" customWidth="1"/>
    <col min="24" max="24" width="8.85546875" bestFit="1" customWidth="1"/>
    <col min="25" max="25" width="6.7109375" bestFit="1" customWidth="1"/>
    <col min="26" max="26" width="11.140625" bestFit="1" customWidth="1"/>
  </cols>
  <sheetData>
    <row r="1" spans="3:26" x14ac:dyDescent="0.25">
      <c r="C1"/>
    </row>
    <row r="2" spans="3:26" ht="15.75" thickBot="1" x14ac:dyDescent="0.3">
      <c r="C2"/>
    </row>
    <row r="3" spans="3:26" ht="21.75" thickBot="1" x14ac:dyDescent="0.3">
      <c r="C3" s="90" t="s">
        <v>202</v>
      </c>
      <c r="D3" s="91"/>
      <c r="E3" s="91"/>
      <c r="F3" s="84" t="s">
        <v>1</v>
      </c>
      <c r="G3" s="84"/>
      <c r="H3" s="84"/>
      <c r="I3" s="84"/>
      <c r="J3" s="84"/>
      <c r="K3" s="84"/>
      <c r="L3" s="84"/>
      <c r="M3" s="85" t="s">
        <v>2</v>
      </c>
      <c r="N3" s="85"/>
      <c r="O3" s="85"/>
      <c r="P3" s="85"/>
      <c r="Q3" s="85"/>
      <c r="R3" s="85"/>
      <c r="S3" s="85"/>
      <c r="T3" s="86" t="s">
        <v>3</v>
      </c>
      <c r="U3" s="86"/>
      <c r="V3" s="86"/>
      <c r="W3" s="86"/>
      <c r="X3" s="86"/>
      <c r="Y3" s="86"/>
      <c r="Z3" s="87"/>
    </row>
    <row r="4" spans="3:26" ht="15.75" thickBot="1" x14ac:dyDescent="0.3">
      <c r="C4" s="1" t="s">
        <v>6</v>
      </c>
      <c r="D4" s="3" t="s">
        <v>8</v>
      </c>
      <c r="E4" s="3" t="s">
        <v>9</v>
      </c>
      <c r="F4" s="4" t="s">
        <v>10</v>
      </c>
      <c r="G4" s="3" t="s">
        <v>11</v>
      </c>
      <c r="H4" s="3" t="s">
        <v>12</v>
      </c>
      <c r="I4" s="3" t="s">
        <v>15</v>
      </c>
      <c r="J4" s="3" t="s">
        <v>16</v>
      </c>
      <c r="K4" s="3" t="s">
        <v>17</v>
      </c>
      <c r="L4" s="3" t="s">
        <v>18</v>
      </c>
      <c r="M4" s="4" t="s">
        <v>10</v>
      </c>
      <c r="N4" s="3" t="s">
        <v>11</v>
      </c>
      <c r="O4" s="3" t="s">
        <v>12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10</v>
      </c>
      <c r="U4" s="2" t="s">
        <v>11</v>
      </c>
      <c r="V4" s="2" t="s">
        <v>12</v>
      </c>
      <c r="W4" s="2" t="s">
        <v>15</v>
      </c>
      <c r="X4" s="2" t="s">
        <v>16</v>
      </c>
      <c r="Y4" s="2" t="s">
        <v>17</v>
      </c>
      <c r="Z4" s="5" t="s">
        <v>18</v>
      </c>
    </row>
    <row r="5" spans="3:26" x14ac:dyDescent="0.25">
      <c r="C5" s="58" t="s">
        <v>178</v>
      </c>
      <c r="D5" s="20">
        <v>15.356030000000001</v>
      </c>
      <c r="E5" s="20">
        <v>111.421875</v>
      </c>
      <c r="F5" s="6">
        <v>6.4818093470000004</v>
      </c>
      <c r="G5" s="63">
        <v>284.76925932199998</v>
      </c>
      <c r="H5" s="20">
        <v>1.4611111109999999</v>
      </c>
      <c r="I5" s="20">
        <v>4.9792363780000004</v>
      </c>
      <c r="J5" s="20">
        <v>1.727286463</v>
      </c>
      <c r="K5" s="20">
        <v>34.689786382340699</v>
      </c>
      <c r="L5" s="20">
        <v>0</v>
      </c>
      <c r="M5" s="6">
        <v>6.4818093470000004</v>
      </c>
      <c r="N5" s="63">
        <v>284.76925932199998</v>
      </c>
      <c r="O5" s="20">
        <v>1.4611111109999999</v>
      </c>
      <c r="P5" s="20">
        <v>7.2569553830000002</v>
      </c>
      <c r="Q5" s="20">
        <v>2.598644679</v>
      </c>
      <c r="R5" s="20">
        <v>35.809021026745398</v>
      </c>
      <c r="S5" s="20">
        <v>0</v>
      </c>
      <c r="T5" s="7">
        <f t="shared" ref="T5:Z34" si="0">F5-M5</f>
        <v>0</v>
      </c>
      <c r="U5" s="61">
        <f t="shared" si="0"/>
        <v>0</v>
      </c>
      <c r="V5" s="15">
        <f t="shared" si="0"/>
        <v>0</v>
      </c>
      <c r="W5" s="15">
        <f t="shared" si="0"/>
        <v>-2.2777190049999998</v>
      </c>
      <c r="X5" s="15">
        <f t="shared" si="0"/>
        <v>-0.87135821599999996</v>
      </c>
      <c r="Y5" s="15">
        <f t="shared" si="0"/>
        <v>-1.119234644404699</v>
      </c>
      <c r="Z5" s="16">
        <f t="shared" si="0"/>
        <v>0</v>
      </c>
    </row>
    <row r="6" spans="3:26" x14ac:dyDescent="0.25">
      <c r="C6" s="58" t="s">
        <v>176</v>
      </c>
      <c r="D6" s="20">
        <v>17.256029999999999</v>
      </c>
      <c r="E6" s="20">
        <v>117.01355</v>
      </c>
      <c r="F6" s="6">
        <v>6.0580622709999998</v>
      </c>
      <c r="G6" s="63">
        <v>243.85573127399999</v>
      </c>
      <c r="H6" s="20">
        <v>1.7111111109999999</v>
      </c>
      <c r="I6" s="20">
        <v>3.3888115779999999</v>
      </c>
      <c r="J6" s="20">
        <v>1.0825272349999999</v>
      </c>
      <c r="K6" s="20">
        <v>31.944155350144399</v>
      </c>
      <c r="L6" s="20">
        <v>0</v>
      </c>
      <c r="M6" s="6">
        <v>6.0580622709999998</v>
      </c>
      <c r="N6" s="63">
        <v>243.85573127399999</v>
      </c>
      <c r="O6" s="20">
        <v>1.7111111109999999</v>
      </c>
      <c r="P6" s="20">
        <v>5.4757739799999996</v>
      </c>
      <c r="Q6" s="20">
        <v>2.111347699</v>
      </c>
      <c r="R6" s="20">
        <v>38.557977497091699</v>
      </c>
      <c r="S6" s="20">
        <v>0</v>
      </c>
      <c r="T6" s="8">
        <f t="shared" si="0"/>
        <v>0</v>
      </c>
      <c r="U6" s="61">
        <f t="shared" si="0"/>
        <v>0</v>
      </c>
      <c r="V6" s="15">
        <f t="shared" si="0"/>
        <v>0</v>
      </c>
      <c r="W6" s="15">
        <f t="shared" si="0"/>
        <v>-2.0869624019999997</v>
      </c>
      <c r="X6" s="15">
        <f t="shared" si="0"/>
        <v>-1.028820464</v>
      </c>
      <c r="Y6" s="15">
        <f t="shared" si="0"/>
        <v>-6.6138221469472995</v>
      </c>
      <c r="Z6" s="16">
        <f t="shared" si="0"/>
        <v>0</v>
      </c>
    </row>
    <row r="7" spans="3:26" x14ac:dyDescent="0.25">
      <c r="C7" s="58" t="s">
        <v>174</v>
      </c>
      <c r="D7" s="20">
        <v>14.106030000000001</v>
      </c>
      <c r="E7" s="20">
        <v>111.304688</v>
      </c>
      <c r="F7" s="6">
        <v>5.7479182870000001</v>
      </c>
      <c r="G7" s="63">
        <v>211.98945747799999</v>
      </c>
      <c r="H7" s="20">
        <v>1.547222222</v>
      </c>
      <c r="I7" s="20">
        <v>2.9745759249999999</v>
      </c>
      <c r="J7" s="20">
        <v>0.87764003300000004</v>
      </c>
      <c r="K7" s="20">
        <v>29.504711095918701</v>
      </c>
      <c r="L7" s="20">
        <v>0</v>
      </c>
      <c r="M7" s="6">
        <v>5.7479182870000001</v>
      </c>
      <c r="N7" s="63">
        <v>211.98945747799999</v>
      </c>
      <c r="O7" s="20">
        <v>1.547222222</v>
      </c>
      <c r="P7" s="20">
        <v>4.7997541989999997</v>
      </c>
      <c r="Q7" s="20">
        <v>1.7375227179999999</v>
      </c>
      <c r="R7" s="20">
        <v>36.2002437200222</v>
      </c>
      <c r="S7" s="20">
        <v>0</v>
      </c>
      <c r="T7" s="8">
        <f t="shared" si="0"/>
        <v>0</v>
      </c>
      <c r="U7" s="61">
        <f t="shared" si="0"/>
        <v>0</v>
      </c>
      <c r="V7" s="15">
        <f t="shared" si="0"/>
        <v>0</v>
      </c>
      <c r="W7" s="15">
        <f t="shared" si="0"/>
        <v>-1.8251782739999998</v>
      </c>
      <c r="X7" s="15">
        <f t="shared" si="0"/>
        <v>-0.85988268499999987</v>
      </c>
      <c r="Y7" s="15">
        <f t="shared" si="0"/>
        <v>-6.6955326241034996</v>
      </c>
      <c r="Z7" s="16">
        <f t="shared" si="0"/>
        <v>0</v>
      </c>
    </row>
    <row r="8" spans="3:26" x14ac:dyDescent="0.25">
      <c r="C8" s="58" t="s">
        <v>172</v>
      </c>
      <c r="D8" s="20">
        <v>12.856030000000001</v>
      </c>
      <c r="E8" s="20">
        <v>108.359375</v>
      </c>
      <c r="F8" s="6">
        <v>5.8777098990000001</v>
      </c>
      <c r="G8" s="63">
        <v>224.008068256</v>
      </c>
      <c r="H8" s="20">
        <v>1.377777778</v>
      </c>
      <c r="I8" s="20">
        <v>2.6603998660000001</v>
      </c>
      <c r="J8" s="20">
        <v>0.74813312799999998</v>
      </c>
      <c r="K8" s="20">
        <v>28.121078246964501</v>
      </c>
      <c r="L8" s="20">
        <v>0</v>
      </c>
      <c r="M8" s="6">
        <v>5.8777098990000001</v>
      </c>
      <c r="N8" s="63">
        <v>224.008068256</v>
      </c>
      <c r="O8" s="20">
        <v>1.377777778</v>
      </c>
      <c r="P8" s="20">
        <v>4.384059841</v>
      </c>
      <c r="Q8" s="20">
        <v>1.5342842160000001</v>
      </c>
      <c r="R8" s="20">
        <v>34.996881238966701</v>
      </c>
      <c r="S8" s="20">
        <v>0</v>
      </c>
      <c r="T8" s="8">
        <f t="shared" si="0"/>
        <v>0</v>
      </c>
      <c r="U8" s="61">
        <f t="shared" si="0"/>
        <v>0</v>
      </c>
      <c r="V8" s="15">
        <f t="shared" si="0"/>
        <v>0</v>
      </c>
      <c r="W8" s="15">
        <f t="shared" si="0"/>
        <v>-1.7236599749999999</v>
      </c>
      <c r="X8" s="15">
        <f t="shared" si="0"/>
        <v>-0.78615108800000011</v>
      </c>
      <c r="Y8" s="15">
        <f t="shared" si="0"/>
        <v>-6.8758029920021997</v>
      </c>
      <c r="Z8" s="16">
        <f t="shared" si="0"/>
        <v>0</v>
      </c>
    </row>
    <row r="9" spans="3:26" x14ac:dyDescent="0.25">
      <c r="C9" s="58" t="s">
        <v>170</v>
      </c>
      <c r="D9" s="20">
        <v>11.356030000000001</v>
      </c>
      <c r="E9" s="20">
        <v>105.4375</v>
      </c>
      <c r="F9" s="6">
        <v>6.0922279079999999</v>
      </c>
      <c r="G9" s="63">
        <v>244.529638957</v>
      </c>
      <c r="H9" s="20">
        <v>1.2194444440000001</v>
      </c>
      <c r="I9" s="20">
        <v>3.2936466100000001</v>
      </c>
      <c r="J9" s="20">
        <v>1.0624981870000001</v>
      </c>
      <c r="K9" s="20">
        <v>32.259022075231101</v>
      </c>
      <c r="L9" s="20">
        <v>0</v>
      </c>
      <c r="M9" s="6">
        <v>6.0922279079999999</v>
      </c>
      <c r="N9" s="63">
        <v>244.529638957</v>
      </c>
      <c r="O9" s="20">
        <v>1.2194444440000001</v>
      </c>
      <c r="P9" s="20">
        <v>5.208125753</v>
      </c>
      <c r="Q9" s="20">
        <v>1.814038692</v>
      </c>
      <c r="R9" s="20">
        <v>34.8309310879268</v>
      </c>
      <c r="S9" s="20">
        <v>0</v>
      </c>
      <c r="T9" s="8">
        <f t="shared" si="0"/>
        <v>0</v>
      </c>
      <c r="U9" s="61">
        <f t="shared" si="0"/>
        <v>0</v>
      </c>
      <c r="V9" s="15">
        <f t="shared" si="0"/>
        <v>0</v>
      </c>
      <c r="W9" s="15">
        <f t="shared" si="0"/>
        <v>-1.9144791429999999</v>
      </c>
      <c r="X9" s="15">
        <f t="shared" si="0"/>
        <v>-0.75154050499999991</v>
      </c>
      <c r="Y9" s="15">
        <f t="shared" si="0"/>
        <v>-2.5719090126956985</v>
      </c>
      <c r="Z9" s="16">
        <f t="shared" si="0"/>
        <v>0</v>
      </c>
    </row>
    <row r="10" spans="3:26" x14ac:dyDescent="0.25">
      <c r="C10" s="58" t="s">
        <v>168</v>
      </c>
      <c r="D10" s="20">
        <v>10.606030000000001</v>
      </c>
      <c r="E10" s="20">
        <v>103.5625</v>
      </c>
      <c r="F10" s="6">
        <v>6.25517973</v>
      </c>
      <c r="G10" s="63">
        <v>258.63001481600003</v>
      </c>
      <c r="H10" s="20">
        <v>0.96111111100000002</v>
      </c>
      <c r="I10" s="20">
        <v>2.4261029330000001</v>
      </c>
      <c r="J10" s="20">
        <v>0.694487207</v>
      </c>
      <c r="K10" s="20">
        <v>28.6256282680155</v>
      </c>
      <c r="L10" s="20">
        <v>0</v>
      </c>
      <c r="M10" s="6">
        <v>6.25517973</v>
      </c>
      <c r="N10" s="63">
        <v>258.63001481600003</v>
      </c>
      <c r="O10" s="20">
        <v>0.96111111100000002</v>
      </c>
      <c r="P10" s="20">
        <v>3.833864159</v>
      </c>
      <c r="Q10" s="20">
        <v>1.2805007100000001</v>
      </c>
      <c r="R10" s="20">
        <v>33.399741276540098</v>
      </c>
      <c r="S10" s="20">
        <v>0</v>
      </c>
      <c r="T10" s="8">
        <f t="shared" si="0"/>
        <v>0</v>
      </c>
      <c r="U10" s="61">
        <f t="shared" si="0"/>
        <v>0</v>
      </c>
      <c r="V10" s="15">
        <f t="shared" si="0"/>
        <v>0</v>
      </c>
      <c r="W10" s="15">
        <f t="shared" si="0"/>
        <v>-1.4077612259999999</v>
      </c>
      <c r="X10" s="15">
        <f t="shared" si="0"/>
        <v>-0.5860135030000001</v>
      </c>
      <c r="Y10" s="15">
        <f t="shared" si="0"/>
        <v>-4.7741130085245977</v>
      </c>
      <c r="Z10" s="16">
        <f t="shared" si="0"/>
        <v>0</v>
      </c>
    </row>
    <row r="11" spans="3:26" x14ac:dyDescent="0.25">
      <c r="C11" s="58" t="s">
        <v>166</v>
      </c>
      <c r="D11" s="20">
        <v>9.3560300000000005</v>
      </c>
      <c r="E11" s="20">
        <v>115.72168499999999</v>
      </c>
      <c r="F11" s="6">
        <v>5.2707839520000004</v>
      </c>
      <c r="G11" s="63">
        <v>133.3981043</v>
      </c>
      <c r="H11" s="20">
        <v>7.7681437989999997</v>
      </c>
      <c r="I11" s="20">
        <v>2.0623783269999998</v>
      </c>
      <c r="J11" s="20">
        <v>0.52184422699999999</v>
      </c>
      <c r="K11" s="20">
        <v>25.303030979727701</v>
      </c>
      <c r="L11" s="20">
        <v>7.3906986430000003</v>
      </c>
      <c r="M11" s="6">
        <v>-3.8049613029999998</v>
      </c>
      <c r="N11" s="63">
        <v>-773.65874591600004</v>
      </c>
      <c r="O11" s="20">
        <v>5.8532477580000002</v>
      </c>
      <c r="P11" s="20">
        <v>3.1611436949999998</v>
      </c>
      <c r="Q11" s="20">
        <v>0.96490115399999998</v>
      </c>
      <c r="R11" s="20">
        <v>30.5237992036297</v>
      </c>
      <c r="S11" s="20">
        <v>56.786490579999999</v>
      </c>
      <c r="T11" s="8">
        <f t="shared" si="0"/>
        <v>9.0757452550000011</v>
      </c>
      <c r="U11" s="61">
        <f t="shared" si="0"/>
        <v>907.05685021600004</v>
      </c>
      <c r="V11" s="15">
        <f t="shared" si="0"/>
        <v>1.9148960409999995</v>
      </c>
      <c r="W11" s="15">
        <f t="shared" si="0"/>
        <v>-1.098765368</v>
      </c>
      <c r="X11" s="15">
        <f t="shared" si="0"/>
        <v>-0.44305692699999999</v>
      </c>
      <c r="Y11" s="15">
        <f t="shared" si="0"/>
        <v>-5.2207682239019988</v>
      </c>
      <c r="Z11" s="16">
        <f t="shared" si="0"/>
        <v>-49.395791936999998</v>
      </c>
    </row>
    <row r="12" spans="3:26" x14ac:dyDescent="0.25">
      <c r="C12" s="58" t="s">
        <v>164</v>
      </c>
      <c r="D12" s="20">
        <v>12.156029999999999</v>
      </c>
      <c r="E12" s="20">
        <v>106.1875</v>
      </c>
      <c r="F12" s="6">
        <v>5.8965366369999996</v>
      </c>
      <c r="G12" s="63">
        <v>224.329307387</v>
      </c>
      <c r="H12" s="20">
        <v>1.127777778</v>
      </c>
      <c r="I12" s="20">
        <v>1.7591313559999999</v>
      </c>
      <c r="J12" s="20">
        <v>0.412086654</v>
      </c>
      <c r="K12" s="20">
        <v>23.425576071648401</v>
      </c>
      <c r="L12" s="20">
        <v>0</v>
      </c>
      <c r="M12" s="6">
        <v>5.8965366369999996</v>
      </c>
      <c r="N12" s="63">
        <v>224.329307387</v>
      </c>
      <c r="O12" s="20">
        <v>1.127777778</v>
      </c>
      <c r="P12" s="20">
        <v>2.9195061889999998</v>
      </c>
      <c r="Q12" s="20">
        <v>0.93030281999999997</v>
      </c>
      <c r="R12" s="20">
        <v>31.865074426119001</v>
      </c>
      <c r="S12" s="20">
        <v>0</v>
      </c>
      <c r="T12" s="8">
        <f t="shared" si="0"/>
        <v>0</v>
      </c>
      <c r="U12" s="61">
        <f t="shared" si="0"/>
        <v>0</v>
      </c>
      <c r="V12" s="15">
        <f t="shared" si="0"/>
        <v>0</v>
      </c>
      <c r="W12" s="15">
        <f t="shared" si="0"/>
        <v>-1.1603748329999999</v>
      </c>
      <c r="X12" s="15">
        <f t="shared" si="0"/>
        <v>-0.51821616599999998</v>
      </c>
      <c r="Y12" s="15">
        <f t="shared" si="0"/>
        <v>-8.4394983544706008</v>
      </c>
      <c r="Z12" s="16">
        <f t="shared" si="0"/>
        <v>0</v>
      </c>
    </row>
    <row r="13" spans="3:26" x14ac:dyDescent="0.25">
      <c r="C13" s="58" t="s">
        <v>162</v>
      </c>
      <c r="D13" s="20">
        <v>11.856030000000001</v>
      </c>
      <c r="E13" s="20">
        <v>105.94096</v>
      </c>
      <c r="F13" s="6">
        <v>5.4495066510000001</v>
      </c>
      <c r="G13" s="63">
        <v>179.10930393999999</v>
      </c>
      <c r="H13" s="20">
        <v>1.047222222</v>
      </c>
      <c r="I13" s="20">
        <v>1.3254613200000001</v>
      </c>
      <c r="J13" s="20">
        <v>0.26214636600000002</v>
      </c>
      <c r="K13" s="20">
        <v>19.777745456955302</v>
      </c>
      <c r="L13" s="20">
        <v>0</v>
      </c>
      <c r="M13" s="6">
        <v>5.4495066510000001</v>
      </c>
      <c r="N13" s="63">
        <v>179.10930393999999</v>
      </c>
      <c r="O13" s="20">
        <v>1.047222222</v>
      </c>
      <c r="P13" s="20">
        <v>2.1784001929999999</v>
      </c>
      <c r="Q13" s="20">
        <v>0.61562288799999998</v>
      </c>
      <c r="R13" s="20">
        <v>28.260321036429499</v>
      </c>
      <c r="S13" s="20">
        <v>0</v>
      </c>
      <c r="T13" s="8">
        <f t="shared" si="0"/>
        <v>0</v>
      </c>
      <c r="U13" s="61">
        <f t="shared" si="0"/>
        <v>0</v>
      </c>
      <c r="V13" s="15">
        <f t="shared" si="0"/>
        <v>0</v>
      </c>
      <c r="W13" s="15">
        <f t="shared" si="0"/>
        <v>-0.85293887299999982</v>
      </c>
      <c r="X13" s="15">
        <f t="shared" si="0"/>
        <v>-0.35347652199999996</v>
      </c>
      <c r="Y13" s="15">
        <f t="shared" si="0"/>
        <v>-8.4825755794741973</v>
      </c>
      <c r="Z13" s="16">
        <f t="shared" si="0"/>
        <v>0</v>
      </c>
    </row>
    <row r="14" spans="3:26" x14ac:dyDescent="0.25">
      <c r="C14" s="58" t="s">
        <v>160</v>
      </c>
      <c r="D14" s="20">
        <v>9.1060300000000005</v>
      </c>
      <c r="E14" s="20">
        <v>111</v>
      </c>
      <c r="F14" s="6">
        <v>5.8041480080000003</v>
      </c>
      <c r="G14" s="63">
        <v>205.10277681599999</v>
      </c>
      <c r="H14" s="20">
        <v>5.3</v>
      </c>
      <c r="I14" s="20">
        <v>1.213658498</v>
      </c>
      <c r="J14" s="20">
        <v>0.21399074500000001</v>
      </c>
      <c r="K14" s="20">
        <v>17.6318746461742</v>
      </c>
      <c r="L14" s="20">
        <v>0</v>
      </c>
      <c r="M14" s="6">
        <v>5.8041480080000003</v>
      </c>
      <c r="N14" s="63">
        <v>205.10277681599999</v>
      </c>
      <c r="O14" s="20">
        <v>5.3</v>
      </c>
      <c r="P14" s="20">
        <v>1.783283967</v>
      </c>
      <c r="Q14" s="20">
        <v>0.468119165</v>
      </c>
      <c r="R14" s="20">
        <v>26.2503994687684</v>
      </c>
      <c r="S14" s="20">
        <v>0</v>
      </c>
      <c r="T14" s="8">
        <f t="shared" si="0"/>
        <v>0</v>
      </c>
      <c r="U14" s="61">
        <f t="shared" si="0"/>
        <v>0</v>
      </c>
      <c r="V14" s="15">
        <f t="shared" si="0"/>
        <v>0</v>
      </c>
      <c r="W14" s="15">
        <f t="shared" si="0"/>
        <v>-0.569625469</v>
      </c>
      <c r="X14" s="15">
        <f t="shared" si="0"/>
        <v>-0.25412842000000002</v>
      </c>
      <c r="Y14" s="15">
        <f t="shared" si="0"/>
        <v>-8.6185248225941997</v>
      </c>
      <c r="Z14" s="16">
        <f t="shared" si="0"/>
        <v>0</v>
      </c>
    </row>
    <row r="15" spans="3:26" x14ac:dyDescent="0.25">
      <c r="C15" s="58" t="s">
        <v>158</v>
      </c>
      <c r="D15" s="20">
        <v>12.070510000000001</v>
      </c>
      <c r="E15" s="20">
        <v>121.25</v>
      </c>
      <c r="F15" s="6">
        <v>1.115083099</v>
      </c>
      <c r="G15" s="63">
        <v>-257.70980102800002</v>
      </c>
      <c r="H15" s="20">
        <v>4.3116543189999996</v>
      </c>
      <c r="I15" s="20">
        <v>4.9919873429999999</v>
      </c>
      <c r="J15" s="20">
        <v>1.26958142</v>
      </c>
      <c r="K15" s="20">
        <v>25.432384594890198</v>
      </c>
      <c r="L15" s="20">
        <v>20.325739464000002</v>
      </c>
      <c r="M15" s="6">
        <v>-5.9504897540000004</v>
      </c>
      <c r="N15" s="63">
        <v>-964.14726320700004</v>
      </c>
      <c r="O15" s="20">
        <v>3.981296961</v>
      </c>
      <c r="P15" s="20">
        <v>6.4817587689999998</v>
      </c>
      <c r="Q15" s="20">
        <v>1.94961433</v>
      </c>
      <c r="R15" s="20">
        <v>30.0784771461155</v>
      </c>
      <c r="S15" s="20">
        <v>44.184828009</v>
      </c>
      <c r="T15" s="8">
        <f t="shared" si="0"/>
        <v>7.0655728530000008</v>
      </c>
      <c r="U15" s="61">
        <f t="shared" si="0"/>
        <v>706.43746217900002</v>
      </c>
      <c r="V15" s="15">
        <f t="shared" si="0"/>
        <v>0.33035735799999966</v>
      </c>
      <c r="W15" s="15">
        <f t="shared" si="0"/>
        <v>-1.4897714259999999</v>
      </c>
      <c r="X15" s="15">
        <f t="shared" si="0"/>
        <v>-0.68003290999999999</v>
      </c>
      <c r="Y15" s="15">
        <f t="shared" si="0"/>
        <v>-4.6460925512253013</v>
      </c>
      <c r="Z15" s="16">
        <f t="shared" si="0"/>
        <v>-23.859088544999999</v>
      </c>
    </row>
    <row r="16" spans="3:26" x14ac:dyDescent="0.25">
      <c r="C16" s="58" t="s">
        <v>156</v>
      </c>
      <c r="D16" s="20">
        <v>9.7205100000000009</v>
      </c>
      <c r="E16" s="20">
        <v>111.30897</v>
      </c>
      <c r="F16" s="6">
        <v>5.4752920129999998</v>
      </c>
      <c r="G16" s="63">
        <v>178.88584169999999</v>
      </c>
      <c r="H16" s="20">
        <v>4.2930489029999999</v>
      </c>
      <c r="I16" s="20">
        <v>4.1365488990000001</v>
      </c>
      <c r="J16" s="20">
        <v>0.97037925000000003</v>
      </c>
      <c r="K16" s="20">
        <v>23.458667447025402</v>
      </c>
      <c r="L16" s="20">
        <v>1.51902457</v>
      </c>
      <c r="M16" s="6">
        <v>1.9380725379999999</v>
      </c>
      <c r="N16" s="63">
        <v>-174.79854658100001</v>
      </c>
      <c r="O16" s="20">
        <v>4.1791877340000001</v>
      </c>
      <c r="P16" s="20">
        <v>4.8635940800000004</v>
      </c>
      <c r="Q16" s="20">
        <v>1.612920422</v>
      </c>
      <c r="R16" s="20">
        <v>33.163138112874698</v>
      </c>
      <c r="S16" s="20">
        <v>16.151460884999999</v>
      </c>
      <c r="T16" s="8">
        <f t="shared" si="0"/>
        <v>3.5372194749999997</v>
      </c>
      <c r="U16" s="61">
        <f t="shared" si="0"/>
        <v>353.684388281</v>
      </c>
      <c r="V16" s="15">
        <f t="shared" si="0"/>
        <v>0.11386116899999976</v>
      </c>
      <c r="W16" s="15">
        <f t="shared" si="0"/>
        <v>-0.72704518100000026</v>
      </c>
      <c r="X16" s="15">
        <f t="shared" si="0"/>
        <v>-0.64254117199999994</v>
      </c>
      <c r="Y16" s="15">
        <f t="shared" si="0"/>
        <v>-9.7044706658492963</v>
      </c>
      <c r="Z16" s="16">
        <f t="shared" si="0"/>
        <v>-14.632436315</v>
      </c>
    </row>
    <row r="17" spans="3:26" x14ac:dyDescent="0.25">
      <c r="C17" s="58" t="s">
        <v>46</v>
      </c>
      <c r="D17" s="20">
        <v>8.0560299999999998</v>
      </c>
      <c r="E17" s="20">
        <v>103.54</v>
      </c>
      <c r="F17" s="6">
        <v>-12.466876012</v>
      </c>
      <c r="G17" s="63">
        <v>-1610.060536404</v>
      </c>
      <c r="H17" s="20">
        <v>3.3392906249999998</v>
      </c>
      <c r="I17" s="20">
        <v>7.4553558720000002</v>
      </c>
      <c r="J17" s="20">
        <v>3.72181293</v>
      </c>
      <c r="K17" s="20">
        <v>49.921331642637902</v>
      </c>
      <c r="L17" s="20">
        <v>52.637623304000002</v>
      </c>
      <c r="M17" s="6">
        <v>-76.353322382000002</v>
      </c>
      <c r="N17" s="63">
        <v>-7996.4255903149997</v>
      </c>
      <c r="O17" s="20">
        <v>2.7695300020000002</v>
      </c>
      <c r="P17" s="20">
        <v>10.242165977999999</v>
      </c>
      <c r="Q17" s="20">
        <v>5.135668678</v>
      </c>
      <c r="R17" s="20">
        <v>50.142408246764703</v>
      </c>
      <c r="S17" s="20">
        <v>100</v>
      </c>
      <c r="T17" s="8">
        <f t="shared" si="0"/>
        <v>63.886446370000002</v>
      </c>
      <c r="U17" s="61">
        <f t="shared" si="0"/>
        <v>6386.3650539109994</v>
      </c>
      <c r="V17" s="15">
        <f t="shared" si="0"/>
        <v>0.56976062299999963</v>
      </c>
      <c r="W17" s="15">
        <f t="shared" si="0"/>
        <v>-2.786810105999999</v>
      </c>
      <c r="X17" s="15">
        <f t="shared" si="0"/>
        <v>-1.413855748</v>
      </c>
      <c r="Y17" s="15">
        <f t="shared" si="0"/>
        <v>-0.22107660412680019</v>
      </c>
      <c r="Z17" s="16">
        <f t="shared" si="0"/>
        <v>-47.362376695999998</v>
      </c>
    </row>
    <row r="18" spans="3:26" x14ac:dyDescent="0.25">
      <c r="C18" s="58" t="s">
        <v>44</v>
      </c>
      <c r="D18" s="20">
        <v>8.3560300000000005</v>
      </c>
      <c r="E18" s="20">
        <v>104.35</v>
      </c>
      <c r="F18" s="6">
        <v>-15.023692344000001</v>
      </c>
      <c r="G18" s="63">
        <v>-1865.2718819260001</v>
      </c>
      <c r="H18" s="20">
        <v>3.2482900360000002</v>
      </c>
      <c r="I18" s="20">
        <v>8.2215520590000004</v>
      </c>
      <c r="J18" s="20">
        <v>4.027986802</v>
      </c>
      <c r="K18" s="20">
        <v>48.993021914768903</v>
      </c>
      <c r="L18" s="20">
        <v>56.833657156000001</v>
      </c>
      <c r="M18" s="6">
        <v>-77.130125555999996</v>
      </c>
      <c r="N18" s="63">
        <v>-8074.1289358370004</v>
      </c>
      <c r="O18" s="20">
        <v>2.7159310950000002</v>
      </c>
      <c r="P18" s="20">
        <v>10.92923077</v>
      </c>
      <c r="Q18" s="20">
        <v>5.435659695</v>
      </c>
      <c r="R18" s="20">
        <v>49.735061958070403</v>
      </c>
      <c r="S18" s="20">
        <v>100</v>
      </c>
      <c r="T18" s="8">
        <f t="shared" si="0"/>
        <v>62.106433211999999</v>
      </c>
      <c r="U18" s="61">
        <f t="shared" si="0"/>
        <v>6208.8570539110005</v>
      </c>
      <c r="V18" s="15">
        <f t="shared" si="0"/>
        <v>0.53235894100000003</v>
      </c>
      <c r="W18" s="15">
        <f t="shared" si="0"/>
        <v>-2.7076787109999998</v>
      </c>
      <c r="X18" s="15">
        <f t="shared" si="0"/>
        <v>-1.407672893</v>
      </c>
      <c r="Y18" s="15">
        <f t="shared" si="0"/>
        <v>-0.74204004330150042</v>
      </c>
      <c r="Z18" s="16">
        <f t="shared" si="0"/>
        <v>-43.166342843999999</v>
      </c>
    </row>
    <row r="19" spans="3:26" x14ac:dyDescent="0.25">
      <c r="C19" s="58" t="s">
        <v>42</v>
      </c>
      <c r="D19" s="20">
        <v>16.356030000000001</v>
      </c>
      <c r="E19" s="20">
        <v>115.699219</v>
      </c>
      <c r="F19" s="6">
        <v>5.9636515360000004</v>
      </c>
      <c r="G19" s="63">
        <v>234.45996098099999</v>
      </c>
      <c r="H19" s="20">
        <v>1.7111111109999999</v>
      </c>
      <c r="I19" s="20">
        <v>3.0439851980000001</v>
      </c>
      <c r="J19" s="20">
        <v>0.83775251799999995</v>
      </c>
      <c r="K19" s="20">
        <v>27.521570030972299</v>
      </c>
      <c r="L19" s="20">
        <v>0</v>
      </c>
      <c r="M19" s="6">
        <v>5.9636515360000004</v>
      </c>
      <c r="N19" s="63">
        <v>234.45996098099999</v>
      </c>
      <c r="O19" s="20">
        <v>1.7111111109999999</v>
      </c>
      <c r="P19" s="20">
        <v>4.4319624820000003</v>
      </c>
      <c r="Q19" s="20">
        <v>1.5516480450000001</v>
      </c>
      <c r="R19" s="20">
        <v>35.010405690523598</v>
      </c>
      <c r="S19" s="20">
        <v>0</v>
      </c>
      <c r="T19" s="8">
        <f t="shared" si="0"/>
        <v>0</v>
      </c>
      <c r="U19" s="61">
        <f t="shared" si="0"/>
        <v>0</v>
      </c>
      <c r="V19" s="15">
        <f t="shared" si="0"/>
        <v>0</v>
      </c>
      <c r="W19" s="15">
        <f t="shared" si="0"/>
        <v>-1.3879772840000002</v>
      </c>
      <c r="X19" s="15">
        <f t="shared" si="0"/>
        <v>-0.71389552700000014</v>
      </c>
      <c r="Y19" s="15">
        <f t="shared" si="0"/>
        <v>-7.4888356595512988</v>
      </c>
      <c r="Z19" s="16">
        <f t="shared" si="0"/>
        <v>0</v>
      </c>
    </row>
    <row r="20" spans="3:26" x14ac:dyDescent="0.25">
      <c r="C20" s="58" t="s">
        <v>40</v>
      </c>
      <c r="D20" s="20">
        <v>14.95603</v>
      </c>
      <c r="E20" s="20">
        <v>113.0625</v>
      </c>
      <c r="F20" s="6">
        <v>5.8039625429999999</v>
      </c>
      <c r="G20" s="63">
        <v>218.046220648</v>
      </c>
      <c r="H20" s="20">
        <v>1.627777778</v>
      </c>
      <c r="I20" s="20">
        <v>2.6713275849999998</v>
      </c>
      <c r="J20" s="20">
        <v>0.71227684700000005</v>
      </c>
      <c r="K20" s="20">
        <v>26.663777628755302</v>
      </c>
      <c r="L20" s="20">
        <v>0</v>
      </c>
      <c r="M20" s="6">
        <v>5.8039625429999999</v>
      </c>
      <c r="N20" s="63">
        <v>218.046220648</v>
      </c>
      <c r="O20" s="20">
        <v>1.627777778</v>
      </c>
      <c r="P20" s="20">
        <v>3.9367127289999999</v>
      </c>
      <c r="Q20" s="20">
        <v>1.3544420029999999</v>
      </c>
      <c r="R20" s="20">
        <v>34.405406140570797</v>
      </c>
      <c r="S20" s="20">
        <v>0</v>
      </c>
      <c r="T20" s="8">
        <f t="shared" si="0"/>
        <v>0</v>
      </c>
      <c r="U20" s="61">
        <f t="shared" si="0"/>
        <v>0</v>
      </c>
      <c r="V20" s="15">
        <f t="shared" si="0"/>
        <v>0</v>
      </c>
      <c r="W20" s="15">
        <f t="shared" si="0"/>
        <v>-1.2653851440000001</v>
      </c>
      <c r="X20" s="15">
        <f t="shared" si="0"/>
        <v>-0.6421651559999999</v>
      </c>
      <c r="Y20" s="15">
        <f t="shared" si="0"/>
        <v>-7.7416285118154953</v>
      </c>
      <c r="Z20" s="16">
        <f t="shared" si="0"/>
        <v>0</v>
      </c>
    </row>
    <row r="21" spans="3:26" x14ac:dyDescent="0.25">
      <c r="C21" s="58" t="s">
        <v>38</v>
      </c>
      <c r="D21" s="20">
        <v>13.856030000000001</v>
      </c>
      <c r="E21" s="20">
        <v>110.28567</v>
      </c>
      <c r="F21" s="6">
        <v>5.8087883720000004</v>
      </c>
      <c r="G21" s="63">
        <v>217.545990029</v>
      </c>
      <c r="H21" s="20">
        <v>1.4611111109999999</v>
      </c>
      <c r="I21" s="20">
        <v>2.247896549</v>
      </c>
      <c r="J21" s="20">
        <v>0.55509215999999995</v>
      </c>
      <c r="K21" s="20">
        <v>24.693848133133098</v>
      </c>
      <c r="L21" s="20">
        <v>0</v>
      </c>
      <c r="M21" s="6">
        <v>5.8087883720000004</v>
      </c>
      <c r="N21" s="63">
        <v>217.545990029</v>
      </c>
      <c r="O21" s="20">
        <v>1.4611111109999999</v>
      </c>
      <c r="P21" s="20">
        <v>3.306431823</v>
      </c>
      <c r="Q21" s="20">
        <v>1.100749363</v>
      </c>
      <c r="R21" s="20">
        <v>33.2911555999139</v>
      </c>
      <c r="S21" s="20">
        <v>0</v>
      </c>
      <c r="T21" s="8">
        <f t="shared" si="0"/>
        <v>0</v>
      </c>
      <c r="U21" s="61">
        <f t="shared" si="0"/>
        <v>0</v>
      </c>
      <c r="V21" s="15">
        <f t="shared" si="0"/>
        <v>0</v>
      </c>
      <c r="W21" s="15">
        <f t="shared" si="0"/>
        <v>-1.058535274</v>
      </c>
      <c r="X21" s="15">
        <f t="shared" si="0"/>
        <v>-0.54565720300000009</v>
      </c>
      <c r="Y21" s="15">
        <f t="shared" si="0"/>
        <v>-8.5973074667808014</v>
      </c>
      <c r="Z21" s="16">
        <f t="shared" si="0"/>
        <v>0</v>
      </c>
    </row>
    <row r="22" spans="3:26" x14ac:dyDescent="0.25">
      <c r="C22" s="58" t="s">
        <v>36</v>
      </c>
      <c r="D22" s="18">
        <v>12.006030000000001</v>
      </c>
      <c r="E22" s="18">
        <v>106.75</v>
      </c>
      <c r="F22" s="6">
        <v>5.9364829730000004</v>
      </c>
      <c r="G22" s="62">
        <v>229.419671045</v>
      </c>
      <c r="H22" s="18">
        <v>1.294444444</v>
      </c>
      <c r="I22" s="18">
        <v>3.6669582260000002</v>
      </c>
      <c r="J22" s="18">
        <v>1.053289377</v>
      </c>
      <c r="K22" s="18">
        <v>28.723789912080701</v>
      </c>
      <c r="L22" s="18">
        <v>0</v>
      </c>
      <c r="M22" s="6">
        <v>5.9364829730000004</v>
      </c>
      <c r="N22" s="62">
        <v>229.419671045</v>
      </c>
      <c r="O22" s="18">
        <v>1.294444444</v>
      </c>
      <c r="P22" s="18">
        <v>5.2103369329999998</v>
      </c>
      <c r="Q22" s="18">
        <v>1.707544513</v>
      </c>
      <c r="R22" s="18">
        <v>32.7722474564967</v>
      </c>
      <c r="S22" s="18">
        <v>0</v>
      </c>
      <c r="T22" s="8">
        <f t="shared" si="0"/>
        <v>0</v>
      </c>
      <c r="U22" s="61">
        <f t="shared" si="0"/>
        <v>0</v>
      </c>
      <c r="V22" s="15">
        <f t="shared" si="0"/>
        <v>0</v>
      </c>
      <c r="W22" s="15">
        <f t="shared" si="0"/>
        <v>-1.5433787069999996</v>
      </c>
      <c r="X22" s="15">
        <f t="shared" si="0"/>
        <v>-0.65425513599999996</v>
      </c>
      <c r="Y22" s="15">
        <f t="shared" si="0"/>
        <v>-4.0484575444159994</v>
      </c>
      <c r="Z22" s="16">
        <f t="shared" si="0"/>
        <v>0</v>
      </c>
    </row>
    <row r="23" spans="3:26" x14ac:dyDescent="0.25">
      <c r="C23" s="58" t="s">
        <v>34</v>
      </c>
      <c r="D23" s="18">
        <v>10.55603</v>
      </c>
      <c r="E23" s="18">
        <v>104.1875</v>
      </c>
      <c r="F23" s="6">
        <v>6.1079829869999998</v>
      </c>
      <c r="G23" s="62">
        <v>245.55996026400001</v>
      </c>
      <c r="H23" s="18">
        <v>1.127777778</v>
      </c>
      <c r="I23" s="18">
        <v>2.805783795</v>
      </c>
      <c r="J23" s="18">
        <v>0.71964653899999997</v>
      </c>
      <c r="K23" s="18">
        <v>25.648681137956299</v>
      </c>
      <c r="L23" s="18">
        <v>0</v>
      </c>
      <c r="M23" s="6">
        <v>6.1079829869999998</v>
      </c>
      <c r="N23" s="62">
        <v>245.55996026400001</v>
      </c>
      <c r="O23" s="18">
        <v>1.127777778</v>
      </c>
      <c r="P23" s="18">
        <v>4.0776269699999999</v>
      </c>
      <c r="Q23" s="18">
        <v>1.2612311810000001</v>
      </c>
      <c r="R23" s="18">
        <v>30.930518909139</v>
      </c>
      <c r="S23" s="18">
        <v>0</v>
      </c>
      <c r="T23" s="8">
        <f t="shared" si="0"/>
        <v>0</v>
      </c>
      <c r="U23" s="61">
        <f t="shared" si="0"/>
        <v>0</v>
      </c>
      <c r="V23" s="15">
        <f t="shared" si="0"/>
        <v>0</v>
      </c>
      <c r="W23" s="15">
        <f t="shared" si="0"/>
        <v>-1.2718431749999999</v>
      </c>
      <c r="X23" s="15">
        <f t="shared" si="0"/>
        <v>-0.54158464200000012</v>
      </c>
      <c r="Y23" s="15">
        <f t="shared" si="0"/>
        <v>-5.2818377711827011</v>
      </c>
      <c r="Z23" s="16">
        <f t="shared" si="0"/>
        <v>0</v>
      </c>
    </row>
    <row r="24" spans="3:26" x14ac:dyDescent="0.25">
      <c r="C24" s="58" t="s">
        <v>32</v>
      </c>
      <c r="D24" s="18">
        <v>10.356030000000001</v>
      </c>
      <c r="E24" s="18">
        <v>103.73005999999999</v>
      </c>
      <c r="F24" s="6">
        <v>6.1007306369999998</v>
      </c>
      <c r="G24" s="62">
        <v>244.31369917699999</v>
      </c>
      <c r="H24" s="18">
        <v>1.047222222</v>
      </c>
      <c r="I24" s="18">
        <v>1.5083555959999999</v>
      </c>
      <c r="J24" s="18">
        <v>0.27096203299999999</v>
      </c>
      <c r="K24" s="18">
        <v>17.9640685338764</v>
      </c>
      <c r="L24" s="18">
        <v>0</v>
      </c>
      <c r="M24" s="6">
        <v>6.1007306369999998</v>
      </c>
      <c r="N24" s="62">
        <v>244.31369917699999</v>
      </c>
      <c r="O24" s="18">
        <v>1.047222222</v>
      </c>
      <c r="P24" s="18">
        <v>2.0839378929999999</v>
      </c>
      <c r="Q24" s="18">
        <v>0.57100468699999996</v>
      </c>
      <c r="R24" s="18">
        <v>27.400273727831301</v>
      </c>
      <c r="S24" s="18">
        <v>0</v>
      </c>
      <c r="T24" s="8">
        <f t="shared" si="0"/>
        <v>0</v>
      </c>
      <c r="U24" s="61">
        <f t="shared" si="0"/>
        <v>0</v>
      </c>
      <c r="V24" s="15">
        <f t="shared" si="0"/>
        <v>0</v>
      </c>
      <c r="W24" s="15">
        <f t="shared" si="0"/>
        <v>-0.57558229699999996</v>
      </c>
      <c r="X24" s="15">
        <f t="shared" si="0"/>
        <v>-0.30004265399999996</v>
      </c>
      <c r="Y24" s="15">
        <f t="shared" si="0"/>
        <v>-9.4362051939549012</v>
      </c>
      <c r="Z24" s="16">
        <f t="shared" si="0"/>
        <v>0</v>
      </c>
    </row>
    <row r="25" spans="3:26" x14ac:dyDescent="0.25">
      <c r="C25" s="58" t="s">
        <v>154</v>
      </c>
      <c r="D25" s="20">
        <v>11.070510000000001</v>
      </c>
      <c r="E25" s="20">
        <v>112</v>
      </c>
      <c r="F25" s="6">
        <v>2.2697166989999999</v>
      </c>
      <c r="G25" s="63">
        <v>-137.376910315</v>
      </c>
      <c r="H25" s="20">
        <v>3.4992986849999999</v>
      </c>
      <c r="I25" s="20">
        <v>8.6164279389999994</v>
      </c>
      <c r="J25" s="20">
        <v>2.4013376480000002</v>
      </c>
      <c r="K25" s="20">
        <v>27.869294155307401</v>
      </c>
      <c r="L25" s="20">
        <v>13.745738705000001</v>
      </c>
      <c r="M25" s="6">
        <v>-2.5739265269999998</v>
      </c>
      <c r="N25" s="63">
        <v>-621.29635734399994</v>
      </c>
      <c r="O25" s="20">
        <v>3.3265807540000001</v>
      </c>
      <c r="P25" s="20">
        <v>9.9779163309999994</v>
      </c>
      <c r="Q25" s="20">
        <v>3.230725321</v>
      </c>
      <c r="R25" s="20">
        <v>32.378757386074497</v>
      </c>
      <c r="S25" s="20">
        <v>27.430700573999999</v>
      </c>
      <c r="T25" s="8">
        <f t="shared" si="0"/>
        <v>4.8436432259999993</v>
      </c>
      <c r="U25" s="61">
        <f t="shared" si="0"/>
        <v>483.91944702899991</v>
      </c>
      <c r="V25" s="15">
        <f t="shared" si="0"/>
        <v>0.17271793099999977</v>
      </c>
      <c r="W25" s="15">
        <f t="shared" si="0"/>
        <v>-1.361488392</v>
      </c>
      <c r="X25" s="15">
        <f t="shared" si="0"/>
        <v>-0.82938767299999983</v>
      </c>
      <c r="Y25" s="15">
        <f t="shared" si="0"/>
        <v>-4.5094632307670963</v>
      </c>
      <c r="Z25" s="16">
        <f t="shared" si="0"/>
        <v>-13.684961868999999</v>
      </c>
    </row>
    <row r="26" spans="3:26" x14ac:dyDescent="0.25">
      <c r="C26" s="58" t="s">
        <v>152</v>
      </c>
      <c r="D26" s="20">
        <v>15.720510000000001</v>
      </c>
      <c r="E26" s="20">
        <v>119</v>
      </c>
      <c r="F26" s="6">
        <v>7.1028148929999997</v>
      </c>
      <c r="G26" s="63">
        <v>348.938528324</v>
      </c>
      <c r="H26" s="20">
        <v>2.9606679919999999</v>
      </c>
      <c r="I26" s="20">
        <v>8.4378610500000004</v>
      </c>
      <c r="J26" s="20">
        <v>2.2517697970000001</v>
      </c>
      <c r="K26" s="20">
        <v>26.686500093527801</v>
      </c>
      <c r="L26" s="20">
        <v>1.880880678</v>
      </c>
      <c r="M26" s="6">
        <v>4.5526276159999997</v>
      </c>
      <c r="N26" s="63">
        <v>94.011360912000001</v>
      </c>
      <c r="O26" s="20">
        <v>2.863508596</v>
      </c>
      <c r="P26" s="20">
        <v>9.5120598049999998</v>
      </c>
      <c r="Q26" s="20">
        <v>2.9910225430000001</v>
      </c>
      <c r="R26" s="20">
        <v>31.444530462558401</v>
      </c>
      <c r="S26" s="20">
        <v>8.9058748570000006</v>
      </c>
      <c r="T26" s="8">
        <f t="shared" si="0"/>
        <v>2.550187277</v>
      </c>
      <c r="U26" s="61">
        <f t="shared" si="0"/>
        <v>254.92716741200002</v>
      </c>
      <c r="V26" s="15">
        <f t="shared" si="0"/>
        <v>9.7159395999999898E-2</v>
      </c>
      <c r="W26" s="15">
        <f t="shared" si="0"/>
        <v>-1.0741987549999994</v>
      </c>
      <c r="X26" s="15">
        <f t="shared" si="0"/>
        <v>-0.73925274600000002</v>
      </c>
      <c r="Y26" s="15">
        <f t="shared" si="0"/>
        <v>-4.7580303690305996</v>
      </c>
      <c r="Z26" s="16">
        <f t="shared" si="0"/>
        <v>-7.0249941790000001</v>
      </c>
    </row>
    <row r="27" spans="3:26" x14ac:dyDescent="0.25">
      <c r="C27" s="58" t="s">
        <v>150</v>
      </c>
      <c r="D27" s="20">
        <v>16.720510000000001</v>
      </c>
      <c r="E27" s="20">
        <v>121.68104</v>
      </c>
      <c r="F27" s="6">
        <v>7.565632795</v>
      </c>
      <c r="G27" s="63">
        <v>395.19885386800001</v>
      </c>
      <c r="H27" s="20">
        <v>2.9611111110000001</v>
      </c>
      <c r="I27" s="20">
        <v>8.1402398070000004</v>
      </c>
      <c r="J27" s="20">
        <v>2.1181410500000002</v>
      </c>
      <c r="K27" s="20">
        <v>26.020622244796201</v>
      </c>
      <c r="L27" s="20">
        <v>0.44613640799999998</v>
      </c>
      <c r="M27" s="6">
        <v>5.196266585</v>
      </c>
      <c r="N27" s="63">
        <v>158.352515506</v>
      </c>
      <c r="O27" s="20">
        <v>2.8687627760000001</v>
      </c>
      <c r="P27" s="20">
        <v>9.0159194449999998</v>
      </c>
      <c r="Q27" s="20">
        <v>2.7600249510000001</v>
      </c>
      <c r="R27" s="20">
        <v>30.612795154582301</v>
      </c>
      <c r="S27" s="20">
        <v>7.0217309319999996</v>
      </c>
      <c r="T27" s="8">
        <f t="shared" si="0"/>
        <v>2.3693662099999999</v>
      </c>
      <c r="U27" s="61">
        <f t="shared" si="0"/>
        <v>236.84633836200001</v>
      </c>
      <c r="V27" s="15">
        <f t="shared" si="0"/>
        <v>9.2348335000000059E-2</v>
      </c>
      <c r="W27" s="15">
        <f t="shared" si="0"/>
        <v>-0.87567963799999937</v>
      </c>
      <c r="X27" s="15">
        <f t="shared" si="0"/>
        <v>-0.64188390099999992</v>
      </c>
      <c r="Y27" s="15">
        <f t="shared" si="0"/>
        <v>-4.5921729097861004</v>
      </c>
      <c r="Z27" s="16">
        <f t="shared" si="0"/>
        <v>-6.5755945239999996</v>
      </c>
    </row>
    <row r="28" spans="3:26" x14ac:dyDescent="0.25">
      <c r="C28" s="58" t="s">
        <v>148</v>
      </c>
      <c r="D28" s="28">
        <v>9.4705100000000009</v>
      </c>
      <c r="E28" s="28">
        <v>109.43523999999999</v>
      </c>
      <c r="F28" s="6">
        <v>5.9194966569999998</v>
      </c>
      <c r="G28" s="68">
        <v>223.73828101000001</v>
      </c>
      <c r="H28" s="28">
        <v>4.2135279649999999</v>
      </c>
      <c r="I28" s="28">
        <v>3.4130818949999999</v>
      </c>
      <c r="J28" s="28">
        <v>0.63842326199999999</v>
      </c>
      <c r="K28" s="28">
        <v>18.705184394645201</v>
      </c>
      <c r="L28" s="28">
        <v>0.41971730800000001</v>
      </c>
      <c r="M28" s="6">
        <v>4.1713964859999999</v>
      </c>
      <c r="N28" s="68">
        <v>48.94385304</v>
      </c>
      <c r="O28" s="28">
        <v>4.1778610760000001</v>
      </c>
      <c r="P28" s="28">
        <v>3.774540472</v>
      </c>
      <c r="Q28" s="28">
        <v>0.94358314200000004</v>
      </c>
      <c r="R28" s="28">
        <v>24.998622984694801</v>
      </c>
      <c r="S28" s="28">
        <v>7.478272627</v>
      </c>
      <c r="T28" s="8">
        <f t="shared" si="0"/>
        <v>1.7481001709999999</v>
      </c>
      <c r="U28" s="68">
        <f t="shared" si="0"/>
        <v>174.79442797000002</v>
      </c>
      <c r="V28" s="28">
        <f t="shared" si="0"/>
        <v>3.5666888999999813E-2</v>
      </c>
      <c r="W28" s="28">
        <f t="shared" si="0"/>
        <v>-0.36145857700000006</v>
      </c>
      <c r="X28" s="28">
        <f t="shared" si="0"/>
        <v>-0.30515988000000005</v>
      </c>
      <c r="Y28" s="28">
        <f t="shared" si="0"/>
        <v>-6.2934385900496004</v>
      </c>
      <c r="Z28" s="29">
        <f t="shared" si="0"/>
        <v>-7.0585553189999999</v>
      </c>
    </row>
    <row r="29" spans="3:26" x14ac:dyDescent="0.25">
      <c r="C29" s="58" t="s">
        <v>146</v>
      </c>
      <c r="D29" s="20">
        <v>9.2628699999999995</v>
      </c>
      <c r="E29" s="20">
        <v>108.080865</v>
      </c>
      <c r="F29" s="6">
        <v>6.1759514150000001</v>
      </c>
      <c r="G29" s="63">
        <v>249.36671872299999</v>
      </c>
      <c r="H29" s="20">
        <v>4.2138888889999997</v>
      </c>
      <c r="I29" s="20">
        <v>2.3713868269999998</v>
      </c>
      <c r="J29" s="20">
        <v>0.31907327800000002</v>
      </c>
      <c r="K29" s="20">
        <v>13.455134116758799</v>
      </c>
      <c r="L29" s="20">
        <v>0</v>
      </c>
      <c r="M29" s="6">
        <v>6.1759514150000001</v>
      </c>
      <c r="N29" s="63">
        <v>249.36671872299999</v>
      </c>
      <c r="O29" s="20">
        <v>4.2138888889999997</v>
      </c>
      <c r="P29" s="20">
        <v>2.453518651</v>
      </c>
      <c r="Q29" s="20">
        <v>0.56939017000000003</v>
      </c>
      <c r="R29" s="20">
        <v>23.207085455328802</v>
      </c>
      <c r="S29" s="20">
        <v>0</v>
      </c>
      <c r="T29" s="8">
        <f t="shared" si="0"/>
        <v>0</v>
      </c>
      <c r="U29" s="61">
        <f t="shared" si="0"/>
        <v>0</v>
      </c>
      <c r="V29" s="15">
        <f t="shared" si="0"/>
        <v>0</v>
      </c>
      <c r="W29" s="15">
        <f t="shared" si="0"/>
        <v>-8.2131824000000186E-2</v>
      </c>
      <c r="X29" s="15">
        <f t="shared" si="0"/>
        <v>-0.25031689200000001</v>
      </c>
      <c r="Y29" s="15">
        <f t="shared" si="0"/>
        <v>-9.7519513385700023</v>
      </c>
      <c r="Z29" s="16">
        <f t="shared" si="0"/>
        <v>0</v>
      </c>
    </row>
    <row r="30" spans="3:26" x14ac:dyDescent="0.25">
      <c r="C30" s="58" t="s">
        <v>144</v>
      </c>
      <c r="D30" s="20">
        <v>12.820510000000001</v>
      </c>
      <c r="E30" s="20">
        <v>119.43558</v>
      </c>
      <c r="F30" s="6">
        <v>5.9727422199999998</v>
      </c>
      <c r="G30" s="63">
        <v>232.50810020200001</v>
      </c>
      <c r="H30" s="20">
        <v>3.627777778</v>
      </c>
      <c r="I30" s="20">
        <v>3.1075091609999999</v>
      </c>
      <c r="J30" s="20">
        <v>0.49748768900000001</v>
      </c>
      <c r="K30" s="20">
        <v>16.009210696579501</v>
      </c>
      <c r="L30" s="20">
        <v>0</v>
      </c>
      <c r="M30" s="6">
        <v>5.9727422199999998</v>
      </c>
      <c r="N30" s="63">
        <v>232.50810020200001</v>
      </c>
      <c r="O30" s="20">
        <v>3.627777778</v>
      </c>
      <c r="P30" s="20">
        <v>3.3332056290000001</v>
      </c>
      <c r="Q30" s="20">
        <v>0.85790077099999995</v>
      </c>
      <c r="R30" s="20">
        <v>25.738009186591299</v>
      </c>
      <c r="S30" s="20">
        <v>0</v>
      </c>
      <c r="T30" s="8">
        <f t="shared" si="0"/>
        <v>0</v>
      </c>
      <c r="U30" s="61">
        <f t="shared" si="0"/>
        <v>0</v>
      </c>
      <c r="V30" s="15">
        <f t="shared" si="0"/>
        <v>0</v>
      </c>
      <c r="W30" s="15">
        <f t="shared" si="0"/>
        <v>-0.22569646800000021</v>
      </c>
      <c r="X30" s="15">
        <f t="shared" si="0"/>
        <v>-0.36041308199999994</v>
      </c>
      <c r="Y30" s="15">
        <f t="shared" si="0"/>
        <v>-9.7287984900117976</v>
      </c>
      <c r="Z30" s="16">
        <f t="shared" si="0"/>
        <v>0</v>
      </c>
    </row>
    <row r="31" spans="3:26" x14ac:dyDescent="0.25">
      <c r="C31" s="58" t="s">
        <v>142</v>
      </c>
      <c r="D31" s="20">
        <v>12.620509999999999</v>
      </c>
      <c r="E31" s="20">
        <v>112.54398999999999</v>
      </c>
      <c r="F31" s="6">
        <v>7.0634481109999996</v>
      </c>
      <c r="G31" s="63">
        <v>345.083501356</v>
      </c>
      <c r="H31" s="20">
        <v>2.9611111110000001</v>
      </c>
      <c r="I31" s="20">
        <v>5.3304549300000001</v>
      </c>
      <c r="J31" s="20">
        <v>1.319608465</v>
      </c>
      <c r="K31" s="20">
        <v>24.756019557978</v>
      </c>
      <c r="L31" s="20">
        <v>0</v>
      </c>
      <c r="M31" s="6">
        <v>6.9472675319999997</v>
      </c>
      <c r="N31" s="63">
        <v>333.57234425399997</v>
      </c>
      <c r="O31" s="20">
        <v>2.877777778</v>
      </c>
      <c r="P31" s="20">
        <v>5.9010732429999999</v>
      </c>
      <c r="Q31" s="20">
        <v>2.0242300800000002</v>
      </c>
      <c r="R31" s="20">
        <v>34.302744545684</v>
      </c>
      <c r="S31" s="20">
        <v>0</v>
      </c>
      <c r="T31" s="8">
        <f t="shared" si="0"/>
        <v>0.1161805789999999</v>
      </c>
      <c r="U31" s="61">
        <f t="shared" si="0"/>
        <v>11.511157102000027</v>
      </c>
      <c r="V31" s="15">
        <f t="shared" si="0"/>
        <v>8.333333300000012E-2</v>
      </c>
      <c r="W31" s="15">
        <f t="shared" si="0"/>
        <v>-0.57061831299999977</v>
      </c>
      <c r="X31" s="15">
        <f t="shared" si="0"/>
        <v>-0.7046216150000002</v>
      </c>
      <c r="Y31" s="15">
        <f t="shared" si="0"/>
        <v>-9.5467249877059999</v>
      </c>
      <c r="Z31" s="16">
        <f t="shared" si="0"/>
        <v>0</v>
      </c>
    </row>
    <row r="32" spans="3:26" x14ac:dyDescent="0.25">
      <c r="C32" s="58" t="s">
        <v>140</v>
      </c>
      <c r="D32" s="20">
        <v>15.470510000000001</v>
      </c>
      <c r="E32" s="20">
        <v>125.00109500000001</v>
      </c>
      <c r="F32" s="6">
        <v>5.6051646740000001</v>
      </c>
      <c r="G32" s="63">
        <v>198.83126533000001</v>
      </c>
      <c r="H32" s="20">
        <v>3.0444444439999998</v>
      </c>
      <c r="I32" s="20">
        <v>5.9816627840000001</v>
      </c>
      <c r="J32" s="20">
        <v>1.398394283</v>
      </c>
      <c r="K32" s="20">
        <v>23.3780193484073</v>
      </c>
      <c r="L32" s="20">
        <v>0.18384170799999999</v>
      </c>
      <c r="M32" s="6">
        <v>3.3040290290000001</v>
      </c>
      <c r="N32" s="63">
        <v>-31.286116101000001</v>
      </c>
      <c r="O32" s="20">
        <v>3.029826211</v>
      </c>
      <c r="P32" s="20">
        <v>6.5657045939999996</v>
      </c>
      <c r="Q32" s="20">
        <v>1.858151686</v>
      </c>
      <c r="R32" s="20">
        <v>28.300872501910199</v>
      </c>
      <c r="S32" s="20">
        <v>7.7497311639999999</v>
      </c>
      <c r="T32" s="8">
        <f t="shared" si="0"/>
        <v>2.301135645</v>
      </c>
      <c r="U32" s="61">
        <f t="shared" si="0"/>
        <v>230.11738143100001</v>
      </c>
      <c r="V32" s="15">
        <f t="shared" si="0"/>
        <v>1.4618232999999758E-2</v>
      </c>
      <c r="W32" s="15">
        <f t="shared" si="0"/>
        <v>-0.58404180999999955</v>
      </c>
      <c r="X32" s="15">
        <f t="shared" si="0"/>
        <v>-0.45975740300000001</v>
      </c>
      <c r="Y32" s="15">
        <f t="shared" si="0"/>
        <v>-4.9228531535028992</v>
      </c>
      <c r="Z32" s="16">
        <f t="shared" si="0"/>
        <v>-7.5658894559999998</v>
      </c>
    </row>
    <row r="33" spans="3:26" x14ac:dyDescent="0.25">
      <c r="C33" s="58" t="s">
        <v>29</v>
      </c>
      <c r="D33" s="18">
        <v>11.070510000000001</v>
      </c>
      <c r="E33" s="18">
        <v>105.971155</v>
      </c>
      <c r="F33" s="6">
        <v>5.8726454529999996</v>
      </c>
      <c r="G33" s="62">
        <v>223.59351580200001</v>
      </c>
      <c r="H33" s="18">
        <v>1.377777778</v>
      </c>
      <c r="I33" s="18">
        <v>2.8097661070000002</v>
      </c>
      <c r="J33" s="18">
        <v>0.22331669300000001</v>
      </c>
      <c r="K33" s="18">
        <v>7.9478748228775604</v>
      </c>
      <c r="L33" s="18">
        <v>0</v>
      </c>
      <c r="M33" s="6">
        <v>5.8726454529999996</v>
      </c>
      <c r="N33" s="62">
        <v>223.59351580200001</v>
      </c>
      <c r="O33" s="18">
        <v>1.377777778</v>
      </c>
      <c r="P33" s="18">
        <v>2.5239445379999998</v>
      </c>
      <c r="Q33" s="18">
        <v>0.42727916199999999</v>
      </c>
      <c r="R33" s="18">
        <v>16.929023422146201</v>
      </c>
      <c r="S33" s="18">
        <v>0</v>
      </c>
      <c r="T33" s="8">
        <f t="shared" si="0"/>
        <v>0</v>
      </c>
      <c r="U33" s="61">
        <f t="shared" si="0"/>
        <v>0</v>
      </c>
      <c r="V33" s="15">
        <f t="shared" si="0"/>
        <v>0</v>
      </c>
      <c r="W33" s="15">
        <f t="shared" si="0"/>
        <v>0.28582156900000033</v>
      </c>
      <c r="X33" s="15">
        <f t="shared" si="0"/>
        <v>-0.20396246899999998</v>
      </c>
      <c r="Y33" s="15">
        <f t="shared" si="0"/>
        <v>-8.9811485992686411</v>
      </c>
      <c r="Z33" s="16">
        <f t="shared" si="0"/>
        <v>0</v>
      </c>
    </row>
    <row r="34" spans="3:26" ht="15.75" thickBot="1" x14ac:dyDescent="0.3">
      <c r="C34" s="59" t="s">
        <v>27</v>
      </c>
      <c r="D34" s="33">
        <v>16.220510000000001</v>
      </c>
      <c r="E34" s="33">
        <v>103.8</v>
      </c>
      <c r="F34" s="31">
        <v>5.5495377550000002</v>
      </c>
      <c r="G34" s="67">
        <v>165.58930415099999</v>
      </c>
      <c r="H34" s="33">
        <v>0.377691051</v>
      </c>
      <c r="I34" s="33">
        <v>3.0221910919999999</v>
      </c>
      <c r="J34" s="33">
        <v>0.24105080800000001</v>
      </c>
      <c r="K34" s="33">
        <v>7.9760280095485099</v>
      </c>
      <c r="L34" s="33">
        <v>5.2327220000000001E-2</v>
      </c>
      <c r="M34" s="31">
        <v>5.5281885449999999</v>
      </c>
      <c r="N34" s="67">
        <v>163.45437702500001</v>
      </c>
      <c r="O34" s="33">
        <v>0.377687253</v>
      </c>
      <c r="P34" s="33">
        <v>2.2864117799999999</v>
      </c>
      <c r="Q34" s="33">
        <v>0.40454880199999999</v>
      </c>
      <c r="R34" s="33">
        <v>17.693610815808501</v>
      </c>
      <c r="S34" s="33">
        <v>6.0590074000000001E-2</v>
      </c>
      <c r="T34" s="32">
        <f t="shared" si="0"/>
        <v>2.134921000000034E-2</v>
      </c>
      <c r="U34" s="67">
        <f t="shared" si="0"/>
        <v>2.1349271259999796</v>
      </c>
      <c r="V34" s="33">
        <f t="shared" si="0"/>
        <v>3.7979999999993019E-6</v>
      </c>
      <c r="W34" s="33">
        <f t="shared" si="0"/>
        <v>0.73577931200000002</v>
      </c>
      <c r="X34" s="33">
        <f t="shared" si="0"/>
        <v>-0.16349799399999998</v>
      </c>
      <c r="Y34" s="33">
        <f t="shared" si="0"/>
        <v>-9.7175828062599905</v>
      </c>
      <c r="Z34" s="34">
        <f t="shared" si="0"/>
        <v>-8.262854E-3</v>
      </c>
    </row>
    <row r="35" spans="3:26" x14ac:dyDescent="0.25">
      <c r="C35" s="69"/>
      <c r="D35" s="20"/>
      <c r="E35" s="20"/>
      <c r="F35" s="6"/>
      <c r="G35" s="20"/>
      <c r="H35" s="20"/>
      <c r="I35" s="20"/>
      <c r="J35" s="20"/>
      <c r="K35" s="20"/>
      <c r="L35" s="20"/>
      <c r="M35" s="6"/>
      <c r="N35" s="20"/>
      <c r="O35" s="20"/>
      <c r="P35" s="20"/>
      <c r="Q35" s="20"/>
      <c r="R35" s="20"/>
      <c r="S35" s="20"/>
      <c r="T35" s="8"/>
      <c r="U35" s="15"/>
      <c r="V35" s="15"/>
      <c r="W35" s="15"/>
      <c r="X35" s="15"/>
      <c r="Y35" s="15"/>
      <c r="Z35" s="16"/>
    </row>
    <row r="36" spans="3:26" x14ac:dyDescent="0.25">
      <c r="C36" s="69"/>
      <c r="D36" s="20"/>
      <c r="E36" s="20"/>
      <c r="F36" s="6"/>
      <c r="G36" s="20"/>
      <c r="H36" s="20"/>
      <c r="I36" s="20"/>
      <c r="J36" s="20"/>
      <c r="K36" s="20"/>
      <c r="L36" s="20"/>
      <c r="M36" s="6"/>
      <c r="N36" s="20"/>
      <c r="O36" s="20"/>
      <c r="P36" s="20"/>
      <c r="Q36" s="20"/>
      <c r="R36" s="20"/>
      <c r="S36" s="20"/>
      <c r="T36" s="8"/>
      <c r="U36" s="15"/>
      <c r="V36" s="15"/>
      <c r="W36" s="15"/>
      <c r="X36" s="15"/>
      <c r="Y36" s="15"/>
      <c r="Z36" s="16"/>
    </row>
    <row r="37" spans="3:26" x14ac:dyDescent="0.25">
      <c r="C37" s="69"/>
      <c r="D37" s="20"/>
      <c r="E37" s="20"/>
      <c r="F37" s="6"/>
      <c r="G37" s="20"/>
      <c r="H37" s="20"/>
      <c r="I37" s="20"/>
      <c r="J37" s="20"/>
      <c r="K37" s="20"/>
      <c r="L37" s="20"/>
      <c r="M37" s="6"/>
      <c r="N37" s="20"/>
      <c r="O37" s="20"/>
      <c r="P37" s="20"/>
      <c r="Q37" s="20"/>
      <c r="R37" s="20"/>
      <c r="S37" s="20"/>
      <c r="T37" s="8"/>
      <c r="U37" s="15"/>
      <c r="V37" s="15"/>
      <c r="W37" s="15"/>
      <c r="X37" s="15"/>
      <c r="Y37" s="15"/>
      <c r="Z37" s="16"/>
    </row>
    <row r="38" spans="3:26" x14ac:dyDescent="0.25">
      <c r="C38" s="69"/>
      <c r="D38" s="20"/>
      <c r="E38" s="20"/>
      <c r="F38" s="6"/>
      <c r="G38" s="20"/>
      <c r="H38" s="20"/>
      <c r="I38" s="20"/>
      <c r="J38" s="20"/>
      <c r="K38" s="20"/>
      <c r="L38" s="20"/>
      <c r="M38" s="6"/>
      <c r="N38" s="20"/>
      <c r="O38" s="20"/>
      <c r="P38" s="20"/>
      <c r="Q38" s="20"/>
      <c r="R38" s="20"/>
      <c r="S38" s="20"/>
      <c r="T38" s="8"/>
      <c r="U38" s="15"/>
      <c r="V38" s="15"/>
      <c r="W38" s="15"/>
      <c r="X38" s="15"/>
      <c r="Y38" s="15"/>
      <c r="Z38" s="16"/>
    </row>
    <row r="39" spans="3:26" x14ac:dyDescent="0.25">
      <c r="C39" s="69"/>
      <c r="D39" s="20"/>
      <c r="E39" s="20"/>
      <c r="F39" s="6"/>
      <c r="G39" s="20"/>
      <c r="H39" s="20"/>
      <c r="I39" s="20"/>
      <c r="J39" s="20"/>
      <c r="K39" s="20"/>
      <c r="L39" s="20"/>
      <c r="M39" s="6"/>
      <c r="N39" s="20"/>
      <c r="O39" s="20"/>
      <c r="P39" s="20"/>
      <c r="Q39" s="20"/>
      <c r="R39" s="20"/>
      <c r="S39" s="20"/>
      <c r="T39" s="8"/>
      <c r="U39" s="15"/>
      <c r="V39" s="15"/>
      <c r="W39" s="15"/>
      <c r="X39" s="15"/>
      <c r="Y39" s="15"/>
      <c r="Z39" s="16"/>
    </row>
    <row r="40" spans="3:26" x14ac:dyDescent="0.25">
      <c r="C40" s="69"/>
      <c r="D40" s="24"/>
      <c r="E40" s="24"/>
      <c r="F40" s="6"/>
      <c r="G40" s="24"/>
      <c r="H40" s="24"/>
      <c r="I40" s="24"/>
      <c r="J40" s="24"/>
      <c r="K40" s="24"/>
      <c r="L40" s="24"/>
      <c r="M40" s="6"/>
      <c r="N40" s="24"/>
      <c r="O40" s="24"/>
      <c r="P40" s="24"/>
      <c r="Q40" s="24"/>
      <c r="R40" s="24"/>
      <c r="S40" s="24"/>
      <c r="T40" s="8"/>
      <c r="U40" s="24"/>
      <c r="V40" s="24"/>
      <c r="W40" s="24"/>
      <c r="X40" s="24"/>
      <c r="Y40" s="24"/>
      <c r="Z40" s="25"/>
    </row>
    <row r="41" spans="3:26" x14ac:dyDescent="0.25">
      <c r="C41" s="69"/>
      <c r="D41" s="20"/>
      <c r="E41" s="20"/>
      <c r="F41" s="6"/>
      <c r="G41" s="20"/>
      <c r="H41" s="20"/>
      <c r="I41" s="20"/>
      <c r="J41" s="20"/>
      <c r="K41" s="20"/>
      <c r="L41" s="20"/>
      <c r="M41" s="6"/>
      <c r="N41" s="20"/>
      <c r="O41" s="20"/>
      <c r="P41" s="20"/>
      <c r="Q41" s="20"/>
      <c r="R41" s="20"/>
      <c r="S41" s="20"/>
      <c r="T41" s="8"/>
      <c r="U41" s="15"/>
      <c r="V41" s="15"/>
      <c r="W41" s="15"/>
      <c r="X41" s="15"/>
      <c r="Y41" s="15"/>
      <c r="Z41" s="16"/>
    </row>
    <row r="42" spans="3:26" x14ac:dyDescent="0.25">
      <c r="C42" s="69"/>
      <c r="D42" s="20"/>
      <c r="E42" s="20"/>
      <c r="F42" s="6"/>
      <c r="G42" s="20"/>
      <c r="H42" s="20"/>
      <c r="I42" s="20"/>
      <c r="J42" s="20"/>
      <c r="K42" s="20"/>
      <c r="L42" s="20"/>
      <c r="M42" s="6"/>
      <c r="N42" s="20"/>
      <c r="O42" s="20"/>
      <c r="P42" s="20"/>
      <c r="Q42" s="20"/>
      <c r="R42" s="20"/>
      <c r="S42" s="20"/>
      <c r="T42" s="8"/>
      <c r="U42" s="15"/>
      <c r="V42" s="15"/>
      <c r="W42" s="15"/>
      <c r="X42" s="15"/>
      <c r="Y42" s="15"/>
      <c r="Z42" s="16"/>
    </row>
    <row r="43" spans="3:26" x14ac:dyDescent="0.25">
      <c r="C43" s="69"/>
      <c r="D43" s="20"/>
      <c r="E43" s="20"/>
      <c r="F43" s="6"/>
      <c r="G43" s="20"/>
      <c r="H43" s="20"/>
      <c r="I43" s="20"/>
      <c r="J43" s="20"/>
      <c r="K43" s="20"/>
      <c r="L43" s="20"/>
      <c r="M43" s="6"/>
      <c r="N43" s="20"/>
      <c r="O43" s="20"/>
      <c r="P43" s="20"/>
      <c r="Q43" s="20"/>
      <c r="R43" s="20"/>
      <c r="S43" s="20"/>
      <c r="T43" s="8"/>
      <c r="U43" s="15"/>
      <c r="V43" s="15"/>
      <c r="W43" s="15"/>
      <c r="X43" s="15"/>
      <c r="Y43" s="15"/>
      <c r="Z43" s="16"/>
    </row>
    <row r="44" spans="3:26" x14ac:dyDescent="0.25">
      <c r="C44" s="69"/>
      <c r="D44" s="15"/>
      <c r="E44" s="15"/>
      <c r="F44" s="6"/>
      <c r="G44" s="15"/>
      <c r="H44" s="15"/>
      <c r="I44" s="15"/>
      <c r="J44" s="15"/>
      <c r="K44" s="15"/>
      <c r="L44" s="15"/>
      <c r="M44" s="6"/>
      <c r="N44" s="15"/>
      <c r="O44" s="15"/>
      <c r="P44" s="15"/>
      <c r="Q44" s="15"/>
      <c r="R44" s="15"/>
      <c r="S44" s="15"/>
      <c r="T44" s="8"/>
      <c r="U44" s="15"/>
      <c r="V44" s="15"/>
      <c r="W44" s="15"/>
      <c r="X44" s="15"/>
      <c r="Y44" s="15"/>
      <c r="Z44" s="16"/>
    </row>
    <row r="45" spans="3:26" x14ac:dyDescent="0.25">
      <c r="C45" s="69"/>
      <c r="D45" s="15"/>
      <c r="E45" s="15"/>
      <c r="F45" s="6"/>
      <c r="G45" s="15"/>
      <c r="H45" s="15"/>
      <c r="I45" s="15"/>
      <c r="J45" s="15"/>
      <c r="K45" s="15"/>
      <c r="L45" s="15"/>
      <c r="M45" s="6"/>
      <c r="N45" s="15"/>
      <c r="O45" s="15"/>
      <c r="P45" s="15"/>
      <c r="Q45" s="15"/>
      <c r="R45" s="15"/>
      <c r="S45" s="15"/>
      <c r="T45" s="8"/>
      <c r="U45" s="15"/>
      <c r="V45" s="15"/>
      <c r="W45" s="15"/>
      <c r="X45" s="15"/>
      <c r="Y45" s="15"/>
      <c r="Z45" s="16"/>
    </row>
    <row r="46" spans="3:26" x14ac:dyDescent="0.25">
      <c r="C46" s="70"/>
      <c r="D46" s="20"/>
      <c r="E46" s="20"/>
      <c r="F46" s="6"/>
      <c r="G46" s="20"/>
      <c r="H46" s="20"/>
      <c r="I46" s="20"/>
      <c r="J46" s="20"/>
      <c r="K46" s="20"/>
      <c r="L46" s="20"/>
      <c r="M46" s="6"/>
      <c r="N46" s="20"/>
      <c r="O46" s="20"/>
      <c r="P46" s="20"/>
      <c r="Q46" s="20"/>
      <c r="R46" s="20"/>
      <c r="S46" s="20"/>
      <c r="T46" s="8"/>
      <c r="U46" s="15"/>
      <c r="V46" s="15"/>
      <c r="W46" s="15"/>
      <c r="X46" s="15"/>
      <c r="Y46" s="15"/>
      <c r="Z46" s="16"/>
    </row>
    <row r="47" spans="3:26" x14ac:dyDescent="0.25">
      <c r="C47" s="70"/>
      <c r="D47" s="20"/>
      <c r="E47" s="20"/>
      <c r="F47" s="6"/>
      <c r="G47" s="20"/>
      <c r="H47" s="20"/>
      <c r="I47" s="20"/>
      <c r="J47" s="20"/>
      <c r="K47" s="20"/>
      <c r="L47" s="20"/>
      <c r="M47" s="6"/>
      <c r="N47" s="20"/>
      <c r="O47" s="20"/>
      <c r="P47" s="20"/>
      <c r="Q47" s="20"/>
      <c r="R47" s="20"/>
      <c r="S47" s="20"/>
      <c r="T47" s="8"/>
      <c r="U47" s="15"/>
      <c r="V47" s="15"/>
      <c r="W47" s="15"/>
      <c r="X47" s="15"/>
      <c r="Y47" s="15"/>
      <c r="Z47" s="16"/>
    </row>
    <row r="48" spans="3:26" x14ac:dyDescent="0.25">
      <c r="C48" s="70"/>
      <c r="D48" s="20"/>
      <c r="E48" s="20"/>
      <c r="F48" s="6"/>
      <c r="G48" s="20"/>
      <c r="H48" s="20"/>
      <c r="I48" s="20"/>
      <c r="J48" s="20"/>
      <c r="K48" s="20"/>
      <c r="L48" s="20"/>
      <c r="M48" s="6"/>
      <c r="N48" s="20"/>
      <c r="O48" s="20"/>
      <c r="P48" s="20"/>
      <c r="Q48" s="20"/>
      <c r="R48" s="20"/>
      <c r="S48" s="20"/>
      <c r="T48" s="8"/>
      <c r="U48" s="15"/>
      <c r="V48" s="15"/>
      <c r="W48" s="15"/>
      <c r="X48" s="15"/>
      <c r="Y48" s="15"/>
      <c r="Z48" s="16"/>
    </row>
    <row r="49" spans="3:26" x14ac:dyDescent="0.25">
      <c r="C49" s="70"/>
      <c r="D49" s="20"/>
      <c r="E49" s="20"/>
      <c r="F49" s="6"/>
      <c r="G49" s="20"/>
      <c r="H49" s="20"/>
      <c r="I49" s="20"/>
      <c r="J49" s="20"/>
      <c r="K49" s="20"/>
      <c r="L49" s="20"/>
      <c r="M49" s="6"/>
      <c r="N49" s="20"/>
      <c r="O49" s="20"/>
      <c r="P49" s="20"/>
      <c r="Q49" s="20"/>
      <c r="R49" s="20"/>
      <c r="S49" s="20"/>
      <c r="T49" s="8"/>
      <c r="U49" s="15"/>
      <c r="V49" s="15"/>
      <c r="W49" s="15"/>
      <c r="X49" s="15"/>
      <c r="Y49" s="15"/>
      <c r="Z49" s="16"/>
    </row>
    <row r="50" spans="3:26" x14ac:dyDescent="0.25">
      <c r="C50" s="70"/>
      <c r="D50" s="20"/>
      <c r="E50" s="20"/>
      <c r="F50" s="6"/>
      <c r="G50" s="20"/>
      <c r="H50" s="20"/>
      <c r="I50" s="20"/>
      <c r="J50" s="20"/>
      <c r="K50" s="20"/>
      <c r="L50" s="20"/>
      <c r="M50" s="6"/>
      <c r="N50" s="20"/>
      <c r="O50" s="20"/>
      <c r="P50" s="20"/>
      <c r="Q50" s="20"/>
      <c r="R50" s="20"/>
      <c r="S50" s="20"/>
      <c r="T50" s="6"/>
      <c r="U50" s="20"/>
      <c r="V50" s="20"/>
      <c r="W50" s="20"/>
      <c r="X50" s="20"/>
      <c r="Y50" s="20"/>
      <c r="Z50" s="21"/>
    </row>
    <row r="51" spans="3:26" x14ac:dyDescent="0.25">
      <c r="C51" s="70"/>
      <c r="D51" s="20"/>
      <c r="E51" s="20"/>
      <c r="F51" s="6"/>
      <c r="G51" s="20"/>
      <c r="H51" s="20"/>
      <c r="I51" s="20"/>
      <c r="J51" s="20"/>
      <c r="K51" s="20"/>
      <c r="L51" s="20"/>
      <c r="M51" s="6"/>
      <c r="N51" s="20"/>
      <c r="O51" s="20"/>
      <c r="P51" s="20"/>
      <c r="Q51" s="20"/>
      <c r="R51" s="20"/>
      <c r="S51" s="20"/>
      <c r="T51" s="8"/>
      <c r="U51" s="15"/>
      <c r="V51" s="15"/>
      <c r="W51" s="15"/>
      <c r="X51" s="15"/>
      <c r="Y51" s="15"/>
      <c r="Z51" s="16"/>
    </row>
    <row r="52" spans="3:26" x14ac:dyDescent="0.25">
      <c r="C52" s="70"/>
      <c r="D52" s="20"/>
      <c r="E52" s="20"/>
      <c r="F52" s="6"/>
      <c r="G52" s="20"/>
      <c r="H52" s="20"/>
      <c r="I52" s="20"/>
      <c r="J52" s="20"/>
      <c r="K52" s="20"/>
      <c r="L52" s="20"/>
      <c r="M52" s="6"/>
      <c r="N52" s="20"/>
      <c r="O52" s="20"/>
      <c r="P52" s="20"/>
      <c r="Q52" s="20"/>
      <c r="R52" s="20"/>
      <c r="S52" s="20"/>
      <c r="T52" s="8"/>
      <c r="U52" s="15"/>
      <c r="V52" s="15"/>
      <c r="W52" s="15"/>
      <c r="X52" s="15"/>
      <c r="Y52" s="15"/>
      <c r="Z52" s="16"/>
    </row>
    <row r="53" spans="3:26" x14ac:dyDescent="0.25">
      <c r="C53" s="70"/>
      <c r="D53" s="20"/>
      <c r="E53" s="20"/>
      <c r="F53" s="6"/>
      <c r="G53" s="20"/>
      <c r="H53" s="20"/>
      <c r="I53" s="20"/>
      <c r="J53" s="20"/>
      <c r="K53" s="20"/>
      <c r="L53" s="20"/>
      <c r="M53" s="6"/>
      <c r="N53" s="20"/>
      <c r="O53" s="20"/>
      <c r="P53" s="20"/>
      <c r="Q53" s="20"/>
      <c r="R53" s="20"/>
      <c r="S53" s="20"/>
      <c r="T53" s="8"/>
      <c r="U53" s="15"/>
      <c r="V53" s="15"/>
      <c r="W53" s="15"/>
      <c r="X53" s="15"/>
      <c r="Y53" s="15"/>
      <c r="Z53" s="16"/>
    </row>
    <row r="54" spans="3:26" x14ac:dyDescent="0.25">
      <c r="C54" s="70"/>
      <c r="D54" s="20"/>
      <c r="E54" s="20"/>
      <c r="F54" s="6"/>
      <c r="G54" s="20"/>
      <c r="H54" s="20"/>
      <c r="I54" s="20"/>
      <c r="J54" s="20"/>
      <c r="K54" s="20"/>
      <c r="L54" s="20"/>
      <c r="M54" s="6"/>
      <c r="N54" s="20"/>
      <c r="O54" s="20"/>
      <c r="P54" s="20"/>
      <c r="Q54" s="20"/>
      <c r="R54" s="20"/>
      <c r="S54" s="20"/>
      <c r="T54" s="8"/>
      <c r="U54" s="15"/>
      <c r="V54" s="15"/>
      <c r="W54" s="15"/>
      <c r="X54" s="15"/>
      <c r="Y54" s="15"/>
      <c r="Z54" s="16"/>
    </row>
    <row r="55" spans="3:26" x14ac:dyDescent="0.25">
      <c r="C55" s="70"/>
      <c r="D55" s="20"/>
      <c r="E55" s="20"/>
      <c r="F55" s="6"/>
      <c r="G55" s="20"/>
      <c r="H55" s="20"/>
      <c r="I55" s="20"/>
      <c r="J55" s="20"/>
      <c r="K55" s="20"/>
      <c r="L55" s="20"/>
      <c r="M55" s="6"/>
      <c r="N55" s="20"/>
      <c r="O55" s="20"/>
      <c r="P55" s="20"/>
      <c r="Q55" s="20"/>
      <c r="R55" s="20"/>
      <c r="S55" s="20"/>
      <c r="T55" s="8"/>
      <c r="U55" s="15"/>
      <c r="V55" s="15"/>
      <c r="W55" s="15"/>
      <c r="X55" s="15"/>
      <c r="Y55" s="15"/>
      <c r="Z55" s="16"/>
    </row>
    <row r="56" spans="3:26" x14ac:dyDescent="0.25">
      <c r="C56" s="70"/>
      <c r="D56" s="20"/>
      <c r="E56" s="20"/>
      <c r="F56" s="6"/>
      <c r="G56" s="20"/>
      <c r="H56" s="20"/>
      <c r="I56" s="20"/>
      <c r="J56" s="20"/>
      <c r="K56" s="20"/>
      <c r="L56" s="20"/>
      <c r="M56" s="6"/>
      <c r="N56" s="20"/>
      <c r="O56" s="20"/>
      <c r="P56" s="20"/>
      <c r="Q56" s="20"/>
      <c r="R56" s="20"/>
      <c r="S56" s="20"/>
      <c r="T56" s="8"/>
      <c r="U56" s="15"/>
      <c r="V56" s="15"/>
      <c r="W56" s="15"/>
      <c r="X56" s="15"/>
      <c r="Y56" s="15"/>
      <c r="Z56" s="16"/>
    </row>
    <row r="57" spans="3:26" x14ac:dyDescent="0.25">
      <c r="C57" s="70"/>
      <c r="D57" s="20"/>
      <c r="E57" s="20"/>
      <c r="F57" s="6"/>
      <c r="G57" s="20"/>
      <c r="H57" s="20"/>
      <c r="I57" s="20"/>
      <c r="J57" s="20"/>
      <c r="K57" s="20"/>
      <c r="L57" s="20"/>
      <c r="M57" s="6"/>
      <c r="N57" s="20"/>
      <c r="O57" s="20"/>
      <c r="P57" s="20"/>
      <c r="Q57" s="20"/>
      <c r="R57" s="20"/>
      <c r="S57" s="20"/>
      <c r="T57" s="8"/>
      <c r="U57" s="15"/>
      <c r="V57" s="15"/>
      <c r="W57" s="15"/>
      <c r="X57" s="15"/>
      <c r="Y57" s="15"/>
      <c r="Z57" s="16"/>
    </row>
    <row r="58" spans="3:26" x14ac:dyDescent="0.25">
      <c r="C58" s="70"/>
      <c r="D58" s="20"/>
      <c r="E58" s="20"/>
      <c r="F58" s="6"/>
      <c r="G58" s="20"/>
      <c r="H58" s="20"/>
      <c r="I58" s="20"/>
      <c r="J58" s="20"/>
      <c r="K58" s="20"/>
      <c r="L58" s="20"/>
      <c r="M58" s="6"/>
      <c r="N58" s="20"/>
      <c r="O58" s="20"/>
      <c r="P58" s="20"/>
      <c r="Q58" s="20"/>
      <c r="R58" s="20"/>
      <c r="S58" s="20"/>
      <c r="T58" s="8"/>
      <c r="U58" s="15"/>
      <c r="V58" s="15"/>
      <c r="W58" s="15"/>
      <c r="X58" s="15"/>
      <c r="Y58" s="15"/>
      <c r="Z58" s="16"/>
    </row>
    <row r="59" spans="3:26" x14ac:dyDescent="0.25">
      <c r="C59" s="70"/>
      <c r="D59" s="20"/>
      <c r="E59" s="20"/>
      <c r="F59" s="6"/>
      <c r="G59" s="20"/>
      <c r="H59" s="20"/>
      <c r="I59" s="20"/>
      <c r="J59" s="20"/>
      <c r="K59" s="20"/>
      <c r="L59" s="20"/>
      <c r="M59" s="6"/>
      <c r="N59" s="20"/>
      <c r="O59" s="20"/>
      <c r="P59" s="20"/>
      <c r="Q59" s="20"/>
      <c r="R59" s="20"/>
      <c r="S59" s="20"/>
      <c r="T59" s="8"/>
      <c r="U59" s="15"/>
      <c r="V59" s="15"/>
      <c r="W59" s="15"/>
      <c r="X59" s="15"/>
      <c r="Y59" s="15"/>
      <c r="Z59" s="16"/>
    </row>
    <row r="60" spans="3:26" x14ac:dyDescent="0.25">
      <c r="C60" s="70"/>
      <c r="D60" s="20"/>
      <c r="E60" s="20"/>
      <c r="F60" s="6"/>
      <c r="G60" s="20"/>
      <c r="H60" s="20"/>
      <c r="I60" s="20"/>
      <c r="J60" s="20"/>
      <c r="K60" s="20"/>
      <c r="L60" s="20"/>
      <c r="M60" s="6"/>
      <c r="N60" s="20"/>
      <c r="O60" s="20"/>
      <c r="P60" s="20"/>
      <c r="Q60" s="20"/>
      <c r="R60" s="20"/>
      <c r="S60" s="20"/>
      <c r="T60" s="8"/>
      <c r="U60" s="15"/>
      <c r="V60" s="15"/>
      <c r="W60" s="15"/>
      <c r="X60" s="15"/>
      <c r="Y60" s="15"/>
      <c r="Z60" s="16"/>
    </row>
    <row r="61" spans="3:26" x14ac:dyDescent="0.25">
      <c r="C61" s="70"/>
      <c r="D61" s="20"/>
      <c r="E61" s="20"/>
      <c r="F61" s="6"/>
      <c r="G61" s="20"/>
      <c r="H61" s="20"/>
      <c r="I61" s="20"/>
      <c r="J61" s="20"/>
      <c r="K61" s="20"/>
      <c r="L61" s="20"/>
      <c r="M61" s="6"/>
      <c r="N61" s="20"/>
      <c r="O61" s="20"/>
      <c r="P61" s="20"/>
      <c r="Q61" s="20"/>
      <c r="R61" s="20"/>
      <c r="S61" s="20"/>
      <c r="T61" s="8"/>
      <c r="U61" s="15"/>
      <c r="V61" s="15"/>
      <c r="W61" s="15"/>
      <c r="X61" s="15"/>
      <c r="Y61" s="15"/>
      <c r="Z61" s="16"/>
    </row>
    <row r="62" spans="3:26" x14ac:dyDescent="0.25">
      <c r="C62" s="70"/>
      <c r="D62" s="20"/>
      <c r="E62" s="20"/>
      <c r="F62" s="6"/>
      <c r="G62" s="20"/>
      <c r="H62" s="20"/>
      <c r="I62" s="20"/>
      <c r="J62" s="20"/>
      <c r="K62" s="20"/>
      <c r="L62" s="20"/>
      <c r="M62" s="6"/>
      <c r="N62" s="20"/>
      <c r="O62" s="20"/>
      <c r="P62" s="20"/>
      <c r="Q62" s="20"/>
      <c r="R62" s="20"/>
      <c r="S62" s="20"/>
      <c r="T62" s="8"/>
      <c r="U62" s="15"/>
      <c r="V62" s="15"/>
      <c r="W62" s="15"/>
      <c r="X62" s="15"/>
      <c r="Y62" s="15"/>
      <c r="Z62" s="16"/>
    </row>
    <row r="63" spans="3:26" x14ac:dyDescent="0.25">
      <c r="C63" s="70"/>
      <c r="D63" s="20"/>
      <c r="E63" s="20"/>
      <c r="F63" s="6"/>
      <c r="G63" s="20"/>
      <c r="H63" s="20"/>
      <c r="I63" s="20"/>
      <c r="J63" s="20"/>
      <c r="K63" s="20"/>
      <c r="L63" s="20"/>
      <c r="M63" s="6"/>
      <c r="N63" s="20"/>
      <c r="O63" s="20"/>
      <c r="P63" s="20"/>
      <c r="Q63" s="20"/>
      <c r="R63" s="20"/>
      <c r="S63" s="20"/>
      <c r="T63" s="8"/>
      <c r="U63" s="15"/>
      <c r="V63" s="15"/>
      <c r="W63" s="15"/>
      <c r="X63" s="15"/>
      <c r="Y63" s="15"/>
      <c r="Z63" s="16"/>
    </row>
    <row r="64" spans="3:26" x14ac:dyDescent="0.25">
      <c r="C64" s="70"/>
      <c r="D64" s="20"/>
      <c r="E64" s="20"/>
      <c r="F64" s="6"/>
      <c r="G64" s="20"/>
      <c r="H64" s="20"/>
      <c r="I64" s="20"/>
      <c r="J64" s="20"/>
      <c r="K64" s="20"/>
      <c r="L64" s="20"/>
      <c r="M64" s="6"/>
      <c r="N64" s="20"/>
      <c r="O64" s="20"/>
      <c r="P64" s="20"/>
      <c r="Q64" s="20"/>
      <c r="R64" s="20"/>
      <c r="S64" s="20"/>
      <c r="T64" s="8"/>
      <c r="U64" s="15"/>
      <c r="V64" s="15"/>
      <c r="W64" s="15"/>
      <c r="X64" s="15"/>
      <c r="Y64" s="15"/>
      <c r="Z64" s="16"/>
    </row>
    <row r="65" spans="3:26" x14ac:dyDescent="0.25">
      <c r="C65" s="70"/>
      <c r="D65" s="20"/>
      <c r="E65" s="20"/>
      <c r="F65" s="6"/>
      <c r="G65" s="20"/>
      <c r="H65" s="20"/>
      <c r="I65" s="20"/>
      <c r="J65" s="20"/>
      <c r="K65" s="20"/>
      <c r="L65" s="20"/>
      <c r="M65" s="6"/>
      <c r="N65" s="20"/>
      <c r="O65" s="20"/>
      <c r="P65" s="20"/>
      <c r="Q65" s="20"/>
      <c r="R65" s="20"/>
      <c r="S65" s="20"/>
      <c r="T65" s="8"/>
      <c r="U65" s="15"/>
      <c r="V65" s="15"/>
      <c r="W65" s="15"/>
      <c r="X65" s="15"/>
      <c r="Y65" s="15"/>
      <c r="Z65" s="16"/>
    </row>
    <row r="66" spans="3:26" x14ac:dyDescent="0.25">
      <c r="C66" s="70"/>
      <c r="D66" s="20"/>
      <c r="E66" s="20"/>
      <c r="F66" s="6"/>
      <c r="G66" s="20"/>
      <c r="H66" s="20"/>
      <c r="I66" s="20"/>
      <c r="J66" s="20"/>
      <c r="K66" s="20"/>
      <c r="L66" s="20"/>
      <c r="M66" s="6"/>
      <c r="N66" s="20"/>
      <c r="O66" s="20"/>
      <c r="P66" s="20"/>
      <c r="Q66" s="20"/>
      <c r="R66" s="20"/>
      <c r="S66" s="20"/>
      <c r="T66" s="8"/>
      <c r="U66" s="15"/>
      <c r="V66" s="15"/>
      <c r="W66" s="15"/>
      <c r="X66" s="15"/>
      <c r="Y66" s="15"/>
      <c r="Z66" s="16"/>
    </row>
    <row r="67" spans="3:26" x14ac:dyDescent="0.25">
      <c r="C67" s="71"/>
      <c r="D67" s="20"/>
      <c r="E67" s="20"/>
      <c r="F67" s="6"/>
      <c r="G67" s="20"/>
      <c r="H67" s="20"/>
      <c r="I67" s="20"/>
      <c r="J67" s="20"/>
      <c r="K67" s="20"/>
      <c r="L67" s="20"/>
      <c r="M67" s="6"/>
      <c r="N67" s="20"/>
      <c r="O67" s="20"/>
      <c r="P67" s="20"/>
      <c r="Q67" s="20"/>
      <c r="R67" s="20"/>
      <c r="S67" s="20"/>
      <c r="T67" s="8"/>
      <c r="U67" s="15"/>
      <c r="V67" s="15"/>
      <c r="W67" s="15"/>
      <c r="X67" s="15"/>
      <c r="Y67" s="15"/>
      <c r="Z67" s="16"/>
    </row>
    <row r="68" spans="3:26" x14ac:dyDescent="0.25">
      <c r="C68" s="71"/>
      <c r="D68" s="20"/>
      <c r="E68" s="20"/>
      <c r="F68" s="6"/>
      <c r="G68" s="20"/>
      <c r="H68" s="20"/>
      <c r="I68" s="20"/>
      <c r="J68" s="20"/>
      <c r="K68" s="20"/>
      <c r="L68" s="20"/>
      <c r="M68" s="6"/>
      <c r="N68" s="20"/>
      <c r="O68" s="20"/>
      <c r="P68" s="20"/>
      <c r="Q68" s="20"/>
      <c r="R68" s="20"/>
      <c r="S68" s="20"/>
      <c r="T68" s="8"/>
      <c r="U68" s="15"/>
      <c r="V68" s="15"/>
      <c r="W68" s="15"/>
      <c r="X68" s="15"/>
      <c r="Y68" s="15"/>
      <c r="Z68" s="16"/>
    </row>
    <row r="69" spans="3:26" x14ac:dyDescent="0.25">
      <c r="C69" s="71"/>
      <c r="D69" s="20"/>
      <c r="E69" s="20"/>
      <c r="F69" s="6"/>
      <c r="G69" s="20"/>
      <c r="H69" s="20"/>
      <c r="I69" s="20"/>
      <c r="J69" s="20"/>
      <c r="K69" s="20"/>
      <c r="L69" s="20"/>
      <c r="M69" s="6"/>
      <c r="N69" s="20"/>
      <c r="O69" s="20"/>
      <c r="P69" s="20"/>
      <c r="Q69" s="20"/>
      <c r="R69" s="20"/>
      <c r="S69" s="20"/>
      <c r="T69" s="8"/>
      <c r="U69" s="15"/>
      <c r="V69" s="15"/>
      <c r="W69" s="15"/>
      <c r="X69" s="15"/>
      <c r="Y69" s="15"/>
      <c r="Z69" s="16"/>
    </row>
    <row r="70" spans="3:26" x14ac:dyDescent="0.25">
      <c r="C70" s="71"/>
      <c r="D70" s="20"/>
      <c r="E70" s="20"/>
      <c r="F70" s="6"/>
      <c r="G70" s="20"/>
      <c r="H70" s="20"/>
      <c r="I70" s="20"/>
      <c r="J70" s="20"/>
      <c r="K70" s="20"/>
      <c r="L70" s="20"/>
      <c r="M70" s="6"/>
      <c r="N70" s="20"/>
      <c r="O70" s="20"/>
      <c r="P70" s="20"/>
      <c r="Q70" s="20"/>
      <c r="R70" s="20"/>
      <c r="S70" s="20"/>
      <c r="T70" s="8"/>
      <c r="U70" s="15"/>
      <c r="V70" s="15"/>
      <c r="W70" s="15"/>
      <c r="X70" s="15"/>
      <c r="Y70" s="15"/>
      <c r="Z70" s="16"/>
    </row>
    <row r="71" spans="3:26" x14ac:dyDescent="0.25">
      <c r="C71" s="71"/>
      <c r="D71" s="20"/>
      <c r="E71" s="20"/>
      <c r="F71" s="6"/>
      <c r="G71" s="20"/>
      <c r="H71" s="20"/>
      <c r="I71" s="20"/>
      <c r="J71" s="20"/>
      <c r="K71" s="20"/>
      <c r="L71" s="20"/>
      <c r="M71" s="6"/>
      <c r="N71" s="20"/>
      <c r="O71" s="20"/>
      <c r="P71" s="20"/>
      <c r="Q71" s="20"/>
      <c r="R71" s="20"/>
      <c r="S71" s="20"/>
      <c r="T71" s="8"/>
      <c r="U71" s="15"/>
      <c r="V71" s="15"/>
      <c r="W71" s="15"/>
      <c r="X71" s="15"/>
      <c r="Y71" s="15"/>
      <c r="Z71" s="16"/>
    </row>
    <row r="72" spans="3:26" x14ac:dyDescent="0.25">
      <c r="C72" s="71"/>
      <c r="D72" s="20"/>
      <c r="E72" s="20"/>
      <c r="F72" s="6"/>
      <c r="G72" s="20"/>
      <c r="H72" s="20"/>
      <c r="I72" s="20"/>
      <c r="J72" s="20"/>
      <c r="K72" s="20"/>
      <c r="L72" s="20"/>
      <c r="M72" s="6"/>
      <c r="N72" s="20"/>
      <c r="O72" s="20"/>
      <c r="P72" s="20"/>
      <c r="Q72" s="20"/>
      <c r="R72" s="20"/>
      <c r="S72" s="20"/>
      <c r="T72" s="8"/>
      <c r="U72" s="15"/>
      <c r="V72" s="15"/>
      <c r="W72" s="15"/>
      <c r="X72" s="15"/>
      <c r="Y72" s="15"/>
      <c r="Z72" s="16"/>
    </row>
    <row r="73" spans="3:26" x14ac:dyDescent="0.25">
      <c r="C73" s="71"/>
      <c r="D73" s="20"/>
      <c r="E73" s="20"/>
      <c r="F73" s="6"/>
      <c r="G73" s="20"/>
      <c r="H73" s="20"/>
      <c r="I73" s="20"/>
      <c r="J73" s="20"/>
      <c r="K73" s="20"/>
      <c r="L73" s="20"/>
      <c r="M73" s="6"/>
      <c r="N73" s="20"/>
      <c r="O73" s="20"/>
      <c r="P73" s="20"/>
      <c r="Q73" s="20"/>
      <c r="R73" s="20"/>
      <c r="S73" s="20"/>
      <c r="T73" s="8"/>
      <c r="U73" s="15"/>
      <c r="V73" s="15"/>
      <c r="W73" s="15"/>
      <c r="X73" s="15"/>
      <c r="Y73" s="15"/>
      <c r="Z73" s="16"/>
    </row>
    <row r="74" spans="3:26" x14ac:dyDescent="0.25">
      <c r="C74" s="71"/>
      <c r="D74" s="20"/>
      <c r="E74" s="20"/>
      <c r="F74" s="6"/>
      <c r="G74" s="20"/>
      <c r="H74" s="20"/>
      <c r="I74" s="20"/>
      <c r="J74" s="20"/>
      <c r="K74" s="20"/>
      <c r="L74" s="20"/>
      <c r="M74" s="6"/>
      <c r="N74" s="20"/>
      <c r="O74" s="20"/>
      <c r="P74" s="20"/>
      <c r="Q74" s="20"/>
      <c r="R74" s="20"/>
      <c r="S74" s="20"/>
      <c r="T74" s="8"/>
      <c r="U74" s="15"/>
      <c r="V74" s="15"/>
      <c r="W74" s="15"/>
      <c r="X74" s="15"/>
      <c r="Y74" s="15"/>
      <c r="Z74" s="16"/>
    </row>
    <row r="75" spans="3:26" x14ac:dyDescent="0.25">
      <c r="C75" s="71"/>
      <c r="D75" s="20"/>
      <c r="E75" s="20"/>
      <c r="F75" s="6"/>
      <c r="G75" s="20"/>
      <c r="H75" s="20"/>
      <c r="I75" s="20"/>
      <c r="J75" s="20"/>
      <c r="K75" s="20"/>
      <c r="L75" s="20"/>
      <c r="M75" s="6"/>
      <c r="N75" s="20"/>
      <c r="O75" s="20"/>
      <c r="P75" s="20"/>
      <c r="Q75" s="20"/>
      <c r="R75" s="20"/>
      <c r="S75" s="20"/>
      <c r="T75" s="8"/>
      <c r="U75" s="15"/>
      <c r="V75" s="15"/>
      <c r="W75" s="15"/>
      <c r="X75" s="15"/>
      <c r="Y75" s="15"/>
      <c r="Z75" s="16"/>
    </row>
    <row r="76" spans="3:26" x14ac:dyDescent="0.25">
      <c r="C76" s="71"/>
      <c r="D76" s="20"/>
      <c r="E76" s="20"/>
      <c r="F76" s="6"/>
      <c r="G76" s="20"/>
      <c r="H76" s="20"/>
      <c r="I76" s="20"/>
      <c r="J76" s="20"/>
      <c r="K76" s="20"/>
      <c r="L76" s="20"/>
      <c r="M76" s="6"/>
      <c r="N76" s="20"/>
      <c r="O76" s="20"/>
      <c r="P76" s="20"/>
      <c r="Q76" s="20"/>
      <c r="R76" s="20"/>
      <c r="S76" s="20"/>
      <c r="T76" s="8"/>
      <c r="U76" s="15"/>
      <c r="V76" s="15"/>
      <c r="W76" s="15"/>
      <c r="X76" s="15"/>
      <c r="Y76" s="15"/>
      <c r="Z76" s="16"/>
    </row>
    <row r="77" spans="3:26" x14ac:dyDescent="0.25">
      <c r="C77" s="71"/>
      <c r="D77" s="20"/>
      <c r="E77" s="20"/>
      <c r="F77" s="6"/>
      <c r="G77" s="20"/>
      <c r="H77" s="20"/>
      <c r="I77" s="20"/>
      <c r="J77" s="20"/>
      <c r="K77" s="20"/>
      <c r="L77" s="20"/>
      <c r="M77" s="6"/>
      <c r="N77" s="20"/>
      <c r="O77" s="20"/>
      <c r="P77" s="20"/>
      <c r="Q77" s="20"/>
      <c r="R77" s="20"/>
      <c r="S77" s="20"/>
      <c r="T77" s="8"/>
      <c r="U77" s="15"/>
      <c r="V77" s="15"/>
      <c r="W77" s="15"/>
      <c r="X77" s="15"/>
      <c r="Y77" s="15"/>
      <c r="Z77" s="16"/>
    </row>
    <row r="78" spans="3:26" x14ac:dyDescent="0.25">
      <c r="C78" s="71"/>
      <c r="D78" s="20"/>
      <c r="E78" s="20"/>
      <c r="F78" s="6"/>
      <c r="G78" s="20"/>
      <c r="H78" s="20"/>
      <c r="I78" s="20"/>
      <c r="J78" s="20"/>
      <c r="K78" s="20"/>
      <c r="L78" s="20"/>
      <c r="M78" s="6"/>
      <c r="N78" s="20"/>
      <c r="O78" s="20"/>
      <c r="P78" s="20"/>
      <c r="Q78" s="20"/>
      <c r="R78" s="20"/>
      <c r="S78" s="20"/>
      <c r="T78" s="8"/>
      <c r="U78" s="15"/>
      <c r="V78" s="15"/>
      <c r="W78" s="15"/>
      <c r="X78" s="15"/>
      <c r="Y78" s="15"/>
      <c r="Z78" s="16"/>
    </row>
    <row r="79" spans="3:26" x14ac:dyDescent="0.25">
      <c r="C79" s="71"/>
      <c r="D79" s="20"/>
      <c r="E79" s="20"/>
      <c r="F79" s="6"/>
      <c r="G79" s="20"/>
      <c r="H79" s="20"/>
      <c r="I79" s="20"/>
      <c r="J79" s="20"/>
      <c r="K79" s="20"/>
      <c r="L79" s="20"/>
      <c r="M79" s="6"/>
      <c r="N79" s="20"/>
      <c r="O79" s="20"/>
      <c r="P79" s="20"/>
      <c r="Q79" s="20"/>
      <c r="R79" s="20"/>
      <c r="S79" s="20"/>
      <c r="T79" s="8"/>
      <c r="U79" s="15"/>
      <c r="V79" s="15"/>
      <c r="W79" s="15"/>
      <c r="X79" s="15"/>
      <c r="Y79" s="15"/>
      <c r="Z79" s="16"/>
    </row>
    <row r="80" spans="3:26" x14ac:dyDescent="0.25">
      <c r="C80" s="71"/>
      <c r="D80" s="20"/>
      <c r="E80" s="20"/>
      <c r="F80" s="6"/>
      <c r="G80" s="20"/>
      <c r="H80" s="20"/>
      <c r="I80" s="20"/>
      <c r="J80" s="20"/>
      <c r="K80" s="20"/>
      <c r="L80" s="20"/>
      <c r="M80" s="6"/>
      <c r="N80" s="20"/>
      <c r="O80" s="20"/>
      <c r="P80" s="20"/>
      <c r="Q80" s="20"/>
      <c r="R80" s="20"/>
      <c r="S80" s="20"/>
      <c r="T80" s="8"/>
      <c r="U80" s="15"/>
      <c r="V80" s="15"/>
      <c r="W80" s="15"/>
      <c r="X80" s="15"/>
      <c r="Y80" s="15"/>
      <c r="Z80" s="16"/>
    </row>
    <row r="81" spans="3:26" x14ac:dyDescent="0.25">
      <c r="C81" s="71"/>
      <c r="D81" s="20"/>
      <c r="E81" s="20"/>
      <c r="F81" s="6"/>
      <c r="G81" s="20"/>
      <c r="H81" s="20"/>
      <c r="I81" s="20"/>
      <c r="J81" s="20"/>
      <c r="K81" s="20"/>
      <c r="L81" s="20"/>
      <c r="M81" s="6"/>
      <c r="N81" s="20"/>
      <c r="O81" s="20"/>
      <c r="P81" s="20"/>
      <c r="Q81" s="20"/>
      <c r="R81" s="20"/>
      <c r="S81" s="20"/>
      <c r="T81" s="8"/>
      <c r="U81" s="15"/>
      <c r="V81" s="15"/>
      <c r="W81" s="15"/>
      <c r="X81" s="15"/>
      <c r="Y81" s="15"/>
      <c r="Z81" s="16"/>
    </row>
    <row r="82" spans="3:26" x14ac:dyDescent="0.25">
      <c r="C82" s="71"/>
      <c r="D82" s="20"/>
      <c r="E82" s="20"/>
      <c r="F82" s="6"/>
      <c r="G82" s="20"/>
      <c r="H82" s="20"/>
      <c r="I82" s="20"/>
      <c r="J82" s="20"/>
      <c r="K82" s="20"/>
      <c r="L82" s="20"/>
      <c r="M82" s="6"/>
      <c r="N82" s="20"/>
      <c r="O82" s="20"/>
      <c r="P82" s="20"/>
      <c r="Q82" s="20"/>
      <c r="R82" s="20"/>
      <c r="S82" s="20"/>
      <c r="T82" s="8"/>
      <c r="U82" s="15"/>
      <c r="V82" s="15"/>
      <c r="W82" s="15"/>
      <c r="X82" s="15"/>
      <c r="Y82" s="15"/>
      <c r="Z82" s="16"/>
    </row>
    <row r="83" spans="3:26" x14ac:dyDescent="0.25">
      <c r="C83" s="71"/>
      <c r="D83" s="15"/>
      <c r="E83" s="15"/>
      <c r="F83" s="6"/>
      <c r="G83" s="15"/>
      <c r="H83" s="15"/>
      <c r="I83" s="15"/>
      <c r="J83" s="15"/>
      <c r="K83" s="15"/>
      <c r="L83" s="15"/>
      <c r="M83" s="6"/>
      <c r="N83" s="15"/>
      <c r="O83" s="15"/>
      <c r="P83" s="15"/>
      <c r="Q83" s="15"/>
      <c r="R83" s="15"/>
      <c r="S83" s="15"/>
      <c r="T83" s="8"/>
      <c r="U83" s="15"/>
      <c r="V83" s="15"/>
      <c r="W83" s="15"/>
      <c r="X83" s="15"/>
      <c r="Y83" s="15"/>
      <c r="Z83" s="16"/>
    </row>
    <row r="84" spans="3:26" x14ac:dyDescent="0.25">
      <c r="C84" s="71"/>
      <c r="D84" s="20"/>
      <c r="E84" s="20"/>
      <c r="F84" s="6"/>
      <c r="G84" s="20"/>
      <c r="H84" s="20"/>
      <c r="I84" s="20"/>
      <c r="J84" s="20"/>
      <c r="K84" s="20"/>
      <c r="L84" s="20"/>
      <c r="M84" s="6"/>
      <c r="N84" s="20"/>
      <c r="O84" s="20"/>
      <c r="P84" s="20"/>
      <c r="Q84" s="20"/>
      <c r="R84" s="20"/>
      <c r="S84" s="20"/>
      <c r="T84" s="8"/>
      <c r="U84" s="15"/>
      <c r="V84" s="15"/>
      <c r="W84" s="15"/>
      <c r="X84" s="15"/>
      <c r="Y84" s="15"/>
      <c r="Z84" s="16"/>
    </row>
    <row r="85" spans="3:26" x14ac:dyDescent="0.25">
      <c r="C85" s="71"/>
      <c r="D85" s="20"/>
      <c r="E85" s="20"/>
      <c r="F85" s="6"/>
      <c r="G85" s="20"/>
      <c r="H85" s="20"/>
      <c r="I85" s="20"/>
      <c r="J85" s="20"/>
      <c r="K85" s="20"/>
      <c r="L85" s="20"/>
      <c r="M85" s="6"/>
      <c r="N85" s="20"/>
      <c r="O85" s="20"/>
      <c r="P85" s="20"/>
      <c r="Q85" s="20"/>
      <c r="R85" s="20"/>
      <c r="S85" s="20"/>
      <c r="T85" s="8"/>
      <c r="U85" s="15"/>
      <c r="V85" s="15"/>
      <c r="W85" s="15"/>
      <c r="X85" s="15"/>
      <c r="Y85" s="15"/>
      <c r="Z85" s="16"/>
    </row>
    <row r="86" spans="3:26" x14ac:dyDescent="0.25">
      <c r="C86" s="71"/>
      <c r="D86" s="20"/>
      <c r="E86" s="20"/>
      <c r="F86" s="6"/>
      <c r="G86" s="20"/>
      <c r="H86" s="20"/>
      <c r="I86" s="20"/>
      <c r="J86" s="20"/>
      <c r="K86" s="20"/>
      <c r="L86" s="20"/>
      <c r="M86" s="6"/>
      <c r="N86" s="20"/>
      <c r="O86" s="20"/>
      <c r="P86" s="20"/>
      <c r="Q86" s="20"/>
      <c r="R86" s="20"/>
      <c r="S86" s="20"/>
      <c r="T86" s="8"/>
      <c r="U86" s="15"/>
      <c r="V86" s="15"/>
      <c r="W86" s="15"/>
      <c r="X86" s="15"/>
      <c r="Y86" s="15"/>
      <c r="Z86" s="16"/>
    </row>
    <row r="87" spans="3:26" x14ac:dyDescent="0.25">
      <c r="C87" s="71"/>
      <c r="D87" s="20"/>
      <c r="E87" s="20"/>
      <c r="F87" s="6"/>
      <c r="G87" s="20"/>
      <c r="H87" s="20"/>
      <c r="I87" s="20"/>
      <c r="J87" s="20"/>
      <c r="K87" s="20"/>
      <c r="L87" s="20"/>
      <c r="M87" s="6"/>
      <c r="N87" s="20"/>
      <c r="O87" s="20"/>
      <c r="P87" s="20"/>
      <c r="Q87" s="20"/>
      <c r="R87" s="20"/>
      <c r="S87" s="20"/>
      <c r="T87" s="8"/>
      <c r="U87" s="15"/>
      <c r="V87" s="15"/>
      <c r="W87" s="15"/>
      <c r="X87" s="15"/>
      <c r="Y87" s="15"/>
      <c r="Z87" s="16"/>
    </row>
    <row r="88" spans="3:26" x14ac:dyDescent="0.25">
      <c r="C88" s="71"/>
      <c r="D88" s="20"/>
      <c r="E88" s="20"/>
      <c r="F88" s="6"/>
      <c r="G88" s="20"/>
      <c r="H88" s="20"/>
      <c r="I88" s="20"/>
      <c r="J88" s="20"/>
      <c r="K88" s="20"/>
      <c r="L88" s="20"/>
      <c r="M88" s="6"/>
      <c r="N88" s="20"/>
      <c r="O88" s="20"/>
      <c r="P88" s="20"/>
      <c r="Q88" s="20"/>
      <c r="R88" s="20"/>
      <c r="S88" s="20"/>
      <c r="T88" s="8"/>
      <c r="U88" s="15"/>
      <c r="V88" s="15"/>
      <c r="W88" s="15"/>
      <c r="X88" s="15"/>
      <c r="Y88" s="15"/>
      <c r="Z88" s="16"/>
    </row>
    <row r="89" spans="3:26" x14ac:dyDescent="0.25">
      <c r="C89" s="71"/>
      <c r="D89" s="20"/>
      <c r="E89" s="20"/>
      <c r="F89" s="6"/>
      <c r="G89" s="20"/>
      <c r="H89" s="20"/>
      <c r="I89" s="20"/>
      <c r="J89" s="20"/>
      <c r="K89" s="20"/>
      <c r="L89" s="20"/>
      <c r="M89" s="6"/>
      <c r="N89" s="20"/>
      <c r="O89" s="20"/>
      <c r="P89" s="20"/>
      <c r="Q89" s="20"/>
      <c r="R89" s="20"/>
      <c r="S89" s="20"/>
      <c r="T89" s="8"/>
      <c r="U89" s="15"/>
      <c r="V89" s="15"/>
      <c r="W89" s="15"/>
      <c r="X89" s="15"/>
      <c r="Y89" s="15"/>
      <c r="Z89" s="16"/>
    </row>
    <row r="90" spans="3:26" x14ac:dyDescent="0.25">
      <c r="C90" s="71"/>
      <c r="D90" s="20"/>
      <c r="E90" s="20"/>
      <c r="F90" s="6"/>
      <c r="G90" s="20"/>
      <c r="H90" s="20"/>
      <c r="I90" s="20"/>
      <c r="J90" s="20"/>
      <c r="K90" s="20"/>
      <c r="L90" s="20"/>
      <c r="M90" s="6"/>
      <c r="N90" s="20"/>
      <c r="O90" s="20"/>
      <c r="P90" s="20"/>
      <c r="Q90" s="20"/>
      <c r="R90" s="20"/>
      <c r="S90" s="20"/>
      <c r="T90" s="8"/>
      <c r="U90" s="15"/>
      <c r="V90" s="15"/>
      <c r="W90" s="15"/>
      <c r="X90" s="15"/>
      <c r="Y90" s="15"/>
      <c r="Z90" s="16"/>
    </row>
    <row r="91" spans="3:26" x14ac:dyDescent="0.25">
      <c r="C91" s="71"/>
      <c r="D91" s="20"/>
      <c r="E91" s="20"/>
      <c r="F91" s="6"/>
      <c r="G91" s="20"/>
      <c r="H91" s="20"/>
      <c r="I91" s="20"/>
      <c r="J91" s="20"/>
      <c r="K91" s="20"/>
      <c r="L91" s="20"/>
      <c r="M91" s="6"/>
      <c r="N91" s="20"/>
      <c r="O91" s="20"/>
      <c r="P91" s="20"/>
      <c r="Q91" s="20"/>
      <c r="R91" s="20"/>
      <c r="S91" s="20"/>
      <c r="T91" s="8"/>
      <c r="U91" s="15"/>
      <c r="V91" s="15"/>
      <c r="W91" s="15"/>
      <c r="X91" s="15"/>
      <c r="Y91" s="15"/>
      <c r="Z91" s="16"/>
    </row>
    <row r="92" spans="3:26" x14ac:dyDescent="0.25">
      <c r="C92" s="71"/>
      <c r="D92" s="11"/>
      <c r="E92" s="11"/>
      <c r="F92" s="6"/>
      <c r="G92" s="11"/>
      <c r="H92" s="11"/>
      <c r="I92" s="11"/>
      <c r="J92" s="11"/>
      <c r="K92" s="11"/>
      <c r="L92" s="11"/>
      <c r="M92" s="6"/>
      <c r="N92" s="11"/>
      <c r="O92" s="11"/>
      <c r="P92" s="11"/>
      <c r="Q92" s="11"/>
      <c r="R92" s="11"/>
      <c r="S92" s="11"/>
      <c r="T92" s="8"/>
      <c r="U92" s="11"/>
      <c r="V92" s="11"/>
      <c r="W92" s="11"/>
      <c r="X92" s="11"/>
      <c r="Y92" s="11"/>
      <c r="Z92" s="12"/>
    </row>
    <row r="93" spans="3:26" ht="15.75" thickBot="1" x14ac:dyDescent="0.3">
      <c r="C93" s="72"/>
      <c r="D93" s="40"/>
      <c r="E93" s="40"/>
      <c r="F93" s="31"/>
      <c r="G93" s="40"/>
      <c r="H93" s="40"/>
      <c r="I93" s="40"/>
      <c r="J93" s="40"/>
      <c r="K93" s="40"/>
      <c r="L93" s="40"/>
      <c r="M93" s="31"/>
      <c r="N93" s="40"/>
      <c r="O93" s="40"/>
      <c r="P93" s="40"/>
      <c r="Q93" s="40"/>
      <c r="R93" s="40"/>
      <c r="S93" s="40"/>
      <c r="T93" s="32"/>
      <c r="U93" s="40"/>
      <c r="V93" s="40"/>
      <c r="W93" s="40"/>
      <c r="X93" s="40"/>
      <c r="Y93" s="40"/>
      <c r="Z93" s="41"/>
    </row>
  </sheetData>
  <mergeCells count="4">
    <mergeCell ref="C3:E3"/>
    <mergeCell ref="F3:L3"/>
    <mergeCell ref="M3:S3"/>
    <mergeCell ref="T3:Z3"/>
  </mergeCells>
  <conditionalFormatting sqref="T5:T34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{CB09EF66-F64A-41E5-ABEE-52CBB2E9B09B}</x14:id>
        </ext>
      </extLst>
    </cfRule>
  </conditionalFormatting>
  <conditionalFormatting sqref="U5:U34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{EC4197FD-95C4-4CFB-91D0-AC2DFBE7EC54}</x14:id>
        </ext>
      </extLst>
    </cfRule>
  </conditionalFormatting>
  <conditionalFormatting sqref="V5:V34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{FD64B74D-2402-48D2-84E2-0BC37A81EEAE}</x14:id>
        </ext>
      </extLst>
    </cfRule>
  </conditionalFormatting>
  <conditionalFormatting sqref="W5:W93">
    <cfRule type="colorScale" priority="1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X5:X34">
    <cfRule type="colorScale" priority="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Y5:Y34">
    <cfRule type="colorScale" priority="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Z5:Z3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{77818801-B1CC-479E-8061-BAEDA4D29739}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09EF66-F64A-41E5-ABEE-52CBB2E9B0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T5:T34</xm:sqref>
        </x14:conditionalFormatting>
        <x14:conditionalFormatting xmlns:xm="http://schemas.microsoft.com/office/excel/2006/main">
          <x14:cfRule type="dataBar" id="{EC4197FD-95C4-4CFB-91D0-AC2DFBE7EC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U5:U34</xm:sqref>
        </x14:conditionalFormatting>
        <x14:conditionalFormatting xmlns:xm="http://schemas.microsoft.com/office/excel/2006/main">
          <x14:cfRule type="dataBar" id="{FD64B74D-2402-48D2-84E2-0BC37A81EE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V5:V34</xm:sqref>
        </x14:conditionalFormatting>
        <x14:conditionalFormatting xmlns:xm="http://schemas.microsoft.com/office/excel/2006/main">
          <x14:cfRule type="dataBar" id="{77818801-B1CC-479E-8061-BAEDA4D297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Z5:Z34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AF5BF-05CD-45B0-AABB-C31EF5AFC7FB}">
  <dimension ref="B1:AB92"/>
  <sheetViews>
    <sheetView topLeftCell="A40" workbookViewId="0">
      <selection activeCell="B2" sqref="B2:AB92"/>
    </sheetView>
  </sheetViews>
  <sheetFormatPr defaultRowHeight="15" x14ac:dyDescent="0.25"/>
  <cols>
    <col min="2" max="2" width="9.7109375" bestFit="1" customWidth="1"/>
    <col min="3" max="3" width="15.28515625" bestFit="1" customWidth="1"/>
    <col min="4" max="4" width="20.85546875" bestFit="1" customWidth="1"/>
    <col min="5" max="5" width="11.42578125" bestFit="1" customWidth="1"/>
    <col min="6" max="6" width="9.28515625" bestFit="1" customWidth="1"/>
    <col min="7" max="7" width="8" bestFit="1" customWidth="1"/>
    <col min="8" max="8" width="7.7109375" bestFit="1" customWidth="1"/>
    <col min="9" max="9" width="10.28515625" bestFit="1" customWidth="1"/>
    <col min="10" max="10" width="7" bestFit="1" customWidth="1"/>
    <col min="11" max="11" width="10" bestFit="1" customWidth="1"/>
    <col min="12" max="12" width="10.28515625" bestFit="1" customWidth="1"/>
    <col min="13" max="13" width="7" bestFit="1" customWidth="1"/>
    <col min="14" max="14" width="12.5703125" bestFit="1" customWidth="1"/>
    <col min="15" max="15" width="7.7109375" bestFit="1" customWidth="1"/>
    <col min="16" max="16" width="10.28515625" bestFit="1" customWidth="1"/>
    <col min="17" max="17" width="7" bestFit="1" customWidth="1"/>
    <col min="18" max="18" width="10" bestFit="1" customWidth="1"/>
    <col min="19" max="19" width="10.28515625" bestFit="1" customWidth="1"/>
    <col min="20" max="20" width="7" bestFit="1" customWidth="1"/>
    <col min="21" max="21" width="12.5703125" bestFit="1" customWidth="1"/>
    <col min="22" max="22" width="7" bestFit="1" customWidth="1"/>
    <col min="23" max="23" width="9.5703125" bestFit="1" customWidth="1"/>
    <col min="24" max="24" width="6.7109375" bestFit="1" customWidth="1"/>
    <col min="25" max="25" width="8.5703125" bestFit="1" customWidth="1"/>
    <col min="26" max="26" width="8.85546875" bestFit="1" customWidth="1"/>
    <col min="27" max="27" width="6.7109375" bestFit="1" customWidth="1"/>
    <col min="28" max="28" width="11.140625" bestFit="1" customWidth="1"/>
  </cols>
  <sheetData>
    <row r="1" spans="2:28" ht="15.75" thickBot="1" x14ac:dyDescent="0.3"/>
    <row r="2" spans="2:28" ht="21.75" thickBot="1" x14ac:dyDescent="0.3">
      <c r="B2" s="88" t="s">
        <v>202</v>
      </c>
      <c r="C2" s="89"/>
      <c r="D2" s="89"/>
      <c r="E2" s="89"/>
      <c r="F2" s="89"/>
      <c r="G2" s="89"/>
      <c r="H2" s="84" t="s">
        <v>1</v>
      </c>
      <c r="I2" s="84"/>
      <c r="J2" s="84"/>
      <c r="K2" s="84"/>
      <c r="L2" s="84"/>
      <c r="M2" s="84"/>
      <c r="N2" s="84"/>
      <c r="O2" s="85" t="s">
        <v>2</v>
      </c>
      <c r="P2" s="85"/>
      <c r="Q2" s="85"/>
      <c r="R2" s="85"/>
      <c r="S2" s="85"/>
      <c r="T2" s="85"/>
      <c r="U2" s="85"/>
      <c r="V2" s="86" t="s">
        <v>3</v>
      </c>
      <c r="W2" s="86"/>
      <c r="X2" s="86"/>
      <c r="Y2" s="86"/>
      <c r="Z2" s="86"/>
      <c r="AA2" s="86"/>
      <c r="AB2" s="87"/>
    </row>
    <row r="3" spans="2:28" ht="16.5" thickTop="1" thickBot="1" x14ac:dyDescent="0.3">
      <c r="B3" s="1" t="s">
        <v>4</v>
      </c>
      <c r="C3" s="2" t="s">
        <v>5</v>
      </c>
      <c r="D3" s="2" t="s">
        <v>6</v>
      </c>
      <c r="E3" s="2" t="s">
        <v>7</v>
      </c>
      <c r="F3" s="3" t="s">
        <v>8</v>
      </c>
      <c r="G3" s="3" t="s">
        <v>9</v>
      </c>
      <c r="H3" s="4" t="s">
        <v>10</v>
      </c>
      <c r="I3" s="3" t="s">
        <v>11</v>
      </c>
      <c r="J3" s="3" t="s">
        <v>12</v>
      </c>
      <c r="K3" s="3" t="s">
        <v>15</v>
      </c>
      <c r="L3" s="3" t="s">
        <v>16</v>
      </c>
      <c r="M3" s="3" t="s">
        <v>17</v>
      </c>
      <c r="N3" s="3" t="s">
        <v>18</v>
      </c>
      <c r="O3" s="4" t="s">
        <v>10</v>
      </c>
      <c r="P3" s="3" t="s">
        <v>11</v>
      </c>
      <c r="Q3" s="3" t="s">
        <v>12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10</v>
      </c>
      <c r="W3" s="2" t="s">
        <v>11</v>
      </c>
      <c r="X3" s="2" t="s">
        <v>12</v>
      </c>
      <c r="Y3" s="2" t="s">
        <v>15</v>
      </c>
      <c r="Z3" s="2" t="s">
        <v>16</v>
      </c>
      <c r="AA3" s="2" t="s">
        <v>17</v>
      </c>
      <c r="AB3" s="5" t="s">
        <v>18</v>
      </c>
    </row>
    <row r="4" spans="2:28" x14ac:dyDescent="0.25">
      <c r="B4" s="19">
        <v>45939</v>
      </c>
      <c r="C4" s="42" t="s">
        <v>31</v>
      </c>
      <c r="D4" s="47" t="s">
        <v>178</v>
      </c>
      <c r="E4" s="47" t="s">
        <v>179</v>
      </c>
      <c r="F4" s="20">
        <v>15.356030000000001</v>
      </c>
      <c r="G4" s="20">
        <v>111.421875</v>
      </c>
      <c r="H4" s="6">
        <v>6.4818093470000004</v>
      </c>
      <c r="I4" s="20">
        <v>284.76925932199998</v>
      </c>
      <c r="J4" s="20">
        <v>1.4611111109999999</v>
      </c>
      <c r="K4" s="20">
        <v>4.9792363780000004</v>
      </c>
      <c r="L4" s="20">
        <v>1.727286463</v>
      </c>
      <c r="M4" s="20">
        <v>34.689786382340699</v>
      </c>
      <c r="N4" s="20">
        <v>0</v>
      </c>
      <c r="O4" s="6">
        <v>6.4818093470000004</v>
      </c>
      <c r="P4" s="20">
        <v>284.76925932199998</v>
      </c>
      <c r="Q4" s="20">
        <v>1.4611111109999999</v>
      </c>
      <c r="R4" s="20">
        <v>7.2569553830000002</v>
      </c>
      <c r="S4" s="20">
        <v>2.598644679</v>
      </c>
      <c r="T4" s="20">
        <v>35.809021026745398</v>
      </c>
      <c r="U4" s="20">
        <v>0</v>
      </c>
      <c r="V4" s="7">
        <f t="shared" ref="V4:V35" si="0">H4-O4</f>
        <v>0</v>
      </c>
      <c r="W4" s="15">
        <f t="shared" ref="W4:W35" si="1">I4-P4</f>
        <v>0</v>
      </c>
      <c r="X4" s="15">
        <f t="shared" ref="X4:X35" si="2">J4-Q4</f>
        <v>0</v>
      </c>
      <c r="Y4" s="15">
        <f t="shared" ref="Y4:Y35" si="3">K4-R4</f>
        <v>-2.2777190049999998</v>
      </c>
      <c r="Z4" s="15">
        <f t="shared" ref="Z4:Z35" si="4">L4-S4</f>
        <v>-0.87135821599999996</v>
      </c>
      <c r="AA4" s="15">
        <f t="shared" ref="AA4:AA35" si="5">M4-T4</f>
        <v>-1.119234644404699</v>
      </c>
      <c r="AB4" s="16">
        <f t="shared" ref="AB4:AB35" si="6">N4-U4</f>
        <v>0</v>
      </c>
    </row>
    <row r="5" spans="2:28" x14ac:dyDescent="0.25">
      <c r="B5" s="19">
        <v>45939</v>
      </c>
      <c r="C5" s="42" t="s">
        <v>31</v>
      </c>
      <c r="D5" s="47" t="s">
        <v>176</v>
      </c>
      <c r="E5" s="47" t="s">
        <v>177</v>
      </c>
      <c r="F5" s="20">
        <v>17.256029999999999</v>
      </c>
      <c r="G5" s="20">
        <v>117.01355</v>
      </c>
      <c r="H5" s="6">
        <v>6.0580622709999998</v>
      </c>
      <c r="I5" s="20">
        <v>243.85573127399999</v>
      </c>
      <c r="J5" s="20">
        <v>1.7111111109999999</v>
      </c>
      <c r="K5" s="20">
        <v>3.3888115779999999</v>
      </c>
      <c r="L5" s="20">
        <v>1.0825272349999999</v>
      </c>
      <c r="M5" s="20">
        <v>31.944155350144399</v>
      </c>
      <c r="N5" s="20">
        <v>0</v>
      </c>
      <c r="O5" s="6">
        <v>6.0580622709999998</v>
      </c>
      <c r="P5" s="20">
        <v>243.85573127399999</v>
      </c>
      <c r="Q5" s="20">
        <v>1.7111111109999999</v>
      </c>
      <c r="R5" s="20">
        <v>5.4757739799999996</v>
      </c>
      <c r="S5" s="20">
        <v>2.111347699</v>
      </c>
      <c r="T5" s="20">
        <v>38.557977497091699</v>
      </c>
      <c r="U5" s="20">
        <v>0</v>
      </c>
      <c r="V5" s="8">
        <f t="shared" si="0"/>
        <v>0</v>
      </c>
      <c r="W5" s="15">
        <f t="shared" si="1"/>
        <v>0</v>
      </c>
      <c r="X5" s="15">
        <f t="shared" si="2"/>
        <v>0</v>
      </c>
      <c r="Y5" s="15">
        <f t="shared" si="3"/>
        <v>-2.0869624019999997</v>
      </c>
      <c r="Z5" s="15">
        <f t="shared" si="4"/>
        <v>-1.028820464</v>
      </c>
      <c r="AA5" s="15">
        <f t="shared" si="5"/>
        <v>-6.6138221469472995</v>
      </c>
      <c r="AB5" s="16">
        <f t="shared" si="6"/>
        <v>0</v>
      </c>
    </row>
    <row r="6" spans="2:28" x14ac:dyDescent="0.25">
      <c r="B6" s="19">
        <v>45939</v>
      </c>
      <c r="C6" s="42" t="s">
        <v>31</v>
      </c>
      <c r="D6" s="47" t="s">
        <v>174</v>
      </c>
      <c r="E6" s="47" t="s">
        <v>175</v>
      </c>
      <c r="F6" s="20">
        <v>14.106030000000001</v>
      </c>
      <c r="G6" s="20">
        <v>111.304688</v>
      </c>
      <c r="H6" s="6">
        <v>5.7479182870000001</v>
      </c>
      <c r="I6" s="20">
        <v>211.98945747799999</v>
      </c>
      <c r="J6" s="20">
        <v>1.547222222</v>
      </c>
      <c r="K6" s="20">
        <v>2.9745759249999999</v>
      </c>
      <c r="L6" s="20">
        <v>0.87764003300000004</v>
      </c>
      <c r="M6" s="20">
        <v>29.504711095918701</v>
      </c>
      <c r="N6" s="20">
        <v>0</v>
      </c>
      <c r="O6" s="6">
        <v>5.7479182870000001</v>
      </c>
      <c r="P6" s="20">
        <v>211.98945747799999</v>
      </c>
      <c r="Q6" s="20">
        <v>1.547222222</v>
      </c>
      <c r="R6" s="20">
        <v>4.7997541989999997</v>
      </c>
      <c r="S6" s="20">
        <v>1.7375227179999999</v>
      </c>
      <c r="T6" s="20">
        <v>36.2002437200222</v>
      </c>
      <c r="U6" s="20">
        <v>0</v>
      </c>
      <c r="V6" s="8">
        <f t="shared" si="0"/>
        <v>0</v>
      </c>
      <c r="W6" s="15">
        <f t="shared" si="1"/>
        <v>0</v>
      </c>
      <c r="X6" s="15">
        <f t="shared" si="2"/>
        <v>0</v>
      </c>
      <c r="Y6" s="15">
        <f t="shared" si="3"/>
        <v>-1.8251782739999998</v>
      </c>
      <c r="Z6" s="15">
        <f t="shared" si="4"/>
        <v>-0.85988268499999987</v>
      </c>
      <c r="AA6" s="15">
        <f t="shared" si="5"/>
        <v>-6.6955326241034996</v>
      </c>
      <c r="AB6" s="16">
        <f t="shared" si="6"/>
        <v>0</v>
      </c>
    </row>
    <row r="7" spans="2:28" x14ac:dyDescent="0.25">
      <c r="B7" s="19">
        <v>45939</v>
      </c>
      <c r="C7" s="42" t="s">
        <v>31</v>
      </c>
      <c r="D7" s="47" t="s">
        <v>172</v>
      </c>
      <c r="E7" s="47" t="s">
        <v>173</v>
      </c>
      <c r="F7" s="20">
        <v>12.856030000000001</v>
      </c>
      <c r="G7" s="20">
        <v>108.359375</v>
      </c>
      <c r="H7" s="6">
        <v>5.8777098990000001</v>
      </c>
      <c r="I7" s="20">
        <v>224.008068256</v>
      </c>
      <c r="J7" s="20">
        <v>1.377777778</v>
      </c>
      <c r="K7" s="20">
        <v>2.6603998660000001</v>
      </c>
      <c r="L7" s="20">
        <v>0.74813312799999998</v>
      </c>
      <c r="M7" s="20">
        <v>28.121078246964501</v>
      </c>
      <c r="N7" s="20">
        <v>0</v>
      </c>
      <c r="O7" s="6">
        <v>5.8777098990000001</v>
      </c>
      <c r="P7" s="20">
        <v>224.008068256</v>
      </c>
      <c r="Q7" s="20">
        <v>1.377777778</v>
      </c>
      <c r="R7" s="20">
        <v>4.384059841</v>
      </c>
      <c r="S7" s="20">
        <v>1.5342842160000001</v>
      </c>
      <c r="T7" s="20">
        <v>34.996881238966701</v>
      </c>
      <c r="U7" s="20">
        <v>0</v>
      </c>
      <c r="V7" s="8">
        <f t="shared" si="0"/>
        <v>0</v>
      </c>
      <c r="W7" s="15">
        <f t="shared" si="1"/>
        <v>0</v>
      </c>
      <c r="X7" s="15">
        <f t="shared" si="2"/>
        <v>0</v>
      </c>
      <c r="Y7" s="15">
        <f t="shared" si="3"/>
        <v>-1.7236599749999999</v>
      </c>
      <c r="Z7" s="15">
        <f t="shared" si="4"/>
        <v>-0.78615108800000011</v>
      </c>
      <c r="AA7" s="15">
        <f t="shared" si="5"/>
        <v>-6.8758029920021997</v>
      </c>
      <c r="AB7" s="16">
        <f t="shared" si="6"/>
        <v>0</v>
      </c>
    </row>
    <row r="8" spans="2:28" x14ac:dyDescent="0.25">
      <c r="B8" s="19">
        <v>45939</v>
      </c>
      <c r="C8" s="42" t="s">
        <v>31</v>
      </c>
      <c r="D8" s="47" t="s">
        <v>170</v>
      </c>
      <c r="E8" s="47" t="s">
        <v>171</v>
      </c>
      <c r="F8" s="20">
        <v>11.356030000000001</v>
      </c>
      <c r="G8" s="20">
        <v>105.4375</v>
      </c>
      <c r="H8" s="6">
        <v>6.0922279079999999</v>
      </c>
      <c r="I8" s="20">
        <v>244.529638957</v>
      </c>
      <c r="J8" s="20">
        <v>1.2194444440000001</v>
      </c>
      <c r="K8" s="20">
        <v>3.2936466100000001</v>
      </c>
      <c r="L8" s="20">
        <v>1.0624981870000001</v>
      </c>
      <c r="M8" s="20">
        <v>32.259022075231101</v>
      </c>
      <c r="N8" s="20">
        <v>0</v>
      </c>
      <c r="O8" s="6">
        <v>6.0922279079999999</v>
      </c>
      <c r="P8" s="20">
        <v>244.529638957</v>
      </c>
      <c r="Q8" s="20">
        <v>1.2194444440000001</v>
      </c>
      <c r="R8" s="20">
        <v>5.208125753</v>
      </c>
      <c r="S8" s="20">
        <v>1.814038692</v>
      </c>
      <c r="T8" s="20">
        <v>34.8309310879268</v>
      </c>
      <c r="U8" s="20">
        <v>0</v>
      </c>
      <c r="V8" s="8">
        <f t="shared" si="0"/>
        <v>0</v>
      </c>
      <c r="W8" s="15">
        <f t="shared" si="1"/>
        <v>0</v>
      </c>
      <c r="X8" s="15">
        <f t="shared" si="2"/>
        <v>0</v>
      </c>
      <c r="Y8" s="15">
        <f t="shared" si="3"/>
        <v>-1.9144791429999999</v>
      </c>
      <c r="Z8" s="15">
        <f t="shared" si="4"/>
        <v>-0.75154050499999991</v>
      </c>
      <c r="AA8" s="15">
        <f t="shared" si="5"/>
        <v>-2.5719090126956985</v>
      </c>
      <c r="AB8" s="16">
        <f t="shared" si="6"/>
        <v>0</v>
      </c>
    </row>
    <row r="9" spans="2:28" x14ac:dyDescent="0.25">
      <c r="B9" s="19">
        <v>45939</v>
      </c>
      <c r="C9" s="42" t="s">
        <v>31</v>
      </c>
      <c r="D9" s="47" t="s">
        <v>168</v>
      </c>
      <c r="E9" s="47" t="s">
        <v>169</v>
      </c>
      <c r="F9" s="20">
        <v>10.606030000000001</v>
      </c>
      <c r="G9" s="20">
        <v>103.5625</v>
      </c>
      <c r="H9" s="6">
        <v>6.25517973</v>
      </c>
      <c r="I9" s="20">
        <v>258.63001481600003</v>
      </c>
      <c r="J9" s="20">
        <v>0.96111111100000002</v>
      </c>
      <c r="K9" s="20">
        <v>2.4261029330000001</v>
      </c>
      <c r="L9" s="20">
        <v>0.694487207</v>
      </c>
      <c r="M9" s="20">
        <v>28.6256282680155</v>
      </c>
      <c r="N9" s="20">
        <v>0</v>
      </c>
      <c r="O9" s="6">
        <v>6.25517973</v>
      </c>
      <c r="P9" s="20">
        <v>258.63001481600003</v>
      </c>
      <c r="Q9" s="20">
        <v>0.96111111100000002</v>
      </c>
      <c r="R9" s="20">
        <v>3.833864159</v>
      </c>
      <c r="S9" s="20">
        <v>1.2805007100000001</v>
      </c>
      <c r="T9" s="20">
        <v>33.399741276540098</v>
      </c>
      <c r="U9" s="20">
        <v>0</v>
      </c>
      <c r="V9" s="8">
        <f t="shared" si="0"/>
        <v>0</v>
      </c>
      <c r="W9" s="15">
        <f t="shared" si="1"/>
        <v>0</v>
      </c>
      <c r="X9" s="15">
        <f t="shared" si="2"/>
        <v>0</v>
      </c>
      <c r="Y9" s="15">
        <f t="shared" si="3"/>
        <v>-1.4077612259999999</v>
      </c>
      <c r="Z9" s="15">
        <f t="shared" si="4"/>
        <v>-0.5860135030000001</v>
      </c>
      <c r="AA9" s="15">
        <f t="shared" si="5"/>
        <v>-4.7741130085245977</v>
      </c>
      <c r="AB9" s="16">
        <f t="shared" si="6"/>
        <v>0</v>
      </c>
    </row>
    <row r="10" spans="2:28" x14ac:dyDescent="0.25">
      <c r="B10" s="19">
        <v>45939</v>
      </c>
      <c r="C10" s="42" t="s">
        <v>31</v>
      </c>
      <c r="D10" s="47" t="s">
        <v>166</v>
      </c>
      <c r="E10" s="47" t="s">
        <v>167</v>
      </c>
      <c r="F10" s="20">
        <v>9.3560300000000005</v>
      </c>
      <c r="G10" s="20">
        <v>115.72168499999999</v>
      </c>
      <c r="H10" s="6">
        <v>5.2707839520000004</v>
      </c>
      <c r="I10" s="20">
        <v>133.3981043</v>
      </c>
      <c r="J10" s="20">
        <v>7.7681437989999997</v>
      </c>
      <c r="K10" s="20">
        <v>2.0623783269999998</v>
      </c>
      <c r="L10" s="20">
        <v>0.52184422699999999</v>
      </c>
      <c r="M10" s="20">
        <v>25.303030979727701</v>
      </c>
      <c r="N10" s="20">
        <v>7.3906986430000003</v>
      </c>
      <c r="O10" s="6">
        <v>-3.8049613029999998</v>
      </c>
      <c r="P10" s="20">
        <v>-773.65874591600004</v>
      </c>
      <c r="Q10" s="20">
        <v>5.8532477580000002</v>
      </c>
      <c r="R10" s="20">
        <v>3.1611436949999998</v>
      </c>
      <c r="S10" s="20">
        <v>0.96490115399999998</v>
      </c>
      <c r="T10" s="20">
        <v>30.5237992036297</v>
      </c>
      <c r="U10" s="20">
        <v>56.786490579999999</v>
      </c>
      <c r="V10" s="8">
        <f t="shared" si="0"/>
        <v>9.0757452550000011</v>
      </c>
      <c r="W10" s="15">
        <f t="shared" si="1"/>
        <v>907.05685021600004</v>
      </c>
      <c r="X10" s="15">
        <f t="shared" si="2"/>
        <v>1.9148960409999995</v>
      </c>
      <c r="Y10" s="15">
        <f t="shared" si="3"/>
        <v>-1.098765368</v>
      </c>
      <c r="Z10" s="15">
        <f t="shared" si="4"/>
        <v>-0.44305692699999999</v>
      </c>
      <c r="AA10" s="15">
        <f t="shared" si="5"/>
        <v>-5.2207682239019988</v>
      </c>
      <c r="AB10" s="16">
        <f t="shared" si="6"/>
        <v>-49.395791936999998</v>
      </c>
    </row>
    <row r="11" spans="2:28" x14ac:dyDescent="0.25">
      <c r="B11" s="19">
        <v>45939</v>
      </c>
      <c r="C11" s="42" t="s">
        <v>31</v>
      </c>
      <c r="D11" s="47" t="s">
        <v>164</v>
      </c>
      <c r="E11" s="47" t="s">
        <v>165</v>
      </c>
      <c r="F11" s="20">
        <v>12.156029999999999</v>
      </c>
      <c r="G11" s="20">
        <v>106.1875</v>
      </c>
      <c r="H11" s="6">
        <v>5.8965366369999996</v>
      </c>
      <c r="I11" s="20">
        <v>224.329307387</v>
      </c>
      <c r="J11" s="20">
        <v>1.127777778</v>
      </c>
      <c r="K11" s="20">
        <v>1.7591313559999999</v>
      </c>
      <c r="L11" s="20">
        <v>0.412086654</v>
      </c>
      <c r="M11" s="20">
        <v>23.425576071648401</v>
      </c>
      <c r="N11" s="20">
        <v>0</v>
      </c>
      <c r="O11" s="6">
        <v>5.8965366369999996</v>
      </c>
      <c r="P11" s="20">
        <v>224.329307387</v>
      </c>
      <c r="Q11" s="20">
        <v>1.127777778</v>
      </c>
      <c r="R11" s="20">
        <v>2.9195061889999998</v>
      </c>
      <c r="S11" s="20">
        <v>0.93030281999999997</v>
      </c>
      <c r="T11" s="20">
        <v>31.865074426119001</v>
      </c>
      <c r="U11" s="20">
        <v>0</v>
      </c>
      <c r="V11" s="8">
        <f t="shared" si="0"/>
        <v>0</v>
      </c>
      <c r="W11" s="15">
        <f t="shared" si="1"/>
        <v>0</v>
      </c>
      <c r="X11" s="15">
        <f t="shared" si="2"/>
        <v>0</v>
      </c>
      <c r="Y11" s="15">
        <f t="shared" si="3"/>
        <v>-1.1603748329999999</v>
      </c>
      <c r="Z11" s="15">
        <f t="shared" si="4"/>
        <v>-0.51821616599999998</v>
      </c>
      <c r="AA11" s="15">
        <f t="shared" si="5"/>
        <v>-8.4394983544706008</v>
      </c>
      <c r="AB11" s="16">
        <f t="shared" si="6"/>
        <v>0</v>
      </c>
    </row>
    <row r="12" spans="2:28" x14ac:dyDescent="0.25">
      <c r="B12" s="19">
        <v>45939</v>
      </c>
      <c r="C12" s="42" t="s">
        <v>31</v>
      </c>
      <c r="D12" s="47" t="s">
        <v>162</v>
      </c>
      <c r="E12" s="47" t="s">
        <v>163</v>
      </c>
      <c r="F12" s="20">
        <v>11.856030000000001</v>
      </c>
      <c r="G12" s="20">
        <v>105.94096</v>
      </c>
      <c r="H12" s="6">
        <v>5.4495066510000001</v>
      </c>
      <c r="I12" s="20">
        <v>179.10930393999999</v>
      </c>
      <c r="J12" s="20">
        <v>1.047222222</v>
      </c>
      <c r="K12" s="20">
        <v>1.3254613200000001</v>
      </c>
      <c r="L12" s="20">
        <v>0.26214636600000002</v>
      </c>
      <c r="M12" s="20">
        <v>19.777745456955302</v>
      </c>
      <c r="N12" s="20">
        <v>0</v>
      </c>
      <c r="O12" s="6">
        <v>5.4495066510000001</v>
      </c>
      <c r="P12" s="20">
        <v>179.10930393999999</v>
      </c>
      <c r="Q12" s="20">
        <v>1.047222222</v>
      </c>
      <c r="R12" s="20">
        <v>2.1784001929999999</v>
      </c>
      <c r="S12" s="20">
        <v>0.61562288799999998</v>
      </c>
      <c r="T12" s="20">
        <v>28.260321036429499</v>
      </c>
      <c r="U12" s="20">
        <v>0</v>
      </c>
      <c r="V12" s="8">
        <f t="shared" si="0"/>
        <v>0</v>
      </c>
      <c r="W12" s="15">
        <f t="shared" si="1"/>
        <v>0</v>
      </c>
      <c r="X12" s="15">
        <f t="shared" si="2"/>
        <v>0</v>
      </c>
      <c r="Y12" s="15">
        <f t="shared" si="3"/>
        <v>-0.85293887299999982</v>
      </c>
      <c r="Z12" s="15">
        <f t="shared" si="4"/>
        <v>-0.35347652199999996</v>
      </c>
      <c r="AA12" s="15">
        <f t="shared" si="5"/>
        <v>-8.4825755794741973</v>
      </c>
      <c r="AB12" s="16">
        <f t="shared" si="6"/>
        <v>0</v>
      </c>
    </row>
    <row r="13" spans="2:28" x14ac:dyDescent="0.25">
      <c r="B13" s="19">
        <v>45939</v>
      </c>
      <c r="C13" s="42" t="s">
        <v>31</v>
      </c>
      <c r="D13" s="47" t="s">
        <v>160</v>
      </c>
      <c r="E13" s="47" t="s">
        <v>161</v>
      </c>
      <c r="F13" s="20">
        <v>9.1060300000000005</v>
      </c>
      <c r="G13" s="20">
        <v>111</v>
      </c>
      <c r="H13" s="6">
        <v>5.8041480080000003</v>
      </c>
      <c r="I13" s="20">
        <v>205.10277681599999</v>
      </c>
      <c r="J13" s="20">
        <v>5.3</v>
      </c>
      <c r="K13" s="20">
        <v>1.213658498</v>
      </c>
      <c r="L13" s="20">
        <v>0.21399074500000001</v>
      </c>
      <c r="M13" s="20">
        <v>17.6318746461742</v>
      </c>
      <c r="N13" s="20">
        <v>0</v>
      </c>
      <c r="O13" s="6">
        <v>5.8041480080000003</v>
      </c>
      <c r="P13" s="20">
        <v>205.10277681599999</v>
      </c>
      <c r="Q13" s="20">
        <v>5.3</v>
      </c>
      <c r="R13" s="20">
        <v>1.783283967</v>
      </c>
      <c r="S13" s="20">
        <v>0.468119165</v>
      </c>
      <c r="T13" s="20">
        <v>26.2503994687684</v>
      </c>
      <c r="U13" s="20">
        <v>0</v>
      </c>
      <c r="V13" s="8">
        <f t="shared" si="0"/>
        <v>0</v>
      </c>
      <c r="W13" s="15">
        <f t="shared" si="1"/>
        <v>0</v>
      </c>
      <c r="X13" s="15">
        <f t="shared" si="2"/>
        <v>0</v>
      </c>
      <c r="Y13" s="15">
        <f t="shared" si="3"/>
        <v>-0.569625469</v>
      </c>
      <c r="Z13" s="15">
        <f t="shared" si="4"/>
        <v>-0.25412842000000002</v>
      </c>
      <c r="AA13" s="15">
        <f t="shared" si="5"/>
        <v>-8.6185248225941997</v>
      </c>
      <c r="AB13" s="16">
        <f t="shared" si="6"/>
        <v>0</v>
      </c>
    </row>
    <row r="14" spans="2:28" x14ac:dyDescent="0.25">
      <c r="B14" s="19">
        <v>45939</v>
      </c>
      <c r="C14" s="42" t="s">
        <v>31</v>
      </c>
      <c r="D14" s="47" t="s">
        <v>158</v>
      </c>
      <c r="E14" s="47" t="s">
        <v>159</v>
      </c>
      <c r="F14" s="20">
        <v>12.070510000000001</v>
      </c>
      <c r="G14" s="20">
        <v>121.25</v>
      </c>
      <c r="H14" s="6">
        <v>1.115083099</v>
      </c>
      <c r="I14" s="20">
        <v>-257.70980102800002</v>
      </c>
      <c r="J14" s="20">
        <v>4.3116543189999996</v>
      </c>
      <c r="K14" s="20">
        <v>4.9919873429999999</v>
      </c>
      <c r="L14" s="20">
        <v>1.26958142</v>
      </c>
      <c r="M14" s="20">
        <v>25.432384594890198</v>
      </c>
      <c r="N14" s="20">
        <v>20.325739464000002</v>
      </c>
      <c r="O14" s="6">
        <v>-5.9504897540000004</v>
      </c>
      <c r="P14" s="20">
        <v>-964.14726320700004</v>
      </c>
      <c r="Q14" s="20">
        <v>3.981296961</v>
      </c>
      <c r="R14" s="20">
        <v>6.4817587689999998</v>
      </c>
      <c r="S14" s="20">
        <v>1.94961433</v>
      </c>
      <c r="T14" s="20">
        <v>30.0784771461155</v>
      </c>
      <c r="U14" s="20">
        <v>44.184828009</v>
      </c>
      <c r="V14" s="8">
        <f t="shared" si="0"/>
        <v>7.0655728530000008</v>
      </c>
      <c r="W14" s="15">
        <f t="shared" si="1"/>
        <v>706.43746217900002</v>
      </c>
      <c r="X14" s="15">
        <f t="shared" si="2"/>
        <v>0.33035735799999966</v>
      </c>
      <c r="Y14" s="15">
        <f t="shared" si="3"/>
        <v>-1.4897714259999999</v>
      </c>
      <c r="Z14" s="15">
        <f t="shared" si="4"/>
        <v>-0.68003290999999999</v>
      </c>
      <c r="AA14" s="15">
        <f t="shared" si="5"/>
        <v>-4.6460925512253013</v>
      </c>
      <c r="AB14" s="16">
        <f t="shared" si="6"/>
        <v>-23.859088544999999</v>
      </c>
    </row>
    <row r="15" spans="2:28" x14ac:dyDescent="0.25">
      <c r="B15" s="19">
        <v>45939</v>
      </c>
      <c r="C15" s="42" t="s">
        <v>31</v>
      </c>
      <c r="D15" s="47" t="s">
        <v>156</v>
      </c>
      <c r="E15" s="47" t="s">
        <v>157</v>
      </c>
      <c r="F15" s="20">
        <v>9.7205100000000009</v>
      </c>
      <c r="G15" s="20">
        <v>111.30897</v>
      </c>
      <c r="H15" s="6">
        <v>5.4752920129999998</v>
      </c>
      <c r="I15" s="20">
        <v>178.88584169999999</v>
      </c>
      <c r="J15" s="20">
        <v>4.2930489029999999</v>
      </c>
      <c r="K15" s="20">
        <v>4.1365488990000001</v>
      </c>
      <c r="L15" s="20">
        <v>0.97037925000000003</v>
      </c>
      <c r="M15" s="20">
        <v>23.458667447025402</v>
      </c>
      <c r="N15" s="20">
        <v>1.51902457</v>
      </c>
      <c r="O15" s="6">
        <v>1.9380725379999999</v>
      </c>
      <c r="P15" s="20">
        <v>-174.79854658100001</v>
      </c>
      <c r="Q15" s="20">
        <v>4.1791877340000001</v>
      </c>
      <c r="R15" s="20">
        <v>4.8635940800000004</v>
      </c>
      <c r="S15" s="20">
        <v>1.612920422</v>
      </c>
      <c r="T15" s="20">
        <v>33.163138112874698</v>
      </c>
      <c r="U15" s="20">
        <v>16.151460884999999</v>
      </c>
      <c r="V15" s="8">
        <f t="shared" si="0"/>
        <v>3.5372194749999997</v>
      </c>
      <c r="W15" s="15">
        <f t="shared" si="1"/>
        <v>353.684388281</v>
      </c>
      <c r="X15" s="15">
        <f t="shared" si="2"/>
        <v>0.11386116899999976</v>
      </c>
      <c r="Y15" s="15">
        <f t="shared" si="3"/>
        <v>-0.72704518100000026</v>
      </c>
      <c r="Z15" s="15">
        <f t="shared" si="4"/>
        <v>-0.64254117199999994</v>
      </c>
      <c r="AA15" s="15">
        <f t="shared" si="5"/>
        <v>-9.7044706658492963</v>
      </c>
      <c r="AB15" s="16">
        <f t="shared" si="6"/>
        <v>-14.632436315</v>
      </c>
    </row>
    <row r="16" spans="2:28" x14ac:dyDescent="0.25">
      <c r="B16" s="19">
        <v>45939</v>
      </c>
      <c r="C16" s="46" t="s">
        <v>31</v>
      </c>
      <c r="D16" s="47" t="s">
        <v>46</v>
      </c>
      <c r="E16" s="47" t="s">
        <v>47</v>
      </c>
      <c r="F16" s="20">
        <v>8.0560299999999998</v>
      </c>
      <c r="G16" s="20">
        <v>103.54</v>
      </c>
      <c r="H16" s="6">
        <v>-12.466876012</v>
      </c>
      <c r="I16" s="20">
        <v>-1610.060536404</v>
      </c>
      <c r="J16" s="20">
        <v>3.3392906249999998</v>
      </c>
      <c r="K16" s="20">
        <v>7.4553558720000002</v>
      </c>
      <c r="L16" s="20">
        <v>3.72181293</v>
      </c>
      <c r="M16" s="20">
        <v>49.921331642637902</v>
      </c>
      <c r="N16" s="20">
        <v>52.637623304000002</v>
      </c>
      <c r="O16" s="6">
        <v>-76.353322382000002</v>
      </c>
      <c r="P16" s="20">
        <v>-7996.4255903149997</v>
      </c>
      <c r="Q16" s="20">
        <v>2.7695300020000002</v>
      </c>
      <c r="R16" s="20">
        <v>10.242165977999999</v>
      </c>
      <c r="S16" s="20">
        <v>5.135668678</v>
      </c>
      <c r="T16" s="20">
        <v>50.142408246764703</v>
      </c>
      <c r="U16" s="20">
        <v>100</v>
      </c>
      <c r="V16" s="8">
        <f t="shared" si="0"/>
        <v>63.886446370000002</v>
      </c>
      <c r="W16" s="15">
        <f t="shared" si="1"/>
        <v>6386.3650539109994</v>
      </c>
      <c r="X16" s="15">
        <f t="shared" si="2"/>
        <v>0.56976062299999963</v>
      </c>
      <c r="Y16" s="15">
        <f t="shared" si="3"/>
        <v>-2.786810105999999</v>
      </c>
      <c r="Z16" s="15">
        <f t="shared" si="4"/>
        <v>-1.413855748</v>
      </c>
      <c r="AA16" s="15">
        <f t="shared" si="5"/>
        <v>-0.22107660412680019</v>
      </c>
      <c r="AB16" s="16">
        <f t="shared" si="6"/>
        <v>-47.362376695999998</v>
      </c>
    </row>
    <row r="17" spans="2:28" x14ac:dyDescent="0.25">
      <c r="B17" s="19">
        <v>45939</v>
      </c>
      <c r="C17" s="46" t="s">
        <v>31</v>
      </c>
      <c r="D17" s="47" t="s">
        <v>44</v>
      </c>
      <c r="E17" s="47" t="s">
        <v>45</v>
      </c>
      <c r="F17" s="20">
        <v>8.3560300000000005</v>
      </c>
      <c r="G17" s="20">
        <v>104.35</v>
      </c>
      <c r="H17" s="6">
        <v>-15.023692344000001</v>
      </c>
      <c r="I17" s="20">
        <v>-1865.2718819260001</v>
      </c>
      <c r="J17" s="20">
        <v>3.2482900360000002</v>
      </c>
      <c r="K17" s="20">
        <v>8.2215520590000004</v>
      </c>
      <c r="L17" s="20">
        <v>4.027986802</v>
      </c>
      <c r="M17" s="20">
        <v>48.993021914768903</v>
      </c>
      <c r="N17" s="20">
        <v>56.833657156000001</v>
      </c>
      <c r="O17" s="6">
        <v>-77.130125555999996</v>
      </c>
      <c r="P17" s="20">
        <v>-8074.1289358370004</v>
      </c>
      <c r="Q17" s="20">
        <v>2.7159310950000002</v>
      </c>
      <c r="R17" s="20">
        <v>10.92923077</v>
      </c>
      <c r="S17" s="20">
        <v>5.435659695</v>
      </c>
      <c r="T17" s="20">
        <v>49.735061958070403</v>
      </c>
      <c r="U17" s="20">
        <v>100</v>
      </c>
      <c r="V17" s="8">
        <f t="shared" si="0"/>
        <v>62.106433211999999</v>
      </c>
      <c r="W17" s="15">
        <f t="shared" si="1"/>
        <v>6208.8570539110005</v>
      </c>
      <c r="X17" s="15">
        <f t="shared" si="2"/>
        <v>0.53235894100000003</v>
      </c>
      <c r="Y17" s="15">
        <f t="shared" si="3"/>
        <v>-2.7076787109999998</v>
      </c>
      <c r="Z17" s="15">
        <f t="shared" si="4"/>
        <v>-1.407672893</v>
      </c>
      <c r="AA17" s="15">
        <f t="shared" si="5"/>
        <v>-0.74204004330150042</v>
      </c>
      <c r="AB17" s="16">
        <f t="shared" si="6"/>
        <v>-43.166342843999999</v>
      </c>
    </row>
    <row r="18" spans="2:28" x14ac:dyDescent="0.25">
      <c r="B18" s="19">
        <v>45939</v>
      </c>
      <c r="C18" s="46" t="s">
        <v>31</v>
      </c>
      <c r="D18" s="47" t="s">
        <v>42</v>
      </c>
      <c r="E18" s="47" t="s">
        <v>43</v>
      </c>
      <c r="F18" s="20">
        <v>16.356030000000001</v>
      </c>
      <c r="G18" s="20">
        <v>115.699219</v>
      </c>
      <c r="H18" s="6">
        <v>5.9636515360000004</v>
      </c>
      <c r="I18" s="20">
        <v>234.45996098099999</v>
      </c>
      <c r="J18" s="20">
        <v>1.7111111109999999</v>
      </c>
      <c r="K18" s="20">
        <v>3.0439851980000001</v>
      </c>
      <c r="L18" s="20">
        <v>0.83775251799999995</v>
      </c>
      <c r="M18" s="20">
        <v>27.521570030972299</v>
      </c>
      <c r="N18" s="20">
        <v>0</v>
      </c>
      <c r="O18" s="6">
        <v>5.9636515360000004</v>
      </c>
      <c r="P18" s="20">
        <v>234.45996098099999</v>
      </c>
      <c r="Q18" s="20">
        <v>1.7111111109999999</v>
      </c>
      <c r="R18" s="20">
        <v>4.4319624820000003</v>
      </c>
      <c r="S18" s="20">
        <v>1.5516480450000001</v>
      </c>
      <c r="T18" s="20">
        <v>35.010405690523598</v>
      </c>
      <c r="U18" s="20">
        <v>0</v>
      </c>
      <c r="V18" s="8">
        <f t="shared" si="0"/>
        <v>0</v>
      </c>
      <c r="W18" s="15">
        <f t="shared" si="1"/>
        <v>0</v>
      </c>
      <c r="X18" s="15">
        <f t="shared" si="2"/>
        <v>0</v>
      </c>
      <c r="Y18" s="15">
        <f t="shared" si="3"/>
        <v>-1.3879772840000002</v>
      </c>
      <c r="Z18" s="15">
        <f t="shared" si="4"/>
        <v>-0.71389552700000014</v>
      </c>
      <c r="AA18" s="15">
        <f t="shared" si="5"/>
        <v>-7.4888356595512988</v>
      </c>
      <c r="AB18" s="16">
        <f t="shared" si="6"/>
        <v>0</v>
      </c>
    </row>
    <row r="19" spans="2:28" x14ac:dyDescent="0.25">
      <c r="B19" s="19">
        <v>45939</v>
      </c>
      <c r="C19" s="46" t="s">
        <v>31</v>
      </c>
      <c r="D19" s="47" t="s">
        <v>40</v>
      </c>
      <c r="E19" s="47" t="s">
        <v>41</v>
      </c>
      <c r="F19" s="20">
        <v>14.95603</v>
      </c>
      <c r="G19" s="20">
        <v>113.0625</v>
      </c>
      <c r="H19" s="6">
        <v>5.8039625429999999</v>
      </c>
      <c r="I19" s="20">
        <v>218.046220648</v>
      </c>
      <c r="J19" s="20">
        <v>1.627777778</v>
      </c>
      <c r="K19" s="20">
        <v>2.6713275849999998</v>
      </c>
      <c r="L19" s="20">
        <v>0.71227684700000005</v>
      </c>
      <c r="M19" s="20">
        <v>26.663777628755302</v>
      </c>
      <c r="N19" s="20">
        <v>0</v>
      </c>
      <c r="O19" s="6">
        <v>5.8039625429999999</v>
      </c>
      <c r="P19" s="20">
        <v>218.046220648</v>
      </c>
      <c r="Q19" s="20">
        <v>1.627777778</v>
      </c>
      <c r="R19" s="20">
        <v>3.9367127289999999</v>
      </c>
      <c r="S19" s="20">
        <v>1.3544420029999999</v>
      </c>
      <c r="T19" s="20">
        <v>34.405406140570797</v>
      </c>
      <c r="U19" s="20">
        <v>0</v>
      </c>
      <c r="V19" s="8">
        <f t="shared" si="0"/>
        <v>0</v>
      </c>
      <c r="W19" s="15">
        <f t="shared" si="1"/>
        <v>0</v>
      </c>
      <c r="X19" s="15">
        <f t="shared" si="2"/>
        <v>0</v>
      </c>
      <c r="Y19" s="15">
        <f t="shared" si="3"/>
        <v>-1.2653851440000001</v>
      </c>
      <c r="Z19" s="15">
        <f t="shared" si="4"/>
        <v>-0.6421651559999999</v>
      </c>
      <c r="AA19" s="15">
        <f t="shared" si="5"/>
        <v>-7.7416285118154953</v>
      </c>
      <c r="AB19" s="16">
        <f t="shared" si="6"/>
        <v>0</v>
      </c>
    </row>
    <row r="20" spans="2:28" x14ac:dyDescent="0.25">
      <c r="B20" s="19">
        <v>45939</v>
      </c>
      <c r="C20" s="46" t="s">
        <v>31</v>
      </c>
      <c r="D20" s="47" t="s">
        <v>38</v>
      </c>
      <c r="E20" s="47" t="s">
        <v>39</v>
      </c>
      <c r="F20" s="20">
        <v>13.856030000000001</v>
      </c>
      <c r="G20" s="20">
        <v>110.28567</v>
      </c>
      <c r="H20" s="6">
        <v>5.8087883720000004</v>
      </c>
      <c r="I20" s="20">
        <v>217.545990029</v>
      </c>
      <c r="J20" s="20">
        <v>1.4611111109999999</v>
      </c>
      <c r="K20" s="20">
        <v>2.247896549</v>
      </c>
      <c r="L20" s="20">
        <v>0.55509215999999995</v>
      </c>
      <c r="M20" s="20">
        <v>24.693848133133098</v>
      </c>
      <c r="N20" s="20">
        <v>0</v>
      </c>
      <c r="O20" s="6">
        <v>5.8087883720000004</v>
      </c>
      <c r="P20" s="20">
        <v>217.545990029</v>
      </c>
      <c r="Q20" s="20">
        <v>1.4611111109999999</v>
      </c>
      <c r="R20" s="20">
        <v>3.306431823</v>
      </c>
      <c r="S20" s="20">
        <v>1.100749363</v>
      </c>
      <c r="T20" s="20">
        <v>33.2911555999139</v>
      </c>
      <c r="U20" s="20">
        <v>0</v>
      </c>
      <c r="V20" s="8">
        <f t="shared" si="0"/>
        <v>0</v>
      </c>
      <c r="W20" s="15">
        <f t="shared" si="1"/>
        <v>0</v>
      </c>
      <c r="X20" s="15">
        <f t="shared" si="2"/>
        <v>0</v>
      </c>
      <c r="Y20" s="15">
        <f t="shared" si="3"/>
        <v>-1.058535274</v>
      </c>
      <c r="Z20" s="15">
        <f t="shared" si="4"/>
        <v>-0.54565720300000009</v>
      </c>
      <c r="AA20" s="15">
        <f t="shared" si="5"/>
        <v>-8.5973074667808014</v>
      </c>
      <c r="AB20" s="16">
        <f t="shared" si="6"/>
        <v>0</v>
      </c>
    </row>
    <row r="21" spans="2:28" x14ac:dyDescent="0.25">
      <c r="B21" s="17">
        <v>45939</v>
      </c>
      <c r="C21" s="46" t="s">
        <v>31</v>
      </c>
      <c r="D21" s="47" t="s">
        <v>36</v>
      </c>
      <c r="E21" s="47" t="s">
        <v>37</v>
      </c>
      <c r="F21" s="18">
        <v>12.006030000000001</v>
      </c>
      <c r="G21" s="18">
        <v>106.75</v>
      </c>
      <c r="H21" s="6">
        <v>5.9364829730000004</v>
      </c>
      <c r="I21" s="18">
        <v>229.419671045</v>
      </c>
      <c r="J21" s="18">
        <v>1.294444444</v>
      </c>
      <c r="K21" s="18">
        <v>3.6669582260000002</v>
      </c>
      <c r="L21" s="18">
        <v>1.053289377</v>
      </c>
      <c r="M21" s="18">
        <v>28.723789912080701</v>
      </c>
      <c r="N21" s="18">
        <v>0</v>
      </c>
      <c r="O21" s="6">
        <v>5.9364829730000004</v>
      </c>
      <c r="P21" s="18">
        <v>229.419671045</v>
      </c>
      <c r="Q21" s="18">
        <v>1.294444444</v>
      </c>
      <c r="R21" s="18">
        <v>5.2103369329999998</v>
      </c>
      <c r="S21" s="18">
        <v>1.707544513</v>
      </c>
      <c r="T21" s="18">
        <v>32.7722474564967</v>
      </c>
      <c r="U21" s="18">
        <v>0</v>
      </c>
      <c r="V21" s="8">
        <f t="shared" si="0"/>
        <v>0</v>
      </c>
      <c r="W21" s="15">
        <f t="shared" si="1"/>
        <v>0</v>
      </c>
      <c r="X21" s="15">
        <f t="shared" si="2"/>
        <v>0</v>
      </c>
      <c r="Y21" s="15">
        <f t="shared" si="3"/>
        <v>-1.5433787069999996</v>
      </c>
      <c r="Z21" s="15">
        <f t="shared" si="4"/>
        <v>-0.65425513599999996</v>
      </c>
      <c r="AA21" s="15">
        <f t="shared" si="5"/>
        <v>-4.0484575444159994</v>
      </c>
      <c r="AB21" s="16">
        <f t="shared" si="6"/>
        <v>0</v>
      </c>
    </row>
    <row r="22" spans="2:28" x14ac:dyDescent="0.25">
      <c r="B22" s="17">
        <v>45939</v>
      </c>
      <c r="C22" s="46" t="s">
        <v>31</v>
      </c>
      <c r="D22" s="47" t="s">
        <v>34</v>
      </c>
      <c r="E22" s="47" t="s">
        <v>35</v>
      </c>
      <c r="F22" s="18">
        <v>10.55603</v>
      </c>
      <c r="G22" s="18">
        <v>104.1875</v>
      </c>
      <c r="H22" s="6">
        <v>6.1079829869999998</v>
      </c>
      <c r="I22" s="18">
        <v>245.55996026400001</v>
      </c>
      <c r="J22" s="18">
        <v>1.127777778</v>
      </c>
      <c r="K22" s="18">
        <v>2.805783795</v>
      </c>
      <c r="L22" s="18">
        <v>0.71964653899999997</v>
      </c>
      <c r="M22" s="18">
        <v>25.648681137956299</v>
      </c>
      <c r="N22" s="18">
        <v>0</v>
      </c>
      <c r="O22" s="6">
        <v>6.1079829869999998</v>
      </c>
      <c r="P22" s="18">
        <v>245.55996026400001</v>
      </c>
      <c r="Q22" s="18">
        <v>1.127777778</v>
      </c>
      <c r="R22" s="18">
        <v>4.0776269699999999</v>
      </c>
      <c r="S22" s="18">
        <v>1.2612311810000001</v>
      </c>
      <c r="T22" s="18">
        <v>30.930518909139</v>
      </c>
      <c r="U22" s="18">
        <v>0</v>
      </c>
      <c r="V22" s="8">
        <f t="shared" si="0"/>
        <v>0</v>
      </c>
      <c r="W22" s="15">
        <f t="shared" si="1"/>
        <v>0</v>
      </c>
      <c r="X22" s="15">
        <f t="shared" si="2"/>
        <v>0</v>
      </c>
      <c r="Y22" s="15">
        <f t="shared" si="3"/>
        <v>-1.2718431749999999</v>
      </c>
      <c r="Z22" s="15">
        <f t="shared" si="4"/>
        <v>-0.54158464200000012</v>
      </c>
      <c r="AA22" s="15">
        <f t="shared" si="5"/>
        <v>-5.2818377711827011</v>
      </c>
      <c r="AB22" s="16">
        <f t="shared" si="6"/>
        <v>0</v>
      </c>
    </row>
    <row r="23" spans="2:28" x14ac:dyDescent="0.25">
      <c r="B23" s="17">
        <v>45939</v>
      </c>
      <c r="C23" s="46" t="s">
        <v>31</v>
      </c>
      <c r="D23" s="47" t="s">
        <v>32</v>
      </c>
      <c r="E23" s="47" t="s">
        <v>33</v>
      </c>
      <c r="F23" s="18">
        <v>10.356030000000001</v>
      </c>
      <c r="G23" s="18">
        <v>103.73005999999999</v>
      </c>
      <c r="H23" s="6">
        <v>6.1007306369999998</v>
      </c>
      <c r="I23" s="18">
        <v>244.31369917699999</v>
      </c>
      <c r="J23" s="18">
        <v>1.047222222</v>
      </c>
      <c r="K23" s="18">
        <v>1.5083555959999999</v>
      </c>
      <c r="L23" s="18">
        <v>0.27096203299999999</v>
      </c>
      <c r="M23" s="18">
        <v>17.9640685338764</v>
      </c>
      <c r="N23" s="18">
        <v>0</v>
      </c>
      <c r="O23" s="6">
        <v>6.1007306369999998</v>
      </c>
      <c r="P23" s="18">
        <v>244.31369917699999</v>
      </c>
      <c r="Q23" s="18">
        <v>1.047222222</v>
      </c>
      <c r="R23" s="18">
        <v>2.0839378929999999</v>
      </c>
      <c r="S23" s="18">
        <v>0.57100468699999996</v>
      </c>
      <c r="T23" s="18">
        <v>27.400273727831301</v>
      </c>
      <c r="U23" s="18">
        <v>0</v>
      </c>
      <c r="V23" s="8">
        <f t="shared" si="0"/>
        <v>0</v>
      </c>
      <c r="W23" s="15">
        <f t="shared" si="1"/>
        <v>0</v>
      </c>
      <c r="X23" s="15">
        <f t="shared" si="2"/>
        <v>0</v>
      </c>
      <c r="Y23" s="15">
        <f t="shared" si="3"/>
        <v>-0.57558229699999996</v>
      </c>
      <c r="Z23" s="15">
        <f t="shared" si="4"/>
        <v>-0.30004265399999996</v>
      </c>
      <c r="AA23" s="15">
        <f t="shared" si="5"/>
        <v>-9.4362051939549012</v>
      </c>
      <c r="AB23" s="16">
        <f t="shared" si="6"/>
        <v>0</v>
      </c>
    </row>
    <row r="24" spans="2:28" x14ac:dyDescent="0.25">
      <c r="B24" s="19">
        <v>45939</v>
      </c>
      <c r="C24" s="42" t="s">
        <v>26</v>
      </c>
      <c r="D24" s="47" t="s">
        <v>154</v>
      </c>
      <c r="E24" s="47" t="s">
        <v>155</v>
      </c>
      <c r="F24" s="20">
        <v>11.070510000000001</v>
      </c>
      <c r="G24" s="20">
        <v>112</v>
      </c>
      <c r="H24" s="6">
        <v>2.2697166989999999</v>
      </c>
      <c r="I24" s="20">
        <v>-137.376910315</v>
      </c>
      <c r="J24" s="20">
        <v>3.4992986849999999</v>
      </c>
      <c r="K24" s="20">
        <v>8.6164279389999994</v>
      </c>
      <c r="L24" s="20">
        <v>2.4013376480000002</v>
      </c>
      <c r="M24" s="20">
        <v>27.869294155307401</v>
      </c>
      <c r="N24" s="20">
        <v>13.745738705000001</v>
      </c>
      <c r="O24" s="6">
        <v>-2.5739265269999998</v>
      </c>
      <c r="P24" s="20">
        <v>-621.29635734399994</v>
      </c>
      <c r="Q24" s="20">
        <v>3.3265807540000001</v>
      </c>
      <c r="R24" s="20">
        <v>9.9779163309999994</v>
      </c>
      <c r="S24" s="20">
        <v>3.230725321</v>
      </c>
      <c r="T24" s="20">
        <v>32.378757386074497</v>
      </c>
      <c r="U24" s="20">
        <v>27.430700573999999</v>
      </c>
      <c r="V24" s="8">
        <f t="shared" si="0"/>
        <v>4.8436432259999993</v>
      </c>
      <c r="W24" s="15">
        <f t="shared" si="1"/>
        <v>483.91944702899991</v>
      </c>
      <c r="X24" s="15">
        <f t="shared" si="2"/>
        <v>0.17271793099999977</v>
      </c>
      <c r="Y24" s="15">
        <f t="shared" si="3"/>
        <v>-1.361488392</v>
      </c>
      <c r="Z24" s="15">
        <f t="shared" si="4"/>
        <v>-0.82938767299999983</v>
      </c>
      <c r="AA24" s="15">
        <f t="shared" si="5"/>
        <v>-4.5094632307670963</v>
      </c>
      <c r="AB24" s="16">
        <f t="shared" si="6"/>
        <v>-13.684961868999999</v>
      </c>
    </row>
    <row r="25" spans="2:28" x14ac:dyDescent="0.25">
      <c r="B25" s="19">
        <v>45939</v>
      </c>
      <c r="C25" s="42" t="s">
        <v>26</v>
      </c>
      <c r="D25" s="47" t="s">
        <v>152</v>
      </c>
      <c r="E25" s="47" t="s">
        <v>153</v>
      </c>
      <c r="F25" s="20">
        <v>15.720510000000001</v>
      </c>
      <c r="G25" s="20">
        <v>119</v>
      </c>
      <c r="H25" s="6">
        <v>7.1028148929999997</v>
      </c>
      <c r="I25" s="20">
        <v>348.938528324</v>
      </c>
      <c r="J25" s="20">
        <v>2.9606679919999999</v>
      </c>
      <c r="K25" s="20">
        <v>8.4378610500000004</v>
      </c>
      <c r="L25" s="20">
        <v>2.2517697970000001</v>
      </c>
      <c r="M25" s="20">
        <v>26.686500093527801</v>
      </c>
      <c r="N25" s="20">
        <v>1.880880678</v>
      </c>
      <c r="O25" s="6">
        <v>4.5526276159999997</v>
      </c>
      <c r="P25" s="20">
        <v>94.011360912000001</v>
      </c>
      <c r="Q25" s="20">
        <v>2.863508596</v>
      </c>
      <c r="R25" s="20">
        <v>9.5120598049999998</v>
      </c>
      <c r="S25" s="20">
        <v>2.9910225430000001</v>
      </c>
      <c r="T25" s="20">
        <v>31.444530462558401</v>
      </c>
      <c r="U25" s="20">
        <v>8.9058748570000006</v>
      </c>
      <c r="V25" s="8">
        <f t="shared" si="0"/>
        <v>2.550187277</v>
      </c>
      <c r="W25" s="15">
        <f t="shared" si="1"/>
        <v>254.92716741200002</v>
      </c>
      <c r="X25" s="15">
        <f t="shared" si="2"/>
        <v>9.7159395999999898E-2</v>
      </c>
      <c r="Y25" s="15">
        <f t="shared" si="3"/>
        <v>-1.0741987549999994</v>
      </c>
      <c r="Z25" s="15">
        <f t="shared" si="4"/>
        <v>-0.73925274600000002</v>
      </c>
      <c r="AA25" s="15">
        <f t="shared" si="5"/>
        <v>-4.7580303690305996</v>
      </c>
      <c r="AB25" s="16">
        <f t="shared" si="6"/>
        <v>-7.0249941790000001</v>
      </c>
    </row>
    <row r="26" spans="2:28" x14ac:dyDescent="0.25">
      <c r="B26" s="19">
        <v>45939</v>
      </c>
      <c r="C26" s="42" t="s">
        <v>26</v>
      </c>
      <c r="D26" s="47" t="s">
        <v>150</v>
      </c>
      <c r="E26" s="47" t="s">
        <v>151</v>
      </c>
      <c r="F26" s="20">
        <v>16.720510000000001</v>
      </c>
      <c r="G26" s="20">
        <v>121.68104</v>
      </c>
      <c r="H26" s="6">
        <v>7.565632795</v>
      </c>
      <c r="I26" s="20">
        <v>395.19885386800001</v>
      </c>
      <c r="J26" s="20">
        <v>2.9611111110000001</v>
      </c>
      <c r="K26" s="20">
        <v>8.1402398070000004</v>
      </c>
      <c r="L26" s="20">
        <v>2.1181410500000002</v>
      </c>
      <c r="M26" s="20">
        <v>26.020622244796201</v>
      </c>
      <c r="N26" s="20">
        <v>0.44613640799999998</v>
      </c>
      <c r="O26" s="6">
        <v>5.196266585</v>
      </c>
      <c r="P26" s="20">
        <v>158.352515506</v>
      </c>
      <c r="Q26" s="20">
        <v>2.8687627760000001</v>
      </c>
      <c r="R26" s="20">
        <v>9.0159194449999998</v>
      </c>
      <c r="S26" s="20">
        <v>2.7600249510000001</v>
      </c>
      <c r="T26" s="20">
        <v>30.612795154582301</v>
      </c>
      <c r="U26" s="20">
        <v>7.0217309319999996</v>
      </c>
      <c r="V26" s="8">
        <f t="shared" si="0"/>
        <v>2.3693662099999999</v>
      </c>
      <c r="W26" s="15">
        <f t="shared" si="1"/>
        <v>236.84633836200001</v>
      </c>
      <c r="X26" s="15">
        <f t="shared" si="2"/>
        <v>9.2348335000000059E-2</v>
      </c>
      <c r="Y26" s="15">
        <f t="shared" si="3"/>
        <v>-0.87567963799999937</v>
      </c>
      <c r="Z26" s="15">
        <f t="shared" si="4"/>
        <v>-0.64188390099999992</v>
      </c>
      <c r="AA26" s="15">
        <f t="shared" si="5"/>
        <v>-4.5921729097861004</v>
      </c>
      <c r="AB26" s="16">
        <f t="shared" si="6"/>
        <v>-6.5755945239999996</v>
      </c>
    </row>
    <row r="27" spans="2:28" x14ac:dyDescent="0.25">
      <c r="B27" s="26">
        <v>45939</v>
      </c>
      <c r="C27" s="43" t="s">
        <v>26</v>
      </c>
      <c r="D27" s="47" t="s">
        <v>148</v>
      </c>
      <c r="E27" s="47" t="s">
        <v>149</v>
      </c>
      <c r="F27" s="28">
        <v>9.4705100000000009</v>
      </c>
      <c r="G27" s="28">
        <v>109.43523999999999</v>
      </c>
      <c r="H27" s="6">
        <v>5.9194966569999998</v>
      </c>
      <c r="I27" s="28">
        <v>223.73828101000001</v>
      </c>
      <c r="J27" s="28">
        <v>4.2135279649999999</v>
      </c>
      <c r="K27" s="28">
        <v>3.4130818949999999</v>
      </c>
      <c r="L27" s="28">
        <v>0.63842326199999999</v>
      </c>
      <c r="M27" s="28">
        <v>18.705184394645201</v>
      </c>
      <c r="N27" s="28">
        <v>0.41971730800000001</v>
      </c>
      <c r="O27" s="6">
        <v>4.1713964859999999</v>
      </c>
      <c r="P27" s="28">
        <v>48.94385304</v>
      </c>
      <c r="Q27" s="28">
        <v>4.1778610760000001</v>
      </c>
      <c r="R27" s="28">
        <v>3.774540472</v>
      </c>
      <c r="S27" s="28">
        <v>0.94358314200000004</v>
      </c>
      <c r="T27" s="28">
        <v>24.998622984694801</v>
      </c>
      <c r="U27" s="28">
        <v>7.478272627</v>
      </c>
      <c r="V27" s="8">
        <f t="shared" si="0"/>
        <v>1.7481001709999999</v>
      </c>
      <c r="W27" s="28">
        <f t="shared" si="1"/>
        <v>174.79442797000002</v>
      </c>
      <c r="X27" s="28">
        <f t="shared" si="2"/>
        <v>3.5666888999999813E-2</v>
      </c>
      <c r="Y27" s="28">
        <f t="shared" si="3"/>
        <v>-0.36145857700000006</v>
      </c>
      <c r="Z27" s="28">
        <f t="shared" si="4"/>
        <v>-0.30515988000000005</v>
      </c>
      <c r="AA27" s="28">
        <f t="shared" si="5"/>
        <v>-6.2934385900496004</v>
      </c>
      <c r="AB27" s="29">
        <f t="shared" si="6"/>
        <v>-7.0585553189999999</v>
      </c>
    </row>
    <row r="28" spans="2:28" x14ac:dyDescent="0.25">
      <c r="B28" s="19">
        <v>45939</v>
      </c>
      <c r="C28" s="44" t="s">
        <v>26</v>
      </c>
      <c r="D28" s="47" t="s">
        <v>146</v>
      </c>
      <c r="E28" s="47" t="s">
        <v>147</v>
      </c>
      <c r="F28" s="20">
        <v>9.2628699999999995</v>
      </c>
      <c r="G28" s="20">
        <v>108.080865</v>
      </c>
      <c r="H28" s="6">
        <v>6.1759514150000001</v>
      </c>
      <c r="I28" s="20">
        <v>249.36671872299999</v>
      </c>
      <c r="J28" s="20">
        <v>4.2138888889999997</v>
      </c>
      <c r="K28" s="20">
        <v>2.3713868269999998</v>
      </c>
      <c r="L28" s="20">
        <v>0.31907327800000002</v>
      </c>
      <c r="M28" s="20">
        <v>13.455134116758799</v>
      </c>
      <c r="N28" s="20">
        <v>0</v>
      </c>
      <c r="O28" s="6">
        <v>6.1759514150000001</v>
      </c>
      <c r="P28" s="20">
        <v>249.36671872299999</v>
      </c>
      <c r="Q28" s="20">
        <v>4.2138888889999997</v>
      </c>
      <c r="R28" s="20">
        <v>2.453518651</v>
      </c>
      <c r="S28" s="20">
        <v>0.56939017000000003</v>
      </c>
      <c r="T28" s="20">
        <v>23.207085455328802</v>
      </c>
      <c r="U28" s="20">
        <v>0</v>
      </c>
      <c r="V28" s="8">
        <f t="shared" si="0"/>
        <v>0</v>
      </c>
      <c r="W28" s="15">
        <f t="shared" si="1"/>
        <v>0</v>
      </c>
      <c r="X28" s="15">
        <f t="shared" si="2"/>
        <v>0</v>
      </c>
      <c r="Y28" s="15">
        <f t="shared" si="3"/>
        <v>-8.2131824000000186E-2</v>
      </c>
      <c r="Z28" s="15">
        <f t="shared" si="4"/>
        <v>-0.25031689200000001</v>
      </c>
      <c r="AA28" s="15">
        <f t="shared" si="5"/>
        <v>-9.7519513385700023</v>
      </c>
      <c r="AB28" s="16">
        <f t="shared" si="6"/>
        <v>0</v>
      </c>
    </row>
    <row r="29" spans="2:28" x14ac:dyDescent="0.25">
      <c r="B29" s="19">
        <v>45939</v>
      </c>
      <c r="C29" s="44" t="s">
        <v>26</v>
      </c>
      <c r="D29" s="47" t="s">
        <v>144</v>
      </c>
      <c r="E29" s="47" t="s">
        <v>145</v>
      </c>
      <c r="F29" s="20">
        <v>12.820510000000001</v>
      </c>
      <c r="G29" s="20">
        <v>119.43558</v>
      </c>
      <c r="H29" s="6">
        <v>5.9727422199999998</v>
      </c>
      <c r="I29" s="20">
        <v>232.50810020200001</v>
      </c>
      <c r="J29" s="20">
        <v>3.627777778</v>
      </c>
      <c r="K29" s="20">
        <v>3.1075091609999999</v>
      </c>
      <c r="L29" s="20">
        <v>0.49748768900000001</v>
      </c>
      <c r="M29" s="20">
        <v>16.009210696579501</v>
      </c>
      <c r="N29" s="20">
        <v>0</v>
      </c>
      <c r="O29" s="6">
        <v>5.9727422199999998</v>
      </c>
      <c r="P29" s="20">
        <v>232.50810020200001</v>
      </c>
      <c r="Q29" s="20">
        <v>3.627777778</v>
      </c>
      <c r="R29" s="20">
        <v>3.3332056290000001</v>
      </c>
      <c r="S29" s="20">
        <v>0.85790077099999995</v>
      </c>
      <c r="T29" s="20">
        <v>25.738009186591299</v>
      </c>
      <c r="U29" s="20">
        <v>0</v>
      </c>
      <c r="V29" s="8">
        <f t="shared" si="0"/>
        <v>0</v>
      </c>
      <c r="W29" s="15">
        <f t="shared" si="1"/>
        <v>0</v>
      </c>
      <c r="X29" s="15">
        <f t="shared" si="2"/>
        <v>0</v>
      </c>
      <c r="Y29" s="15">
        <f t="shared" si="3"/>
        <v>-0.22569646800000021</v>
      </c>
      <c r="Z29" s="15">
        <f t="shared" si="4"/>
        <v>-0.36041308199999994</v>
      </c>
      <c r="AA29" s="15">
        <f t="shared" si="5"/>
        <v>-9.7287984900117976</v>
      </c>
      <c r="AB29" s="16">
        <f t="shared" si="6"/>
        <v>0</v>
      </c>
    </row>
    <row r="30" spans="2:28" x14ac:dyDescent="0.25">
      <c r="B30" s="19">
        <v>45939</v>
      </c>
      <c r="C30" s="44" t="s">
        <v>26</v>
      </c>
      <c r="D30" s="47" t="s">
        <v>142</v>
      </c>
      <c r="E30" s="47" t="s">
        <v>143</v>
      </c>
      <c r="F30" s="20">
        <v>12.620509999999999</v>
      </c>
      <c r="G30" s="20">
        <v>112.54398999999999</v>
      </c>
      <c r="H30" s="6">
        <v>7.0634481109999996</v>
      </c>
      <c r="I30" s="20">
        <v>345.083501356</v>
      </c>
      <c r="J30" s="20">
        <v>2.9611111110000001</v>
      </c>
      <c r="K30" s="20">
        <v>5.3304549300000001</v>
      </c>
      <c r="L30" s="20">
        <v>1.319608465</v>
      </c>
      <c r="M30" s="20">
        <v>24.756019557978</v>
      </c>
      <c r="N30" s="20">
        <v>0</v>
      </c>
      <c r="O30" s="6">
        <v>6.9472675319999997</v>
      </c>
      <c r="P30" s="20">
        <v>333.57234425399997</v>
      </c>
      <c r="Q30" s="20">
        <v>2.877777778</v>
      </c>
      <c r="R30" s="20">
        <v>5.9010732429999999</v>
      </c>
      <c r="S30" s="20">
        <v>2.0242300800000002</v>
      </c>
      <c r="T30" s="20">
        <v>34.302744545684</v>
      </c>
      <c r="U30" s="20">
        <v>0</v>
      </c>
      <c r="V30" s="8">
        <f t="shared" si="0"/>
        <v>0.1161805789999999</v>
      </c>
      <c r="W30" s="15">
        <f t="shared" si="1"/>
        <v>11.511157102000027</v>
      </c>
      <c r="X30" s="15">
        <f t="shared" si="2"/>
        <v>8.333333300000012E-2</v>
      </c>
      <c r="Y30" s="15">
        <f t="shared" si="3"/>
        <v>-0.57061831299999977</v>
      </c>
      <c r="Z30" s="15">
        <f t="shared" si="4"/>
        <v>-0.7046216150000002</v>
      </c>
      <c r="AA30" s="15">
        <f t="shared" si="5"/>
        <v>-9.5467249877059999</v>
      </c>
      <c r="AB30" s="16">
        <f t="shared" si="6"/>
        <v>0</v>
      </c>
    </row>
    <row r="31" spans="2:28" x14ac:dyDescent="0.25">
      <c r="B31" s="19">
        <v>45939</v>
      </c>
      <c r="C31" s="44" t="s">
        <v>26</v>
      </c>
      <c r="D31" s="47" t="s">
        <v>140</v>
      </c>
      <c r="E31" s="47" t="s">
        <v>141</v>
      </c>
      <c r="F31" s="20">
        <v>15.470510000000001</v>
      </c>
      <c r="G31" s="20">
        <v>125.00109500000001</v>
      </c>
      <c r="H31" s="6">
        <v>5.6051646740000001</v>
      </c>
      <c r="I31" s="20">
        <v>198.83126533000001</v>
      </c>
      <c r="J31" s="20">
        <v>3.0444444439999998</v>
      </c>
      <c r="K31" s="20">
        <v>5.9816627840000001</v>
      </c>
      <c r="L31" s="20">
        <v>1.398394283</v>
      </c>
      <c r="M31" s="20">
        <v>23.3780193484073</v>
      </c>
      <c r="N31" s="20">
        <v>0.18384170799999999</v>
      </c>
      <c r="O31" s="6">
        <v>3.3040290290000001</v>
      </c>
      <c r="P31" s="20">
        <v>-31.286116101000001</v>
      </c>
      <c r="Q31" s="20">
        <v>3.029826211</v>
      </c>
      <c r="R31" s="20">
        <v>6.5657045939999996</v>
      </c>
      <c r="S31" s="20">
        <v>1.858151686</v>
      </c>
      <c r="T31" s="20">
        <v>28.300872501910199</v>
      </c>
      <c r="U31" s="20">
        <v>7.7497311639999999</v>
      </c>
      <c r="V31" s="8">
        <f t="shared" si="0"/>
        <v>2.301135645</v>
      </c>
      <c r="W31" s="15">
        <f t="shared" si="1"/>
        <v>230.11738143100001</v>
      </c>
      <c r="X31" s="15">
        <f t="shared" si="2"/>
        <v>1.4618232999999758E-2</v>
      </c>
      <c r="Y31" s="15">
        <f t="shared" si="3"/>
        <v>-0.58404180999999955</v>
      </c>
      <c r="Z31" s="15">
        <f t="shared" si="4"/>
        <v>-0.45975740300000001</v>
      </c>
      <c r="AA31" s="15">
        <f t="shared" si="5"/>
        <v>-4.9228531535028992</v>
      </c>
      <c r="AB31" s="16">
        <f t="shared" si="6"/>
        <v>-7.5658894559999998</v>
      </c>
    </row>
    <row r="32" spans="2:28" x14ac:dyDescent="0.25">
      <c r="B32" s="17">
        <v>45939</v>
      </c>
      <c r="C32" s="46" t="s">
        <v>26</v>
      </c>
      <c r="D32" s="47" t="s">
        <v>29</v>
      </c>
      <c r="E32" s="47" t="s">
        <v>30</v>
      </c>
      <c r="F32" s="18">
        <v>11.070510000000001</v>
      </c>
      <c r="G32" s="18">
        <v>105.971155</v>
      </c>
      <c r="H32" s="6">
        <v>5.8726454529999996</v>
      </c>
      <c r="I32" s="18">
        <v>223.59351580200001</v>
      </c>
      <c r="J32" s="18">
        <v>1.377777778</v>
      </c>
      <c r="K32" s="18">
        <v>2.8097661070000002</v>
      </c>
      <c r="L32" s="18">
        <v>0.22331669300000001</v>
      </c>
      <c r="M32" s="18">
        <v>7.9478748228775604</v>
      </c>
      <c r="N32" s="18">
        <v>0</v>
      </c>
      <c r="O32" s="6">
        <v>5.8726454529999996</v>
      </c>
      <c r="P32" s="18">
        <v>223.59351580200001</v>
      </c>
      <c r="Q32" s="18">
        <v>1.377777778</v>
      </c>
      <c r="R32" s="18">
        <v>2.5239445379999998</v>
      </c>
      <c r="S32" s="18">
        <v>0.42727916199999999</v>
      </c>
      <c r="T32" s="18">
        <v>16.929023422146201</v>
      </c>
      <c r="U32" s="18">
        <v>0</v>
      </c>
      <c r="V32" s="8">
        <f t="shared" si="0"/>
        <v>0</v>
      </c>
      <c r="W32" s="15">
        <f t="shared" si="1"/>
        <v>0</v>
      </c>
      <c r="X32" s="15">
        <f t="shared" si="2"/>
        <v>0</v>
      </c>
      <c r="Y32" s="15">
        <f t="shared" si="3"/>
        <v>0.28582156900000033</v>
      </c>
      <c r="Z32" s="15">
        <f t="shared" si="4"/>
        <v>-0.20396246899999998</v>
      </c>
      <c r="AA32" s="15">
        <f t="shared" si="5"/>
        <v>-8.9811485992686411</v>
      </c>
      <c r="AB32" s="16">
        <f t="shared" si="6"/>
        <v>0</v>
      </c>
    </row>
    <row r="33" spans="2:28" x14ac:dyDescent="0.25">
      <c r="B33" s="13">
        <v>45939</v>
      </c>
      <c r="C33" s="10" t="s">
        <v>26</v>
      </c>
      <c r="D33" s="47" t="s">
        <v>27</v>
      </c>
      <c r="E33" s="47" t="s">
        <v>28</v>
      </c>
      <c r="F33" s="15">
        <v>16.220510000000001</v>
      </c>
      <c r="G33" s="15">
        <v>103.8</v>
      </c>
      <c r="H33" s="6">
        <v>5.5495377550000002</v>
      </c>
      <c r="I33" s="15">
        <v>165.58930415099999</v>
      </c>
      <c r="J33" s="15">
        <v>0.377691051</v>
      </c>
      <c r="K33" s="15">
        <v>3.0221910919999999</v>
      </c>
      <c r="L33" s="15">
        <v>0.24105080800000001</v>
      </c>
      <c r="M33" s="15">
        <v>7.9760280095485099</v>
      </c>
      <c r="N33" s="15">
        <v>5.2327220000000001E-2</v>
      </c>
      <c r="O33" s="6">
        <v>5.5281885449999999</v>
      </c>
      <c r="P33" s="15">
        <v>163.45437702500001</v>
      </c>
      <c r="Q33" s="15">
        <v>0.377687253</v>
      </c>
      <c r="R33" s="15">
        <v>2.2864117799999999</v>
      </c>
      <c r="S33" s="15">
        <v>0.40454880199999999</v>
      </c>
      <c r="T33" s="15">
        <v>17.693610815808501</v>
      </c>
      <c r="U33" s="15">
        <v>6.0590074000000001E-2</v>
      </c>
      <c r="V33" s="8">
        <f t="shared" si="0"/>
        <v>2.134921000000034E-2</v>
      </c>
      <c r="W33" s="15">
        <f t="shared" si="1"/>
        <v>2.1349271259999796</v>
      </c>
      <c r="X33" s="15">
        <f t="shared" si="2"/>
        <v>3.7979999999993019E-6</v>
      </c>
      <c r="Y33" s="15">
        <f t="shared" si="3"/>
        <v>0.73577931200000002</v>
      </c>
      <c r="Z33" s="15">
        <f t="shared" si="4"/>
        <v>-0.16349799399999998</v>
      </c>
      <c r="AA33" s="15">
        <f t="shared" si="5"/>
        <v>-9.7175828062599905</v>
      </c>
      <c r="AB33" s="16">
        <f t="shared" si="6"/>
        <v>-8.262854E-3</v>
      </c>
    </row>
    <row r="34" spans="2:28" x14ac:dyDescent="0.25">
      <c r="B34" s="19">
        <v>45939</v>
      </c>
      <c r="C34" s="42" t="s">
        <v>19</v>
      </c>
      <c r="D34" s="48" t="s">
        <v>62</v>
      </c>
      <c r="E34" s="48" t="s">
        <v>63</v>
      </c>
      <c r="F34" s="20">
        <v>7.8192300000000001</v>
      </c>
      <c r="G34" s="20">
        <v>100.31525000000001</v>
      </c>
      <c r="H34" s="6">
        <v>6.0469882999999998</v>
      </c>
      <c r="I34" s="20">
        <v>218.767188551</v>
      </c>
      <c r="J34" s="20">
        <v>0.46111111100000002</v>
      </c>
      <c r="K34" s="20">
        <v>19.543689903000001</v>
      </c>
      <c r="L34" s="20">
        <v>14.126004264000001</v>
      </c>
      <c r="M34" s="20">
        <v>72.279105604472505</v>
      </c>
      <c r="N34" s="20">
        <v>0</v>
      </c>
      <c r="O34" s="6">
        <v>6.0469882999999998</v>
      </c>
      <c r="P34" s="20">
        <v>218.767188551</v>
      </c>
      <c r="Q34" s="20">
        <v>0.46111111100000002</v>
      </c>
      <c r="R34" s="20">
        <v>19.550940761</v>
      </c>
      <c r="S34" s="20">
        <v>14.129544513999999</v>
      </c>
      <c r="T34" s="20">
        <v>72.270407274648704</v>
      </c>
      <c r="U34" s="20">
        <v>0</v>
      </c>
      <c r="V34" s="8">
        <f t="shared" si="0"/>
        <v>0</v>
      </c>
      <c r="W34" s="15">
        <f t="shared" si="1"/>
        <v>0</v>
      </c>
      <c r="X34" s="15">
        <f t="shared" si="2"/>
        <v>0</v>
      </c>
      <c r="Y34" s="15">
        <f t="shared" si="3"/>
        <v>-7.2508579999990275E-3</v>
      </c>
      <c r="Z34" s="15">
        <f t="shared" si="4"/>
        <v>-3.5402499999985793E-3</v>
      </c>
      <c r="AA34" s="15">
        <f t="shared" si="5"/>
        <v>8.698329823801032E-3</v>
      </c>
      <c r="AB34" s="16">
        <f t="shared" si="6"/>
        <v>0</v>
      </c>
    </row>
    <row r="35" spans="2:28" x14ac:dyDescent="0.25">
      <c r="B35" s="19">
        <v>45939</v>
      </c>
      <c r="C35" s="42" t="s">
        <v>19</v>
      </c>
      <c r="D35" s="48" t="s">
        <v>60</v>
      </c>
      <c r="E35" s="48" t="s">
        <v>61</v>
      </c>
      <c r="F35" s="20">
        <v>4.0563849999999997</v>
      </c>
      <c r="G35" s="20">
        <v>76.126400000000004</v>
      </c>
      <c r="H35" s="6">
        <v>3.871195508</v>
      </c>
      <c r="I35" s="20">
        <v>-33.681993650000003</v>
      </c>
      <c r="J35" s="20">
        <v>10.897727588</v>
      </c>
      <c r="K35" s="20">
        <v>13.423803789000001</v>
      </c>
      <c r="L35" s="20">
        <v>6.4922132010000002</v>
      </c>
      <c r="M35" s="20">
        <v>48.3634393279793</v>
      </c>
      <c r="N35" s="20">
        <v>33.295692623000001</v>
      </c>
      <c r="O35" s="6">
        <v>3.871195508</v>
      </c>
      <c r="P35" s="20">
        <v>-33.681993650000003</v>
      </c>
      <c r="Q35" s="20">
        <v>10.897727588</v>
      </c>
      <c r="R35" s="20">
        <v>13.423803789000001</v>
      </c>
      <c r="S35" s="20">
        <v>6.4922132010000002</v>
      </c>
      <c r="T35" s="20">
        <v>48.3634393279793</v>
      </c>
      <c r="U35" s="20">
        <v>33.295692623000001</v>
      </c>
      <c r="V35" s="8">
        <f t="shared" si="0"/>
        <v>0</v>
      </c>
      <c r="W35" s="15">
        <f t="shared" si="1"/>
        <v>0</v>
      </c>
      <c r="X35" s="15">
        <f t="shared" si="2"/>
        <v>0</v>
      </c>
      <c r="Y35" s="15">
        <f t="shared" si="3"/>
        <v>0</v>
      </c>
      <c r="Z35" s="15">
        <f t="shared" si="4"/>
        <v>0</v>
      </c>
      <c r="AA35" s="15">
        <f t="shared" si="5"/>
        <v>0</v>
      </c>
      <c r="AB35" s="16">
        <f t="shared" si="6"/>
        <v>0</v>
      </c>
    </row>
    <row r="36" spans="2:28" x14ac:dyDescent="0.25">
      <c r="B36" s="19">
        <v>45939</v>
      </c>
      <c r="C36" s="42" t="s">
        <v>19</v>
      </c>
      <c r="D36" s="48" t="s">
        <v>58</v>
      </c>
      <c r="E36" s="48" t="s">
        <v>59</v>
      </c>
      <c r="F36" s="20">
        <v>3.9756200000000002</v>
      </c>
      <c r="G36" s="20">
        <v>75.860354999999998</v>
      </c>
      <c r="H36" s="6">
        <v>6.8074458770000001</v>
      </c>
      <c r="I36" s="20">
        <v>258.43936474999998</v>
      </c>
      <c r="J36" s="20">
        <v>12.877777778</v>
      </c>
      <c r="K36" s="20">
        <v>11.267715464</v>
      </c>
      <c r="L36" s="20">
        <v>5.6277803259999999</v>
      </c>
      <c r="M36" s="20">
        <v>49.946063547491804</v>
      </c>
      <c r="N36" s="20">
        <v>0</v>
      </c>
      <c r="O36" s="6">
        <v>6.8074436020000002</v>
      </c>
      <c r="P36" s="20">
        <v>258.4391329</v>
      </c>
      <c r="Q36" s="20">
        <v>12.877777778</v>
      </c>
      <c r="R36" s="20">
        <v>11.267889403</v>
      </c>
      <c r="S36" s="20">
        <v>5.6277633800000002</v>
      </c>
      <c r="T36" s="20">
        <v>49.945142153255802</v>
      </c>
      <c r="U36" s="20">
        <v>0</v>
      </c>
      <c r="V36" s="8">
        <f t="shared" ref="V36:V67" si="7">H36-O36</f>
        <v>2.274999999940519E-6</v>
      </c>
      <c r="W36" s="15">
        <f t="shared" ref="W36:W67" si="8">I36-P36</f>
        <v>2.3184999997738487E-4</v>
      </c>
      <c r="X36" s="15">
        <f t="shared" ref="X36:X67" si="9">J36-Q36</f>
        <v>0</v>
      </c>
      <c r="Y36" s="15">
        <f t="shared" ref="Y36:Y67" si="10">K36-R36</f>
        <v>-1.7393899999973428E-4</v>
      </c>
      <c r="Z36" s="15">
        <f t="shared" ref="Z36:Z67" si="11">L36-S36</f>
        <v>1.6945999999684602E-5</v>
      </c>
      <c r="AA36" s="15">
        <f t="shared" ref="AA36:AA67" si="12">M36-T36</f>
        <v>9.2139423600201553E-4</v>
      </c>
      <c r="AB36" s="16">
        <f t="shared" ref="AB36:AB67" si="13">N36-U36</f>
        <v>0</v>
      </c>
    </row>
    <row r="37" spans="2:28" x14ac:dyDescent="0.25">
      <c r="B37" s="19">
        <v>45939</v>
      </c>
      <c r="C37" s="44" t="s">
        <v>19</v>
      </c>
      <c r="D37" s="48" t="s">
        <v>56</v>
      </c>
      <c r="E37" s="48" t="s">
        <v>57</v>
      </c>
      <c r="F37" s="20">
        <v>3.9591859999999999</v>
      </c>
      <c r="G37" s="20">
        <v>70.939409999999995</v>
      </c>
      <c r="H37" s="6">
        <v>0.59040852200000005</v>
      </c>
      <c r="I37" s="20">
        <v>-372.04863858499999</v>
      </c>
      <c r="J37" s="20">
        <v>9.6400955310000001</v>
      </c>
      <c r="K37" s="20">
        <v>12.832983876</v>
      </c>
      <c r="L37" s="20">
        <v>6.2127015249999999</v>
      </c>
      <c r="M37" s="20">
        <v>48.411979513345102</v>
      </c>
      <c r="N37" s="20">
        <v>62.172208339000001</v>
      </c>
      <c r="O37" s="6">
        <v>0.59040852200000005</v>
      </c>
      <c r="P37" s="20">
        <v>-372.04863858499999</v>
      </c>
      <c r="Q37" s="20">
        <v>9.6400955310000001</v>
      </c>
      <c r="R37" s="20">
        <v>12.832983876</v>
      </c>
      <c r="S37" s="20">
        <v>6.2127015249999999</v>
      </c>
      <c r="T37" s="20">
        <v>48.411979513345102</v>
      </c>
      <c r="U37" s="20">
        <v>62.172208339000001</v>
      </c>
      <c r="V37" s="8">
        <f t="shared" si="7"/>
        <v>0</v>
      </c>
      <c r="W37" s="15">
        <f t="shared" si="8"/>
        <v>0</v>
      </c>
      <c r="X37" s="15">
        <f t="shared" si="9"/>
        <v>0</v>
      </c>
      <c r="Y37" s="15">
        <f t="shared" si="10"/>
        <v>0</v>
      </c>
      <c r="Z37" s="15">
        <f t="shared" si="11"/>
        <v>0</v>
      </c>
      <c r="AA37" s="15">
        <f t="shared" si="12"/>
        <v>0</v>
      </c>
      <c r="AB37" s="16">
        <f t="shared" si="13"/>
        <v>0</v>
      </c>
    </row>
    <row r="38" spans="2:28" x14ac:dyDescent="0.25">
      <c r="B38" s="19">
        <v>45939</v>
      </c>
      <c r="C38" s="44" t="s">
        <v>19</v>
      </c>
      <c r="D38" s="48" t="s">
        <v>54</v>
      </c>
      <c r="E38" s="48" t="s">
        <v>55</v>
      </c>
      <c r="F38" s="20">
        <v>7.3087030000000004</v>
      </c>
      <c r="G38" s="20">
        <v>100.65476</v>
      </c>
      <c r="H38" s="6">
        <v>7.0040878659999999</v>
      </c>
      <c r="I38" s="20">
        <v>336.76442021100002</v>
      </c>
      <c r="J38" s="20">
        <v>3.4611111110000001</v>
      </c>
      <c r="K38" s="20">
        <v>15.689239687000001</v>
      </c>
      <c r="L38" s="20">
        <v>10.338445218</v>
      </c>
      <c r="M38" s="20">
        <v>65.895132104880602</v>
      </c>
      <c r="N38" s="20">
        <v>0</v>
      </c>
      <c r="O38" s="6">
        <v>7.0041647649999996</v>
      </c>
      <c r="P38" s="20">
        <v>336.77211439199999</v>
      </c>
      <c r="Q38" s="20">
        <v>3.4611111110000001</v>
      </c>
      <c r="R38" s="20">
        <v>15.728699829</v>
      </c>
      <c r="S38" s="20">
        <v>10.351684092999999</v>
      </c>
      <c r="T38" s="20">
        <v>65.813984662063106</v>
      </c>
      <c r="U38" s="20">
        <v>0</v>
      </c>
      <c r="V38" s="8">
        <f t="shared" si="7"/>
        <v>-7.6898999999741591E-5</v>
      </c>
      <c r="W38" s="15">
        <f t="shared" si="8"/>
        <v>-7.6941809999766519E-3</v>
      </c>
      <c r="X38" s="15">
        <f t="shared" si="9"/>
        <v>0</v>
      </c>
      <c r="Y38" s="15">
        <f t="shared" si="10"/>
        <v>-3.9460141999999365E-2</v>
      </c>
      <c r="Z38" s="15">
        <f t="shared" si="11"/>
        <v>-1.3238874999998984E-2</v>
      </c>
      <c r="AA38" s="15">
        <f t="shared" si="12"/>
        <v>8.1147442817496085E-2</v>
      </c>
      <c r="AB38" s="16">
        <f t="shared" si="13"/>
        <v>0</v>
      </c>
    </row>
    <row r="39" spans="2:28" x14ac:dyDescent="0.25">
      <c r="B39" s="22">
        <v>45939</v>
      </c>
      <c r="C39" s="10" t="s">
        <v>19</v>
      </c>
      <c r="D39" s="48" t="s">
        <v>52</v>
      </c>
      <c r="E39" s="48" t="s">
        <v>53</v>
      </c>
      <c r="F39" s="24">
        <v>7.2969999999999997</v>
      </c>
      <c r="G39" s="24">
        <v>101.84008</v>
      </c>
      <c r="H39" s="6">
        <v>6.49625655</v>
      </c>
      <c r="I39" s="24">
        <v>288.66003019200002</v>
      </c>
      <c r="J39" s="24">
        <v>2.877777778</v>
      </c>
      <c r="K39" s="24">
        <v>15.133149668</v>
      </c>
      <c r="L39" s="24">
        <v>9.4936674419999996</v>
      </c>
      <c r="M39" s="24">
        <v>62.734246672224202</v>
      </c>
      <c r="N39" s="24">
        <v>0</v>
      </c>
      <c r="O39" s="6">
        <v>6.49625655</v>
      </c>
      <c r="P39" s="24">
        <v>288.66003019200002</v>
      </c>
      <c r="Q39" s="24">
        <v>2.877777778</v>
      </c>
      <c r="R39" s="24">
        <v>15.137075442</v>
      </c>
      <c r="S39" s="24">
        <v>9.4949590700000002</v>
      </c>
      <c r="T39" s="24">
        <v>62.7265095320518</v>
      </c>
      <c r="U39" s="24">
        <v>0</v>
      </c>
      <c r="V39" s="8">
        <f t="shared" si="7"/>
        <v>0</v>
      </c>
      <c r="W39" s="24">
        <f t="shared" si="8"/>
        <v>0</v>
      </c>
      <c r="X39" s="24">
        <f t="shared" si="9"/>
        <v>0</v>
      </c>
      <c r="Y39" s="24">
        <f t="shared" si="10"/>
        <v>-3.9257740000007146E-3</v>
      </c>
      <c r="Z39" s="24">
        <f t="shared" si="11"/>
        <v>-1.2916280000005997E-3</v>
      </c>
      <c r="AA39" s="24">
        <f t="shared" si="12"/>
        <v>7.7371401724022348E-3</v>
      </c>
      <c r="AB39" s="25">
        <f t="shared" si="13"/>
        <v>0</v>
      </c>
    </row>
    <row r="40" spans="2:28" x14ac:dyDescent="0.25">
      <c r="B40" s="19">
        <v>45939</v>
      </c>
      <c r="C40" s="46" t="s">
        <v>19</v>
      </c>
      <c r="D40" s="48" t="s">
        <v>50</v>
      </c>
      <c r="E40" s="48" t="s">
        <v>51</v>
      </c>
      <c r="F40" s="20">
        <v>4.2030570000000003</v>
      </c>
      <c r="G40" s="20">
        <v>81.324290000000005</v>
      </c>
      <c r="H40" s="6">
        <v>6.7998110040000004</v>
      </c>
      <c r="I40" s="20">
        <v>266.73712644199998</v>
      </c>
      <c r="J40" s="20">
        <v>10.961111110999999</v>
      </c>
      <c r="K40" s="20">
        <v>14.903435068</v>
      </c>
      <c r="L40" s="20">
        <v>7.8902137999999997</v>
      </c>
      <c r="M40" s="20">
        <v>52.942249649153197</v>
      </c>
      <c r="N40" s="20">
        <v>0</v>
      </c>
      <c r="O40" s="6">
        <v>6.7998588289999997</v>
      </c>
      <c r="P40" s="20">
        <v>266.74198042099999</v>
      </c>
      <c r="Q40" s="20">
        <v>10.961111110999999</v>
      </c>
      <c r="R40" s="20">
        <v>14.906216006999999</v>
      </c>
      <c r="S40" s="20">
        <v>7.8910604190000004</v>
      </c>
      <c r="T40" s="20">
        <v>52.9380522548066</v>
      </c>
      <c r="U40" s="20">
        <v>0</v>
      </c>
      <c r="V40" s="8">
        <f t="shared" si="7"/>
        <v>-4.7824999999335205E-5</v>
      </c>
      <c r="W40" s="15">
        <f t="shared" si="8"/>
        <v>-4.8539790000177163E-3</v>
      </c>
      <c r="X40" s="15">
        <f t="shared" si="9"/>
        <v>0</v>
      </c>
      <c r="Y40" s="15">
        <f t="shared" si="10"/>
        <v>-2.7809389999990941E-3</v>
      </c>
      <c r="Z40" s="15">
        <f t="shared" si="11"/>
        <v>-8.4661900000071455E-4</v>
      </c>
      <c r="AA40" s="15">
        <f t="shared" si="12"/>
        <v>4.1973943465976049E-3</v>
      </c>
      <c r="AB40" s="16">
        <f t="shared" si="13"/>
        <v>0</v>
      </c>
    </row>
    <row r="41" spans="2:28" x14ac:dyDescent="0.25">
      <c r="B41" s="19">
        <v>45939</v>
      </c>
      <c r="C41" s="46" t="s">
        <v>19</v>
      </c>
      <c r="D41" s="48" t="s">
        <v>48</v>
      </c>
      <c r="E41" s="48" t="s">
        <v>49</v>
      </c>
      <c r="F41" s="20">
        <v>4.5942749999999997</v>
      </c>
      <c r="G41" s="20">
        <v>79.637855000000002</v>
      </c>
      <c r="H41" s="6">
        <v>7.3376053409999997</v>
      </c>
      <c r="I41" s="20">
        <v>320.23785742299998</v>
      </c>
      <c r="J41" s="20">
        <v>11.127777778</v>
      </c>
      <c r="K41" s="20">
        <v>15.577514079</v>
      </c>
      <c r="L41" s="20">
        <v>7.003777661</v>
      </c>
      <c r="M41" s="20">
        <v>44.960817403091099</v>
      </c>
      <c r="N41" s="20">
        <v>0</v>
      </c>
      <c r="O41" s="6">
        <v>7.3375531980000002</v>
      </c>
      <c r="P41" s="20">
        <v>320.23255974199998</v>
      </c>
      <c r="Q41" s="20">
        <v>11.127777778</v>
      </c>
      <c r="R41" s="20">
        <v>15.577229748000001</v>
      </c>
      <c r="S41" s="20">
        <v>7.0016363139999998</v>
      </c>
      <c r="T41" s="20">
        <v>44.947891424012397</v>
      </c>
      <c r="U41" s="20">
        <v>0</v>
      </c>
      <c r="V41" s="8">
        <f t="shared" si="7"/>
        <v>5.2142999999560402E-5</v>
      </c>
      <c r="W41" s="15">
        <f t="shared" si="8"/>
        <v>5.2976810000018304E-3</v>
      </c>
      <c r="X41" s="15">
        <f t="shared" si="9"/>
        <v>0</v>
      </c>
      <c r="Y41" s="15">
        <f t="shared" si="10"/>
        <v>2.8433099999958245E-4</v>
      </c>
      <c r="Z41" s="15">
        <f t="shared" si="11"/>
        <v>2.1413470000002377E-3</v>
      </c>
      <c r="AA41" s="15">
        <f t="shared" si="12"/>
        <v>1.2925979078701744E-2</v>
      </c>
      <c r="AB41" s="16">
        <f t="shared" si="13"/>
        <v>0</v>
      </c>
    </row>
    <row r="42" spans="2:28" x14ac:dyDescent="0.25">
      <c r="B42" s="19">
        <v>45939</v>
      </c>
      <c r="C42" s="46" t="s">
        <v>19</v>
      </c>
      <c r="D42" s="48" t="s">
        <v>24</v>
      </c>
      <c r="E42" s="48" t="s">
        <v>25</v>
      </c>
      <c r="F42" s="20">
        <v>4.5544250000000002</v>
      </c>
      <c r="G42" s="20">
        <v>85.298675000000003</v>
      </c>
      <c r="H42" s="6">
        <v>7.3053326219999999</v>
      </c>
      <c r="I42" s="20">
        <v>337.61329557699997</v>
      </c>
      <c r="J42" s="20">
        <v>7.5444444439999998</v>
      </c>
      <c r="K42" s="20">
        <v>13.974467074</v>
      </c>
      <c r="L42" s="20">
        <v>6.3986656039999996</v>
      </c>
      <c r="M42" s="20">
        <v>45.788262050471701</v>
      </c>
      <c r="N42" s="20">
        <v>0</v>
      </c>
      <c r="O42" s="6">
        <v>7.3053326219999999</v>
      </c>
      <c r="P42" s="20">
        <v>337.61329557699997</v>
      </c>
      <c r="Q42" s="20">
        <v>7.5444444439999998</v>
      </c>
      <c r="R42" s="20">
        <v>13.974467074</v>
      </c>
      <c r="S42" s="20">
        <v>6.3986656039999996</v>
      </c>
      <c r="T42" s="20">
        <v>45.788262050471701</v>
      </c>
      <c r="U42" s="20">
        <v>0</v>
      </c>
      <c r="V42" s="8">
        <f t="shared" si="7"/>
        <v>0</v>
      </c>
      <c r="W42" s="15">
        <f t="shared" si="8"/>
        <v>0</v>
      </c>
      <c r="X42" s="15">
        <f t="shared" si="9"/>
        <v>0</v>
      </c>
      <c r="Y42" s="15">
        <f t="shared" si="10"/>
        <v>0</v>
      </c>
      <c r="Z42" s="15">
        <f t="shared" si="11"/>
        <v>0</v>
      </c>
      <c r="AA42" s="15">
        <f t="shared" si="12"/>
        <v>0</v>
      </c>
      <c r="AB42" s="16">
        <f t="shared" si="13"/>
        <v>0</v>
      </c>
    </row>
    <row r="43" spans="2:28" x14ac:dyDescent="0.25">
      <c r="B43" s="13">
        <v>45939</v>
      </c>
      <c r="C43" s="10" t="s">
        <v>19</v>
      </c>
      <c r="D43" s="48" t="s">
        <v>22</v>
      </c>
      <c r="E43" s="48" t="s">
        <v>23</v>
      </c>
      <c r="F43" s="15">
        <v>3.1720000000000002</v>
      </c>
      <c r="G43" s="15">
        <v>88.931809999999999</v>
      </c>
      <c r="H43" s="6">
        <v>8.7352894649999993</v>
      </c>
      <c r="I43" s="15">
        <v>513.51758842900006</v>
      </c>
      <c r="J43" s="15">
        <v>2.2111111110000001</v>
      </c>
      <c r="K43" s="15">
        <v>4.4307584430000002</v>
      </c>
      <c r="L43" s="15">
        <v>2.140467085</v>
      </c>
      <c r="M43" s="15">
        <v>48.309270580562803</v>
      </c>
      <c r="N43" s="15">
        <v>0</v>
      </c>
      <c r="O43" s="6">
        <v>8.7352894649999993</v>
      </c>
      <c r="P43" s="15">
        <v>513.51758842900006</v>
      </c>
      <c r="Q43" s="15">
        <v>2.2111111110000001</v>
      </c>
      <c r="R43" s="15">
        <v>4.4307584430000002</v>
      </c>
      <c r="S43" s="15">
        <v>2.140467085</v>
      </c>
      <c r="T43" s="15">
        <v>48.309270580562803</v>
      </c>
      <c r="U43" s="15">
        <v>0</v>
      </c>
      <c r="V43" s="8">
        <f t="shared" si="7"/>
        <v>0</v>
      </c>
      <c r="W43" s="15">
        <f t="shared" si="8"/>
        <v>0</v>
      </c>
      <c r="X43" s="15">
        <f t="shared" si="9"/>
        <v>0</v>
      </c>
      <c r="Y43" s="15">
        <f t="shared" si="10"/>
        <v>0</v>
      </c>
      <c r="Z43" s="15">
        <f t="shared" si="11"/>
        <v>0</v>
      </c>
      <c r="AA43" s="15">
        <f t="shared" si="12"/>
        <v>0</v>
      </c>
      <c r="AB43" s="16">
        <f t="shared" si="13"/>
        <v>0</v>
      </c>
    </row>
    <row r="44" spans="2:28" x14ac:dyDescent="0.25">
      <c r="B44" s="13">
        <v>45939</v>
      </c>
      <c r="C44" s="10" t="s">
        <v>19</v>
      </c>
      <c r="D44" s="48" t="s">
        <v>20</v>
      </c>
      <c r="E44" s="48" t="s">
        <v>21</v>
      </c>
      <c r="F44" s="15">
        <v>8.1253150000000005</v>
      </c>
      <c r="G44" s="15">
        <v>100.10278</v>
      </c>
      <c r="H44" s="6">
        <v>7.4612710729999998</v>
      </c>
      <c r="I44" s="15">
        <v>376.21121252299997</v>
      </c>
      <c r="J44" s="15">
        <v>0.87777777800000001</v>
      </c>
      <c r="K44" s="15">
        <v>21.863601668000001</v>
      </c>
      <c r="L44" s="15">
        <v>14.653962634000001</v>
      </c>
      <c r="M44" s="15">
        <v>67.024467681588902</v>
      </c>
      <c r="N44" s="15">
        <v>0</v>
      </c>
      <c r="O44" s="6">
        <v>7.4612710729999998</v>
      </c>
      <c r="P44" s="15">
        <v>376.21121252299997</v>
      </c>
      <c r="Q44" s="15">
        <v>0.87777777800000001</v>
      </c>
      <c r="R44" s="15">
        <v>21.863601668000001</v>
      </c>
      <c r="S44" s="15">
        <v>14.653962634000001</v>
      </c>
      <c r="T44" s="15">
        <v>67.024467681588902</v>
      </c>
      <c r="U44" s="15">
        <v>0</v>
      </c>
      <c r="V44" s="8">
        <f t="shared" si="7"/>
        <v>0</v>
      </c>
      <c r="W44" s="15">
        <f t="shared" si="8"/>
        <v>0</v>
      </c>
      <c r="X44" s="15">
        <f t="shared" si="9"/>
        <v>0</v>
      </c>
      <c r="Y44" s="15">
        <f t="shared" si="10"/>
        <v>0</v>
      </c>
      <c r="Z44" s="15">
        <f t="shared" si="11"/>
        <v>0</v>
      </c>
      <c r="AA44" s="15">
        <f t="shared" si="12"/>
        <v>0</v>
      </c>
      <c r="AB44" s="16">
        <f t="shared" si="13"/>
        <v>0</v>
      </c>
    </row>
    <row r="45" spans="2:28" x14ac:dyDescent="0.25">
      <c r="B45" s="19">
        <v>45939</v>
      </c>
      <c r="C45" s="42" t="s">
        <v>64</v>
      </c>
      <c r="D45" s="49" t="s">
        <v>105</v>
      </c>
      <c r="E45" s="49" t="s">
        <v>106</v>
      </c>
      <c r="F45" s="20">
        <v>4.3811</v>
      </c>
      <c r="G45" s="20">
        <v>86.159689999999998</v>
      </c>
      <c r="H45" s="6">
        <v>6.903604155</v>
      </c>
      <c r="I45" s="20">
        <v>243.690048281</v>
      </c>
      <c r="J45" s="20">
        <v>22.175958862000002</v>
      </c>
      <c r="K45" s="20">
        <v>3.0580017850000001</v>
      </c>
      <c r="L45" s="20">
        <v>1.098305157</v>
      </c>
      <c r="M45" s="20">
        <v>35.915778806518901</v>
      </c>
      <c r="N45" s="20">
        <v>0</v>
      </c>
      <c r="O45" s="6">
        <v>6.9013389170000004</v>
      </c>
      <c r="P45" s="20">
        <v>243.418255066</v>
      </c>
      <c r="Q45" s="20">
        <v>22.266166382000002</v>
      </c>
      <c r="R45" s="20">
        <v>3.213602168</v>
      </c>
      <c r="S45" s="20">
        <v>1.1397935699999999</v>
      </c>
      <c r="T45" s="20">
        <v>35.467786938585398</v>
      </c>
      <c r="U45" s="20">
        <v>0</v>
      </c>
      <c r="V45" s="8">
        <f t="shared" si="7"/>
        <v>2.2652379999996697E-3</v>
      </c>
      <c r="W45" s="15">
        <f t="shared" si="8"/>
        <v>0.27179321500000242</v>
      </c>
      <c r="X45" s="15">
        <f t="shared" si="9"/>
        <v>-9.0207519999999874E-2</v>
      </c>
      <c r="Y45" s="15">
        <f t="shared" si="10"/>
        <v>-0.1556003829999999</v>
      </c>
      <c r="Z45" s="15">
        <f t="shared" si="11"/>
        <v>-4.1488412999999946E-2</v>
      </c>
      <c r="AA45" s="15">
        <f t="shared" si="12"/>
        <v>0.44799186793350287</v>
      </c>
      <c r="AB45" s="16">
        <f t="shared" si="13"/>
        <v>0</v>
      </c>
    </row>
    <row r="46" spans="2:28" x14ac:dyDescent="0.25">
      <c r="B46" s="19">
        <v>45939</v>
      </c>
      <c r="C46" s="42" t="s">
        <v>64</v>
      </c>
      <c r="D46" s="49" t="s">
        <v>103</v>
      </c>
      <c r="E46" s="49" t="s">
        <v>104</v>
      </c>
      <c r="F46" s="20">
        <v>3.8692630000000001</v>
      </c>
      <c r="G46" s="20">
        <v>50.328494999999997</v>
      </c>
      <c r="H46" s="6">
        <v>3.569754632</v>
      </c>
      <c r="I46" s="20">
        <v>-97.869460458000006</v>
      </c>
      <c r="J46" s="20">
        <v>13.648705494</v>
      </c>
      <c r="K46" s="20">
        <v>16.841965282</v>
      </c>
      <c r="L46" s="20">
        <v>3.405626029</v>
      </c>
      <c r="M46" s="20">
        <v>20.2210726122313</v>
      </c>
      <c r="N46" s="20">
        <v>56.145803133999998</v>
      </c>
      <c r="O46" s="6">
        <v>3.279068133</v>
      </c>
      <c r="P46" s="20">
        <v>-127.16566267</v>
      </c>
      <c r="Q46" s="20">
        <v>13.160249535</v>
      </c>
      <c r="R46" s="20">
        <v>17.162621335000001</v>
      </c>
      <c r="S46" s="20">
        <v>3.5570202640000002</v>
      </c>
      <c r="T46" s="20">
        <v>20.725390338514998</v>
      </c>
      <c r="U46" s="20">
        <v>58.663200355999997</v>
      </c>
      <c r="V46" s="8">
        <f t="shared" si="7"/>
        <v>0.29068649899999999</v>
      </c>
      <c r="W46" s="15">
        <f t="shared" si="8"/>
        <v>29.296202211999997</v>
      </c>
      <c r="X46" s="15">
        <f t="shared" si="9"/>
        <v>0.4884559589999995</v>
      </c>
      <c r="Y46" s="15">
        <f t="shared" si="10"/>
        <v>-0.32065605300000044</v>
      </c>
      <c r="Z46" s="15">
        <f t="shared" si="11"/>
        <v>-0.15139423500000015</v>
      </c>
      <c r="AA46" s="15">
        <f t="shared" si="12"/>
        <v>-0.50431772628369842</v>
      </c>
      <c r="AB46" s="16">
        <f t="shared" si="13"/>
        <v>-2.5173972219999996</v>
      </c>
    </row>
    <row r="47" spans="2:28" x14ac:dyDescent="0.25">
      <c r="B47" s="19">
        <v>45939</v>
      </c>
      <c r="C47" s="44" t="s">
        <v>64</v>
      </c>
      <c r="D47" s="49" t="s">
        <v>101</v>
      </c>
      <c r="E47" s="49" t="s">
        <v>102</v>
      </c>
      <c r="F47" s="20">
        <v>0.163498</v>
      </c>
      <c r="G47" s="20">
        <v>0.27419073999999999</v>
      </c>
      <c r="H47" s="6">
        <v>35.899691226999998</v>
      </c>
      <c r="I47" s="20">
        <v>3217.4984381190002</v>
      </c>
      <c r="J47" s="20">
        <v>6.097606635</v>
      </c>
      <c r="K47" s="20">
        <v>8.2902705379999997</v>
      </c>
      <c r="L47" s="20">
        <v>4.2558135530000003</v>
      </c>
      <c r="M47" s="20">
        <v>51.335038265550999</v>
      </c>
      <c r="N47" s="20">
        <v>0</v>
      </c>
      <c r="O47" s="6">
        <v>35.745635608000001</v>
      </c>
      <c r="P47" s="20">
        <v>3202.2649765830001</v>
      </c>
      <c r="Q47" s="20">
        <v>5.9939495379999999</v>
      </c>
      <c r="R47" s="20">
        <v>8.6262145930000003</v>
      </c>
      <c r="S47" s="20">
        <v>4.4057799180000004</v>
      </c>
      <c r="T47" s="20">
        <v>51.074313889376299</v>
      </c>
      <c r="U47" s="20">
        <v>0</v>
      </c>
      <c r="V47" s="8">
        <f t="shared" si="7"/>
        <v>0.15405561899999753</v>
      </c>
      <c r="W47" s="15">
        <f t="shared" si="8"/>
        <v>15.23346153600005</v>
      </c>
      <c r="X47" s="15">
        <f t="shared" si="9"/>
        <v>0.10365709700000014</v>
      </c>
      <c r="Y47" s="15">
        <f t="shared" si="10"/>
        <v>-0.33594405500000057</v>
      </c>
      <c r="Z47" s="15">
        <f t="shared" si="11"/>
        <v>-0.14996636500000005</v>
      </c>
      <c r="AA47" s="15">
        <f t="shared" si="12"/>
        <v>0.26072437617470001</v>
      </c>
      <c r="AB47" s="16">
        <f t="shared" si="13"/>
        <v>0</v>
      </c>
    </row>
    <row r="48" spans="2:28" x14ac:dyDescent="0.25">
      <c r="B48" s="19">
        <v>45939</v>
      </c>
      <c r="C48" s="44" t="s">
        <v>64</v>
      </c>
      <c r="D48" s="49" t="s">
        <v>99</v>
      </c>
      <c r="E48" s="49" t="s">
        <v>100</v>
      </c>
      <c r="F48" s="20">
        <v>2.302</v>
      </c>
      <c r="G48" s="20">
        <v>5.3992000100000004</v>
      </c>
      <c r="H48" s="6">
        <v>44.037539056999996</v>
      </c>
      <c r="I48" s="20">
        <v>4032.2146318770001</v>
      </c>
      <c r="J48" s="20">
        <v>6.0007836899999996</v>
      </c>
      <c r="K48" s="20">
        <v>8.2902705379999997</v>
      </c>
      <c r="L48" s="20">
        <v>4.2558135530000003</v>
      </c>
      <c r="M48" s="20">
        <v>51.335038265550999</v>
      </c>
      <c r="N48" s="20">
        <v>0</v>
      </c>
      <c r="O48" s="6">
        <v>43.973959555</v>
      </c>
      <c r="P48" s="20">
        <v>4025.961670741</v>
      </c>
      <c r="Q48" s="20">
        <v>5.898784633</v>
      </c>
      <c r="R48" s="20">
        <v>8.6262145930000003</v>
      </c>
      <c r="S48" s="20">
        <v>4.4057799180000004</v>
      </c>
      <c r="T48" s="20">
        <v>51.074313889376299</v>
      </c>
      <c r="U48" s="20">
        <v>0</v>
      </c>
      <c r="V48" s="8">
        <f t="shared" si="7"/>
        <v>6.3579501999996069E-2</v>
      </c>
      <c r="W48" s="15">
        <f t="shared" si="8"/>
        <v>6.2529611360000672</v>
      </c>
      <c r="X48" s="15">
        <f t="shared" si="9"/>
        <v>0.10199905699999956</v>
      </c>
      <c r="Y48" s="15">
        <f t="shared" si="10"/>
        <v>-0.33594405500000057</v>
      </c>
      <c r="Z48" s="15">
        <f t="shared" si="11"/>
        <v>-0.14996636500000005</v>
      </c>
      <c r="AA48" s="15">
        <f t="shared" si="12"/>
        <v>0.26072437617470001</v>
      </c>
      <c r="AB48" s="16">
        <f t="shared" si="13"/>
        <v>0</v>
      </c>
    </row>
    <row r="49" spans="2:28" x14ac:dyDescent="0.25">
      <c r="B49" s="19">
        <v>45939</v>
      </c>
      <c r="C49" s="27" t="s">
        <v>64</v>
      </c>
      <c r="D49" s="49" t="s">
        <v>97</v>
      </c>
      <c r="E49" s="49" t="s">
        <v>98</v>
      </c>
      <c r="F49" s="20">
        <v>0.5</v>
      </c>
      <c r="G49" s="20">
        <v>1.1309597899999999</v>
      </c>
      <c r="H49" s="6">
        <v>30.469283691000001</v>
      </c>
      <c r="I49" s="20">
        <v>2668.4395403829999</v>
      </c>
      <c r="J49" s="20">
        <v>6.7525412060000001</v>
      </c>
      <c r="K49" s="20">
        <v>10.497390595000001</v>
      </c>
      <c r="L49" s="20">
        <v>6.2134822759999997</v>
      </c>
      <c r="M49" s="20">
        <v>59.1907314467229</v>
      </c>
      <c r="N49" s="20">
        <v>0</v>
      </c>
      <c r="O49" s="6">
        <v>30.319495093</v>
      </c>
      <c r="P49" s="20">
        <v>2653.5468818210002</v>
      </c>
      <c r="Q49" s="20">
        <v>6.6725524140000001</v>
      </c>
      <c r="R49" s="20">
        <v>10.853538078</v>
      </c>
      <c r="S49" s="20">
        <v>6.3949520780000002</v>
      </c>
      <c r="T49" s="20">
        <v>58.920437114994698</v>
      </c>
      <c r="U49" s="20">
        <v>0</v>
      </c>
      <c r="V49" s="6">
        <f t="shared" si="7"/>
        <v>0.14978859800000066</v>
      </c>
      <c r="W49" s="20">
        <f t="shared" si="8"/>
        <v>14.892658561999724</v>
      </c>
      <c r="X49" s="20">
        <f t="shared" si="9"/>
        <v>7.9988791999999975E-2</v>
      </c>
      <c r="Y49" s="20">
        <f t="shared" si="10"/>
        <v>-0.3561474829999991</v>
      </c>
      <c r="Z49" s="20">
        <f t="shared" si="11"/>
        <v>-0.18146980200000051</v>
      </c>
      <c r="AA49" s="20">
        <f t="shared" si="12"/>
        <v>0.27029433172820205</v>
      </c>
      <c r="AB49" s="21">
        <f t="shared" si="13"/>
        <v>0</v>
      </c>
    </row>
    <row r="50" spans="2:28" x14ac:dyDescent="0.25">
      <c r="B50" s="19">
        <v>45939</v>
      </c>
      <c r="C50" s="44" t="s">
        <v>64</v>
      </c>
      <c r="D50" s="49" t="s">
        <v>95</v>
      </c>
      <c r="E50" s="49" t="s">
        <v>96</v>
      </c>
      <c r="F50" s="20">
        <v>2</v>
      </c>
      <c r="G50" s="20">
        <v>2.7906575899999999</v>
      </c>
      <c r="H50" s="6">
        <v>43.619038037000003</v>
      </c>
      <c r="I50" s="20">
        <v>3989.8027363649999</v>
      </c>
      <c r="J50" s="20">
        <v>4.2829314250000001</v>
      </c>
      <c r="K50" s="20">
        <v>6.5594901620000003</v>
      </c>
      <c r="L50" s="20">
        <v>3.3438242379999998</v>
      </c>
      <c r="M50" s="20">
        <v>50.976892340981301</v>
      </c>
      <c r="N50" s="20">
        <v>0</v>
      </c>
      <c r="O50" s="6">
        <v>43.546510411</v>
      </c>
      <c r="P50" s="20">
        <v>3982.5858833550001</v>
      </c>
      <c r="Q50" s="20">
        <v>4.2554791270000001</v>
      </c>
      <c r="R50" s="20">
        <v>6.8774166240000003</v>
      </c>
      <c r="S50" s="20">
        <v>3.4875618799999999</v>
      </c>
      <c r="T50" s="20">
        <v>50.710347659170701</v>
      </c>
      <c r="U50" s="20">
        <v>0</v>
      </c>
      <c r="V50" s="8">
        <f t="shared" si="7"/>
        <v>7.2527626000002954E-2</v>
      </c>
      <c r="W50" s="15">
        <f t="shared" si="8"/>
        <v>7.2168530099997952</v>
      </c>
      <c r="X50" s="15">
        <f t="shared" si="9"/>
        <v>2.7452298000000042E-2</v>
      </c>
      <c r="Y50" s="15">
        <f t="shared" si="10"/>
        <v>-0.31792646199999997</v>
      </c>
      <c r="Z50" s="15">
        <f t="shared" si="11"/>
        <v>-0.14373764200000005</v>
      </c>
      <c r="AA50" s="15">
        <f t="shared" si="12"/>
        <v>0.26654468181060054</v>
      </c>
      <c r="AB50" s="16">
        <f t="shared" si="13"/>
        <v>0</v>
      </c>
    </row>
    <row r="51" spans="2:28" x14ac:dyDescent="0.25">
      <c r="B51" s="19">
        <v>45939</v>
      </c>
      <c r="C51" s="44" t="s">
        <v>64</v>
      </c>
      <c r="D51" s="49" t="s">
        <v>93</v>
      </c>
      <c r="E51" s="49" t="s">
        <v>94</v>
      </c>
      <c r="F51" s="20">
        <v>3.531453</v>
      </c>
      <c r="G51" s="20">
        <v>55.936515</v>
      </c>
      <c r="H51" s="6">
        <v>13.607333141</v>
      </c>
      <c r="I51" s="20">
        <v>972.09060166899997</v>
      </c>
      <c r="J51" s="20">
        <v>6.8777777779999996</v>
      </c>
      <c r="K51" s="20">
        <v>22.313285297</v>
      </c>
      <c r="L51" s="20">
        <v>5.2839876300000004</v>
      </c>
      <c r="M51" s="20">
        <v>23.680903818813398</v>
      </c>
      <c r="N51" s="20">
        <v>0</v>
      </c>
      <c r="O51" s="6">
        <v>13.606674642</v>
      </c>
      <c r="P51" s="20">
        <v>972.02436092000005</v>
      </c>
      <c r="Q51" s="20">
        <v>6.8777777779999996</v>
      </c>
      <c r="R51" s="20">
        <v>22.689877565</v>
      </c>
      <c r="S51" s="20">
        <v>5.4807097450000004</v>
      </c>
      <c r="T51" s="20">
        <v>24.154866985506398</v>
      </c>
      <c r="U51" s="20">
        <v>0</v>
      </c>
      <c r="V51" s="8">
        <f t="shared" si="7"/>
        <v>6.5849900000003458E-4</v>
      </c>
      <c r="W51" s="15">
        <f t="shared" si="8"/>
        <v>6.6240748999916832E-2</v>
      </c>
      <c r="X51" s="15">
        <f t="shared" si="9"/>
        <v>0</v>
      </c>
      <c r="Y51" s="15">
        <f t="shared" si="10"/>
        <v>-0.37659226799999956</v>
      </c>
      <c r="Z51" s="15">
        <f t="shared" si="11"/>
        <v>-0.19672211500000003</v>
      </c>
      <c r="AA51" s="15">
        <f t="shared" si="12"/>
        <v>-0.4739631666930002</v>
      </c>
      <c r="AB51" s="16">
        <f t="shared" si="13"/>
        <v>0</v>
      </c>
    </row>
    <row r="52" spans="2:28" x14ac:dyDescent="0.25">
      <c r="B52" s="19">
        <v>45939</v>
      </c>
      <c r="C52" s="44" t="s">
        <v>64</v>
      </c>
      <c r="D52" s="49" t="s">
        <v>91</v>
      </c>
      <c r="E52" s="49" t="s">
        <v>92</v>
      </c>
      <c r="F52" s="20">
        <v>0.39771299999999998</v>
      </c>
      <c r="G52" s="20">
        <v>0.7</v>
      </c>
      <c r="H52" s="6">
        <v>37.657210972000001</v>
      </c>
      <c r="I52" s="20">
        <v>3391.6276545639998</v>
      </c>
      <c r="J52" s="20">
        <v>8.2316884330000004</v>
      </c>
      <c r="K52" s="20">
        <v>8.0426373790000003</v>
      </c>
      <c r="L52" s="20">
        <v>4.6692203839999999</v>
      </c>
      <c r="M52" s="20">
        <v>58.055836213525197</v>
      </c>
      <c r="N52" s="20">
        <v>0</v>
      </c>
      <c r="O52" s="6">
        <v>37.246217784000002</v>
      </c>
      <c r="P52" s="20">
        <v>3350.6462085469998</v>
      </c>
      <c r="Q52" s="20">
        <v>8.0814553809999996</v>
      </c>
      <c r="R52" s="20">
        <v>8.3874942749999999</v>
      </c>
      <c r="S52" s="20">
        <v>4.8378338120000004</v>
      </c>
      <c r="T52" s="20">
        <v>57.679131017946403</v>
      </c>
      <c r="U52" s="20">
        <v>0</v>
      </c>
      <c r="V52" s="8">
        <f t="shared" si="7"/>
        <v>0.41099318799999907</v>
      </c>
      <c r="W52" s="15">
        <f t="shared" si="8"/>
        <v>40.981446017000053</v>
      </c>
      <c r="X52" s="15">
        <f t="shared" si="9"/>
        <v>0.15023305200000081</v>
      </c>
      <c r="Y52" s="15">
        <f t="shared" si="10"/>
        <v>-0.34485689599999958</v>
      </c>
      <c r="Z52" s="15">
        <f t="shared" si="11"/>
        <v>-0.16861342800000045</v>
      </c>
      <c r="AA52" s="15">
        <f t="shared" si="12"/>
        <v>0.37670519557879345</v>
      </c>
      <c r="AB52" s="16">
        <f t="shared" si="13"/>
        <v>0</v>
      </c>
    </row>
    <row r="53" spans="2:28" x14ac:dyDescent="0.25">
      <c r="B53" s="19">
        <v>45939</v>
      </c>
      <c r="C53" s="44" t="s">
        <v>64</v>
      </c>
      <c r="D53" s="49" t="s">
        <v>89</v>
      </c>
      <c r="E53" s="49" t="s">
        <v>90</v>
      </c>
      <c r="F53" s="20">
        <v>7.2263809999999999</v>
      </c>
      <c r="G53" s="20">
        <v>100.965205</v>
      </c>
      <c r="H53" s="6">
        <v>0.224488576</v>
      </c>
      <c r="I53" s="20">
        <v>-342.08529073900002</v>
      </c>
      <c r="J53" s="20">
        <v>3.6073749670000002</v>
      </c>
      <c r="K53" s="20">
        <v>9.6441111569999993</v>
      </c>
      <c r="L53" s="20">
        <v>5.2667433790000002</v>
      </c>
      <c r="M53" s="20">
        <v>54.610977551593599</v>
      </c>
      <c r="N53" s="20">
        <v>23.795573351000002</v>
      </c>
      <c r="O53" s="6">
        <v>-3.600743815</v>
      </c>
      <c r="P53" s="20">
        <v>-724.56662740499996</v>
      </c>
      <c r="Q53" s="20">
        <v>3.5799053170000001</v>
      </c>
      <c r="R53" s="20">
        <v>10.026555448</v>
      </c>
      <c r="S53" s="20">
        <v>5.450940321</v>
      </c>
      <c r="T53" s="20">
        <v>54.365034425529501</v>
      </c>
      <c r="U53" s="20">
        <v>35.237728926000003</v>
      </c>
      <c r="V53" s="8">
        <f t="shared" si="7"/>
        <v>3.8252323910000001</v>
      </c>
      <c r="W53" s="15">
        <f t="shared" si="8"/>
        <v>382.48133666599995</v>
      </c>
      <c r="X53" s="15">
        <f t="shared" si="9"/>
        <v>2.7469650000000012E-2</v>
      </c>
      <c r="Y53" s="15">
        <f t="shared" si="10"/>
        <v>-0.38244429100000055</v>
      </c>
      <c r="Z53" s="15">
        <f t="shared" si="11"/>
        <v>-0.18419694199999981</v>
      </c>
      <c r="AA53" s="15">
        <f t="shared" si="12"/>
        <v>0.24594312606409829</v>
      </c>
      <c r="AB53" s="16">
        <f t="shared" si="13"/>
        <v>-11.442155575000001</v>
      </c>
    </row>
    <row r="54" spans="2:28" x14ac:dyDescent="0.25">
      <c r="B54" s="19">
        <v>45939</v>
      </c>
      <c r="C54" s="44" t="s">
        <v>64</v>
      </c>
      <c r="D54" s="49" t="s">
        <v>87</v>
      </c>
      <c r="E54" s="49" t="s">
        <v>88</v>
      </c>
      <c r="F54" s="20">
        <v>6.9077809999999999</v>
      </c>
      <c r="G54" s="20">
        <v>100.546915</v>
      </c>
      <c r="H54" s="6">
        <v>-14.082071772000001</v>
      </c>
      <c r="I54" s="20">
        <v>-1772.141775671</v>
      </c>
      <c r="J54" s="20">
        <v>3.4171805239999999</v>
      </c>
      <c r="K54" s="20">
        <v>9.9299309529999995</v>
      </c>
      <c r="L54" s="20">
        <v>5.349299749</v>
      </c>
      <c r="M54" s="20">
        <v>53.870462688201101</v>
      </c>
      <c r="N54" s="20">
        <v>58.030746778999998</v>
      </c>
      <c r="O54" s="6">
        <v>-19.257015137</v>
      </c>
      <c r="P54" s="20">
        <v>-2289.5643492019999</v>
      </c>
      <c r="Q54" s="20">
        <v>3.3786589729999998</v>
      </c>
      <c r="R54" s="20">
        <v>10.321575478</v>
      </c>
      <c r="S54" s="20">
        <v>5.5402342759999996</v>
      </c>
      <c r="T54" s="20">
        <v>53.676246303762198</v>
      </c>
      <c r="U54" s="20">
        <v>67.097838132999996</v>
      </c>
      <c r="V54" s="8">
        <f t="shared" si="7"/>
        <v>5.174943364999999</v>
      </c>
      <c r="W54" s="15">
        <f t="shared" si="8"/>
        <v>517.4225735309999</v>
      </c>
      <c r="X54" s="15">
        <f t="shared" si="9"/>
        <v>3.8521551000000098E-2</v>
      </c>
      <c r="Y54" s="15">
        <f t="shared" si="10"/>
        <v>-0.39164452500000024</v>
      </c>
      <c r="Z54" s="15">
        <f t="shared" si="11"/>
        <v>-0.19093452699999958</v>
      </c>
      <c r="AA54" s="15">
        <f t="shared" si="12"/>
        <v>0.19421638443890288</v>
      </c>
      <c r="AB54" s="16">
        <f t="shared" si="13"/>
        <v>-9.0670913539999987</v>
      </c>
    </row>
    <row r="55" spans="2:28" x14ac:dyDescent="0.25">
      <c r="B55" s="19">
        <v>45939</v>
      </c>
      <c r="C55" s="44" t="s">
        <v>64</v>
      </c>
      <c r="D55" s="49" t="s">
        <v>85</v>
      </c>
      <c r="E55" s="49" t="s">
        <v>86</v>
      </c>
      <c r="F55" s="20">
        <v>1.0584640000000001</v>
      </c>
      <c r="G55" s="20">
        <v>2.1080533799999999</v>
      </c>
      <c r="H55" s="6">
        <v>35.045268084999996</v>
      </c>
      <c r="I55" s="20">
        <v>3128.333357511</v>
      </c>
      <c r="J55" s="20">
        <v>7.1612668160000004</v>
      </c>
      <c r="K55" s="20">
        <v>9.0368907630000006</v>
      </c>
      <c r="L55" s="20">
        <v>5.3398680450000002</v>
      </c>
      <c r="M55" s="20">
        <v>59.089660205511997</v>
      </c>
      <c r="N55" s="20">
        <v>0</v>
      </c>
      <c r="O55" s="6">
        <v>34.787816939000002</v>
      </c>
      <c r="P55" s="20">
        <v>3102.6757835469998</v>
      </c>
      <c r="Q55" s="20">
        <v>7.0426177680000004</v>
      </c>
      <c r="R55" s="20">
        <v>9.3678850520000001</v>
      </c>
      <c r="S55" s="20">
        <v>5.5309698410000001</v>
      </c>
      <c r="T55" s="20">
        <v>59.041820115194099</v>
      </c>
      <c r="U55" s="20">
        <v>0</v>
      </c>
      <c r="V55" s="8">
        <f t="shared" si="7"/>
        <v>0.25745114599999397</v>
      </c>
      <c r="W55" s="15">
        <f t="shared" si="8"/>
        <v>25.657573964000221</v>
      </c>
      <c r="X55" s="15">
        <f t="shared" si="9"/>
        <v>0.11864904799999998</v>
      </c>
      <c r="Y55" s="15">
        <f t="shared" si="10"/>
        <v>-0.3309942889999995</v>
      </c>
      <c r="Z55" s="15">
        <f t="shared" si="11"/>
        <v>-0.19110179599999988</v>
      </c>
      <c r="AA55" s="15">
        <f t="shared" si="12"/>
        <v>4.7840090317897932E-2</v>
      </c>
      <c r="AB55" s="16">
        <f t="shared" si="13"/>
        <v>0</v>
      </c>
    </row>
    <row r="56" spans="2:28" x14ac:dyDescent="0.25">
      <c r="B56" s="19">
        <v>45939</v>
      </c>
      <c r="C56" s="44" t="s">
        <v>64</v>
      </c>
      <c r="D56" s="49" t="s">
        <v>83</v>
      </c>
      <c r="E56" s="49" t="s">
        <v>84</v>
      </c>
      <c r="F56" s="20">
        <v>0.5</v>
      </c>
      <c r="G56" s="20">
        <v>0.94286300999999995</v>
      </c>
      <c r="H56" s="6">
        <v>32.921091003000001</v>
      </c>
      <c r="I56" s="20">
        <v>2918.0128750419999</v>
      </c>
      <c r="J56" s="20">
        <v>5.4207653269999998</v>
      </c>
      <c r="K56" s="20">
        <v>9.3270611559999992</v>
      </c>
      <c r="L56" s="20">
        <v>5.031495413</v>
      </c>
      <c r="M56" s="20">
        <v>53.945131578378202</v>
      </c>
      <c r="N56" s="20">
        <v>0</v>
      </c>
      <c r="O56" s="6">
        <v>32.783221038999997</v>
      </c>
      <c r="P56" s="20">
        <v>2904.334569741</v>
      </c>
      <c r="Q56" s="20">
        <v>5.38277787</v>
      </c>
      <c r="R56" s="20">
        <v>9.7195867200000006</v>
      </c>
      <c r="S56" s="20">
        <v>5.2200289509999998</v>
      </c>
      <c r="T56" s="20">
        <v>53.706285065174001</v>
      </c>
      <c r="U56" s="20">
        <v>0</v>
      </c>
      <c r="V56" s="8">
        <f t="shared" si="7"/>
        <v>0.13786996400000362</v>
      </c>
      <c r="W56" s="15">
        <f t="shared" si="8"/>
        <v>13.678305300999909</v>
      </c>
      <c r="X56" s="15">
        <f t="shared" si="9"/>
        <v>3.7987456999999836E-2</v>
      </c>
      <c r="Y56" s="15">
        <f t="shared" si="10"/>
        <v>-0.39252556400000138</v>
      </c>
      <c r="Z56" s="15">
        <f t="shared" si="11"/>
        <v>-0.18853353799999972</v>
      </c>
      <c r="AA56" s="15">
        <f t="shared" si="12"/>
        <v>0.23884651320420147</v>
      </c>
      <c r="AB56" s="16">
        <f t="shared" si="13"/>
        <v>0</v>
      </c>
    </row>
    <row r="57" spans="2:28" x14ac:dyDescent="0.25">
      <c r="B57" s="19">
        <v>45939</v>
      </c>
      <c r="C57" s="44" t="s">
        <v>64</v>
      </c>
      <c r="D57" s="49" t="s">
        <v>81</v>
      </c>
      <c r="E57" s="49" t="s">
        <v>82</v>
      </c>
      <c r="F57" s="20">
        <v>0.61371600000000004</v>
      </c>
      <c r="G57" s="20">
        <v>1.0729119199999999</v>
      </c>
      <c r="H57" s="6">
        <v>30.931559861</v>
      </c>
      <c r="I57" s="20">
        <v>2718.747514059</v>
      </c>
      <c r="J57" s="20">
        <v>5.4207653269999998</v>
      </c>
      <c r="K57" s="20">
        <v>9.3270611559999992</v>
      </c>
      <c r="L57" s="20">
        <v>5.031495413</v>
      </c>
      <c r="M57" s="20">
        <v>53.945131578378202</v>
      </c>
      <c r="N57" s="20">
        <v>0</v>
      </c>
      <c r="O57" s="6">
        <v>30.784192186999999</v>
      </c>
      <c r="P57" s="20">
        <v>2704.1188761140002</v>
      </c>
      <c r="Q57" s="20">
        <v>5.38277787</v>
      </c>
      <c r="R57" s="20">
        <v>9.7195867200000006</v>
      </c>
      <c r="S57" s="20">
        <v>5.2200289509999998</v>
      </c>
      <c r="T57" s="20">
        <v>53.706285065174001</v>
      </c>
      <c r="U57" s="20">
        <v>0</v>
      </c>
      <c r="V57" s="8">
        <f t="shared" si="7"/>
        <v>0.14736767400000161</v>
      </c>
      <c r="W57" s="15">
        <f t="shared" si="8"/>
        <v>14.628637944999809</v>
      </c>
      <c r="X57" s="15">
        <f t="shared" si="9"/>
        <v>3.7987456999999836E-2</v>
      </c>
      <c r="Y57" s="15">
        <f t="shared" si="10"/>
        <v>-0.39252556400000138</v>
      </c>
      <c r="Z57" s="15">
        <f t="shared" si="11"/>
        <v>-0.18853353799999972</v>
      </c>
      <c r="AA57" s="15">
        <f t="shared" si="12"/>
        <v>0.23884651320420147</v>
      </c>
      <c r="AB57" s="16">
        <f t="shared" si="13"/>
        <v>0</v>
      </c>
    </row>
    <row r="58" spans="2:28" x14ac:dyDescent="0.25">
      <c r="B58" s="19">
        <v>45939</v>
      </c>
      <c r="C58" s="45" t="s">
        <v>64</v>
      </c>
      <c r="D58" s="49" t="s">
        <v>79</v>
      </c>
      <c r="E58" s="49" t="s">
        <v>80</v>
      </c>
      <c r="F58" s="20">
        <v>0.48443700000000001</v>
      </c>
      <c r="G58" s="20">
        <v>0.95911785999999999</v>
      </c>
      <c r="H58" s="6">
        <v>33.508686818000001</v>
      </c>
      <c r="I58" s="20">
        <v>2974.5530270519998</v>
      </c>
      <c r="J58" s="20">
        <v>7.3999388369999997</v>
      </c>
      <c r="K58" s="20">
        <v>8.9178678290000004</v>
      </c>
      <c r="L58" s="20">
        <v>4.7068801049999998</v>
      </c>
      <c r="M58" s="20">
        <v>52.780330402449998</v>
      </c>
      <c r="N58" s="20">
        <v>0</v>
      </c>
      <c r="O58" s="6">
        <v>33.387541636000002</v>
      </c>
      <c r="P58" s="20">
        <v>2962.517493326</v>
      </c>
      <c r="Q58" s="20">
        <v>7.3521686290000003</v>
      </c>
      <c r="R58" s="20">
        <v>9.3322589180000008</v>
      </c>
      <c r="S58" s="20">
        <v>4.8907472670000001</v>
      </c>
      <c r="T58" s="20">
        <v>52.406896443547602</v>
      </c>
      <c r="U58" s="20">
        <v>0</v>
      </c>
      <c r="V58" s="8">
        <f t="shared" si="7"/>
        <v>0.12114518199999935</v>
      </c>
      <c r="W58" s="15">
        <f t="shared" si="8"/>
        <v>12.035533725999812</v>
      </c>
      <c r="X58" s="15">
        <f t="shared" si="9"/>
        <v>4.7770207999999315E-2</v>
      </c>
      <c r="Y58" s="15">
        <f t="shared" si="10"/>
        <v>-0.41439108900000043</v>
      </c>
      <c r="Z58" s="15">
        <f t="shared" si="11"/>
        <v>-0.18386716200000031</v>
      </c>
      <c r="AA58" s="15">
        <f t="shared" si="12"/>
        <v>0.37343395890239606</v>
      </c>
      <c r="AB58" s="16">
        <f t="shared" si="13"/>
        <v>0</v>
      </c>
    </row>
    <row r="59" spans="2:28" x14ac:dyDescent="0.25">
      <c r="B59" s="19">
        <v>45939</v>
      </c>
      <c r="C59" s="45" t="s">
        <v>64</v>
      </c>
      <c r="D59" s="49" t="s">
        <v>77</v>
      </c>
      <c r="E59" s="49" t="s">
        <v>78</v>
      </c>
      <c r="F59" s="20">
        <v>0.2</v>
      </c>
      <c r="G59" s="20">
        <v>0.76090999999999998</v>
      </c>
      <c r="H59" s="6">
        <v>10.156714072</v>
      </c>
      <c r="I59" s="20">
        <v>625.47640061599998</v>
      </c>
      <c r="J59" s="20">
        <v>6.0676418429999996</v>
      </c>
      <c r="K59" s="20">
        <v>2.8974032940000001</v>
      </c>
      <c r="L59" s="20">
        <v>-3.6038061000000003E-2</v>
      </c>
      <c r="M59" s="20">
        <v>-1.2438054817783999</v>
      </c>
      <c r="N59" s="20">
        <v>0</v>
      </c>
      <c r="O59" s="6">
        <v>10.066607668</v>
      </c>
      <c r="P59" s="20">
        <v>616.58580873799997</v>
      </c>
      <c r="Q59" s="20">
        <v>6.034093532</v>
      </c>
      <c r="R59" s="20">
        <v>3.097006591</v>
      </c>
      <c r="S59" s="20">
        <v>7.8600960000000004E-3</v>
      </c>
      <c r="T59" s="20">
        <v>0.25379655383497401</v>
      </c>
      <c r="U59" s="20">
        <v>0</v>
      </c>
      <c r="V59" s="8">
        <f t="shared" si="7"/>
        <v>9.010640400000014E-2</v>
      </c>
      <c r="W59" s="15">
        <f t="shared" si="8"/>
        <v>8.8905918780000093</v>
      </c>
      <c r="X59" s="15">
        <f t="shared" si="9"/>
        <v>3.3548310999999664E-2</v>
      </c>
      <c r="Y59" s="15">
        <f t="shared" si="10"/>
        <v>-0.1996032969999999</v>
      </c>
      <c r="Z59" s="15">
        <f t="shared" si="11"/>
        <v>-4.3898157000000007E-2</v>
      </c>
      <c r="AA59" s="15">
        <f t="shared" si="12"/>
        <v>-1.4976020356133739</v>
      </c>
      <c r="AB59" s="16">
        <f t="shared" si="13"/>
        <v>0</v>
      </c>
    </row>
    <row r="60" spans="2:28" x14ac:dyDescent="0.25">
      <c r="B60" s="19">
        <v>45939</v>
      </c>
      <c r="C60" s="45" t="s">
        <v>64</v>
      </c>
      <c r="D60" s="49" t="s">
        <v>75</v>
      </c>
      <c r="E60" s="49" t="s">
        <v>76</v>
      </c>
      <c r="F60" s="20">
        <v>0.5</v>
      </c>
      <c r="G60" s="20">
        <v>0.93800231999999995</v>
      </c>
      <c r="H60" s="6">
        <v>31.710191496</v>
      </c>
      <c r="I60" s="20">
        <v>2796.4595010570001</v>
      </c>
      <c r="J60" s="20">
        <v>4.7116055670000003</v>
      </c>
      <c r="K60" s="20">
        <v>14.086202258</v>
      </c>
      <c r="L60" s="20">
        <v>7.4501756889999999</v>
      </c>
      <c r="M60" s="20">
        <v>52.889881548937801</v>
      </c>
      <c r="N60" s="20">
        <v>0</v>
      </c>
      <c r="O60" s="6">
        <v>31.456998300999999</v>
      </c>
      <c r="P60" s="20">
        <v>2771.4631799650001</v>
      </c>
      <c r="Q60" s="20">
        <v>4.6132387210000001</v>
      </c>
      <c r="R60" s="20">
        <v>14.695322060000001</v>
      </c>
      <c r="S60" s="20">
        <v>7.7628250059999999</v>
      </c>
      <c r="T60" s="20">
        <v>52.825143772316899</v>
      </c>
      <c r="U60" s="20">
        <v>0</v>
      </c>
      <c r="V60" s="8">
        <f t="shared" si="7"/>
        <v>0.25319319500000148</v>
      </c>
      <c r="W60" s="15">
        <f t="shared" si="8"/>
        <v>24.996321092000017</v>
      </c>
      <c r="X60" s="15">
        <f t="shared" si="9"/>
        <v>9.836684600000023E-2</v>
      </c>
      <c r="Y60" s="15">
        <f t="shared" si="10"/>
        <v>-0.60911980200000038</v>
      </c>
      <c r="Z60" s="15">
        <f t="shared" si="11"/>
        <v>-0.31264931699999998</v>
      </c>
      <c r="AA60" s="15">
        <f t="shared" si="12"/>
        <v>6.4737776620901855E-2</v>
      </c>
      <c r="AB60" s="16">
        <f t="shared" si="13"/>
        <v>0</v>
      </c>
    </row>
    <row r="61" spans="2:28" x14ac:dyDescent="0.25">
      <c r="B61" s="19">
        <v>45939</v>
      </c>
      <c r="C61" s="45" t="s">
        <v>64</v>
      </c>
      <c r="D61" s="49" t="s">
        <v>73</v>
      </c>
      <c r="E61" s="49" t="s">
        <v>74</v>
      </c>
      <c r="F61" s="20">
        <v>0.52606600000000003</v>
      </c>
      <c r="G61" s="20">
        <v>1.1412734499999999</v>
      </c>
      <c r="H61" s="6">
        <v>24.500168252999998</v>
      </c>
      <c r="I61" s="20">
        <v>2072.6991280789998</v>
      </c>
      <c r="J61" s="20">
        <v>6.4288112589999997</v>
      </c>
      <c r="K61" s="20">
        <v>11.136021471999999</v>
      </c>
      <c r="L61" s="20">
        <v>6.2216121170000003</v>
      </c>
      <c r="M61" s="20">
        <v>55.869253957918403</v>
      </c>
      <c r="N61" s="20">
        <v>0</v>
      </c>
      <c r="O61" s="6">
        <v>24.248571361</v>
      </c>
      <c r="P61" s="20">
        <v>2047.749512005</v>
      </c>
      <c r="Q61" s="20">
        <v>6.3593130200000001</v>
      </c>
      <c r="R61" s="20">
        <v>11.542383094</v>
      </c>
      <c r="S61" s="20">
        <v>6.4162852929999996</v>
      </c>
      <c r="T61" s="20">
        <v>55.588912971839697</v>
      </c>
      <c r="U61" s="20">
        <v>0</v>
      </c>
      <c r="V61" s="8">
        <f t="shared" si="7"/>
        <v>0.25159689199999846</v>
      </c>
      <c r="W61" s="15">
        <f t="shared" si="8"/>
        <v>24.949616073999778</v>
      </c>
      <c r="X61" s="15">
        <f t="shared" si="9"/>
        <v>6.9498238999999629E-2</v>
      </c>
      <c r="Y61" s="15">
        <f t="shared" si="10"/>
        <v>-0.40636162200000037</v>
      </c>
      <c r="Z61" s="15">
        <f t="shared" si="11"/>
        <v>-0.19467317599999934</v>
      </c>
      <c r="AA61" s="15">
        <f t="shared" si="12"/>
        <v>0.28034098607870561</v>
      </c>
      <c r="AB61" s="16">
        <f t="shared" si="13"/>
        <v>0</v>
      </c>
    </row>
    <row r="62" spans="2:28" x14ac:dyDescent="0.25">
      <c r="B62" s="19">
        <v>45939</v>
      </c>
      <c r="C62" s="46" t="s">
        <v>64</v>
      </c>
      <c r="D62" s="49" t="s">
        <v>71</v>
      </c>
      <c r="E62" s="49" t="s">
        <v>72</v>
      </c>
      <c r="F62" s="20">
        <v>0.38209100000000001</v>
      </c>
      <c r="G62" s="20">
        <v>0.66981500000000005</v>
      </c>
      <c r="H62" s="6">
        <v>41.092491819000003</v>
      </c>
      <c r="I62" s="20">
        <v>3735.4835230439999</v>
      </c>
      <c r="J62" s="20">
        <v>7.3137741979999999</v>
      </c>
      <c r="K62" s="20">
        <v>8.8171657969999995</v>
      </c>
      <c r="L62" s="20">
        <v>4.6970710850000001</v>
      </c>
      <c r="M62" s="20">
        <v>53.271892500855103</v>
      </c>
      <c r="N62" s="20">
        <v>0</v>
      </c>
      <c r="O62" s="6">
        <v>41.003677175999997</v>
      </c>
      <c r="P62" s="20">
        <v>3726.645584849</v>
      </c>
      <c r="Q62" s="20">
        <v>7.2819788460000003</v>
      </c>
      <c r="R62" s="20">
        <v>9.1939742839999994</v>
      </c>
      <c r="S62" s="20">
        <v>4.8766928079999996</v>
      </c>
      <c r="T62" s="20">
        <v>53.042271572227101</v>
      </c>
      <c r="U62" s="20">
        <v>0</v>
      </c>
      <c r="V62" s="8">
        <f t="shared" si="7"/>
        <v>8.8814643000006299E-2</v>
      </c>
      <c r="W62" s="15">
        <f t="shared" si="8"/>
        <v>8.8379381949998788</v>
      </c>
      <c r="X62" s="15">
        <f t="shared" si="9"/>
        <v>3.179535199999961E-2</v>
      </c>
      <c r="Y62" s="15">
        <f t="shared" si="10"/>
        <v>-0.37680848699999991</v>
      </c>
      <c r="Z62" s="15">
        <f t="shared" si="11"/>
        <v>-0.17962172299999946</v>
      </c>
      <c r="AA62" s="15">
        <f t="shared" si="12"/>
        <v>0.22962092862800176</v>
      </c>
      <c r="AB62" s="16">
        <f t="shared" si="13"/>
        <v>0</v>
      </c>
    </row>
    <row r="63" spans="2:28" x14ac:dyDescent="0.25">
      <c r="B63" s="19">
        <v>45939</v>
      </c>
      <c r="C63" s="46" t="s">
        <v>64</v>
      </c>
      <c r="D63" s="49" t="s">
        <v>69</v>
      </c>
      <c r="E63" s="49" t="s">
        <v>70</v>
      </c>
      <c r="F63" s="20">
        <v>0.20508499999999999</v>
      </c>
      <c r="G63" s="20">
        <v>0.35794999999999999</v>
      </c>
      <c r="H63" s="6">
        <v>34.408200039</v>
      </c>
      <c r="I63" s="20">
        <v>3067.4328488709998</v>
      </c>
      <c r="J63" s="20">
        <v>8.4777600680000003</v>
      </c>
      <c r="K63" s="20">
        <v>7.3879715020000001</v>
      </c>
      <c r="L63" s="20">
        <v>3.799914786</v>
      </c>
      <c r="M63" s="20">
        <v>51.4338040552989</v>
      </c>
      <c r="N63" s="20">
        <v>0</v>
      </c>
      <c r="O63" s="6">
        <v>34.245805187000002</v>
      </c>
      <c r="P63" s="20">
        <v>3051.3194382769998</v>
      </c>
      <c r="Q63" s="20">
        <v>8.4362370949999992</v>
      </c>
      <c r="R63" s="20">
        <v>7.7323602559999998</v>
      </c>
      <c r="S63" s="20">
        <v>3.9535011070000001</v>
      </c>
      <c r="T63" s="20">
        <v>51.129292688248</v>
      </c>
      <c r="U63" s="20">
        <v>0</v>
      </c>
      <c r="V63" s="8">
        <f t="shared" si="7"/>
        <v>0.16239485199999848</v>
      </c>
      <c r="W63" s="15">
        <f t="shared" si="8"/>
        <v>16.113410594000015</v>
      </c>
      <c r="X63" s="15">
        <f t="shared" si="9"/>
        <v>4.1522973000001073E-2</v>
      </c>
      <c r="Y63" s="15">
        <f t="shared" si="10"/>
        <v>-0.34438875399999969</v>
      </c>
      <c r="Z63" s="15">
        <f t="shared" si="11"/>
        <v>-0.15358632100000014</v>
      </c>
      <c r="AA63" s="15">
        <f t="shared" si="12"/>
        <v>0.30451136705089965</v>
      </c>
      <c r="AB63" s="16">
        <f t="shared" si="13"/>
        <v>0</v>
      </c>
    </row>
    <row r="64" spans="2:28" x14ac:dyDescent="0.25">
      <c r="B64" s="19">
        <v>45939</v>
      </c>
      <c r="C64" s="46" t="s">
        <v>64</v>
      </c>
      <c r="D64" s="49" t="s">
        <v>67</v>
      </c>
      <c r="E64" s="49" t="s">
        <v>68</v>
      </c>
      <c r="F64" s="20">
        <v>1.8939699999999999</v>
      </c>
      <c r="G64" s="20">
        <v>4.5999999999999996</v>
      </c>
      <c r="H64" s="6">
        <v>41.778113435999998</v>
      </c>
      <c r="I64" s="20">
        <v>3806.4719864859999</v>
      </c>
      <c r="J64" s="20">
        <v>5.1906086709999997</v>
      </c>
      <c r="K64" s="20">
        <v>6.350598744</v>
      </c>
      <c r="L64" s="20">
        <v>3.2038156189999998</v>
      </c>
      <c r="M64" s="20">
        <v>50.449032416462202</v>
      </c>
      <c r="N64" s="20">
        <v>0</v>
      </c>
      <c r="O64" s="6">
        <v>41.731132571000003</v>
      </c>
      <c r="P64" s="20">
        <v>3801.8020581810001</v>
      </c>
      <c r="Q64" s="20">
        <v>5.1629885160000004</v>
      </c>
      <c r="R64" s="20">
        <v>6.5946386620000004</v>
      </c>
      <c r="S64" s="20">
        <v>3.314674916</v>
      </c>
      <c r="T64" s="20">
        <v>50.263177194226103</v>
      </c>
      <c r="U64" s="20">
        <v>0</v>
      </c>
      <c r="V64" s="8">
        <f t="shared" si="7"/>
        <v>4.6980864999994765E-2</v>
      </c>
      <c r="W64" s="15">
        <f t="shared" si="8"/>
        <v>4.6699283049997575</v>
      </c>
      <c r="X64" s="15">
        <f t="shared" si="9"/>
        <v>2.7620154999999258E-2</v>
      </c>
      <c r="Y64" s="15">
        <f t="shared" si="10"/>
        <v>-0.24403991800000036</v>
      </c>
      <c r="Z64" s="15">
        <f t="shared" si="11"/>
        <v>-0.11085929700000019</v>
      </c>
      <c r="AA64" s="15">
        <f t="shared" si="12"/>
        <v>0.18585522223609985</v>
      </c>
      <c r="AB64" s="16">
        <f t="shared" si="13"/>
        <v>0</v>
      </c>
    </row>
    <row r="65" spans="2:28" x14ac:dyDescent="0.25">
      <c r="B65" s="19">
        <v>45939</v>
      </c>
      <c r="C65" s="46" t="s">
        <v>64</v>
      </c>
      <c r="D65" s="49" t="s">
        <v>65</v>
      </c>
      <c r="E65" s="49" t="s">
        <v>66</v>
      </c>
      <c r="F65" s="20">
        <v>2.3939699999999999</v>
      </c>
      <c r="G65" s="20">
        <v>5.0639665599999999</v>
      </c>
      <c r="H65" s="6">
        <v>48.130206098000002</v>
      </c>
      <c r="I65" s="20">
        <v>4442.6511087609997</v>
      </c>
      <c r="J65" s="20">
        <v>5.2998994399999999</v>
      </c>
      <c r="K65" s="20">
        <v>9.9312139229999996</v>
      </c>
      <c r="L65" s="20">
        <v>5.3618394560000002</v>
      </c>
      <c r="M65" s="20">
        <v>53.989769000769897</v>
      </c>
      <c r="N65" s="20">
        <v>0</v>
      </c>
      <c r="O65" s="6">
        <v>48.065792215999998</v>
      </c>
      <c r="P65" s="20">
        <v>4436.2370853169996</v>
      </c>
      <c r="Q65" s="20">
        <v>5.2656581329999996</v>
      </c>
      <c r="R65" s="20">
        <v>10.351719187</v>
      </c>
      <c r="S65" s="20">
        <v>5.5631877550000004</v>
      </c>
      <c r="T65" s="20">
        <v>53.741679565520101</v>
      </c>
      <c r="U65" s="20">
        <v>0</v>
      </c>
      <c r="V65" s="8">
        <f t="shared" si="7"/>
        <v>6.4413882000003753E-2</v>
      </c>
      <c r="W65" s="15">
        <f t="shared" si="8"/>
        <v>6.4140234440001223</v>
      </c>
      <c r="X65" s="15">
        <f t="shared" si="9"/>
        <v>3.4241307000000276E-2</v>
      </c>
      <c r="Y65" s="15">
        <f t="shared" si="10"/>
        <v>-0.42050526400000088</v>
      </c>
      <c r="Z65" s="15">
        <f t="shared" si="11"/>
        <v>-0.20134829900000017</v>
      </c>
      <c r="AA65" s="15">
        <f t="shared" si="12"/>
        <v>0.24808943524979554</v>
      </c>
      <c r="AB65" s="16">
        <f t="shared" si="13"/>
        <v>0</v>
      </c>
    </row>
    <row r="66" spans="2:28" x14ac:dyDescent="0.25">
      <c r="B66" s="19">
        <v>45939</v>
      </c>
      <c r="C66" s="42" t="s">
        <v>107</v>
      </c>
      <c r="D66" s="36" t="s">
        <v>200</v>
      </c>
      <c r="E66" s="36" t="s">
        <v>201</v>
      </c>
      <c r="F66" s="20">
        <v>7.6210000000000004</v>
      </c>
      <c r="G66" s="20">
        <v>101.59668000000001</v>
      </c>
      <c r="H66" s="6">
        <v>6.7856902080000001</v>
      </c>
      <c r="I66" s="20">
        <v>318.053950181</v>
      </c>
      <c r="J66" s="20">
        <v>2.4611111110000001</v>
      </c>
      <c r="K66" s="20">
        <v>6.3012932040000003</v>
      </c>
      <c r="L66" s="20">
        <v>5.9983737750000001</v>
      </c>
      <c r="M66" s="20">
        <v>95.192741883400899</v>
      </c>
      <c r="N66" s="20">
        <v>0</v>
      </c>
      <c r="O66" s="6">
        <v>6.7856902080000001</v>
      </c>
      <c r="P66" s="20">
        <v>318.053950181</v>
      </c>
      <c r="Q66" s="20">
        <v>2.4611111110000001</v>
      </c>
      <c r="R66" s="20">
        <v>6.5977198829999999</v>
      </c>
      <c r="S66" s="20">
        <v>6.2712798889999997</v>
      </c>
      <c r="T66" s="20">
        <v>95.0522301675595</v>
      </c>
      <c r="U66" s="20">
        <v>0</v>
      </c>
      <c r="V66" s="8">
        <f t="shared" si="7"/>
        <v>0</v>
      </c>
      <c r="W66" s="15">
        <f t="shared" si="8"/>
        <v>0</v>
      </c>
      <c r="X66" s="15">
        <f t="shared" si="9"/>
        <v>0</v>
      </c>
      <c r="Y66" s="15">
        <f t="shared" si="10"/>
        <v>-0.29642667899999964</v>
      </c>
      <c r="Z66" s="15">
        <f t="shared" si="11"/>
        <v>-0.27290611399999953</v>
      </c>
      <c r="AA66" s="15">
        <f t="shared" si="12"/>
        <v>0.14051171584139865</v>
      </c>
      <c r="AB66" s="16">
        <f t="shared" si="13"/>
        <v>0</v>
      </c>
    </row>
    <row r="67" spans="2:28" x14ac:dyDescent="0.25">
      <c r="B67" s="19">
        <v>45939</v>
      </c>
      <c r="C67" s="42" t="s">
        <v>107</v>
      </c>
      <c r="D67" s="36" t="s">
        <v>198</v>
      </c>
      <c r="E67" s="36" t="s">
        <v>199</v>
      </c>
      <c r="F67" s="20">
        <v>6.5919999999999996</v>
      </c>
      <c r="G67" s="20">
        <v>101.34925</v>
      </c>
      <c r="H67" s="6">
        <v>5.7981210460000003</v>
      </c>
      <c r="I67" s="20">
        <v>219.622680113</v>
      </c>
      <c r="J67" s="20">
        <v>2.2111111110000001</v>
      </c>
      <c r="K67" s="20">
        <v>8.7438631210000004</v>
      </c>
      <c r="L67" s="20">
        <v>8.3572444709999996</v>
      </c>
      <c r="M67" s="20">
        <v>95.578400020107097</v>
      </c>
      <c r="N67" s="20">
        <v>0</v>
      </c>
      <c r="O67" s="6">
        <v>5.7981210460000003</v>
      </c>
      <c r="P67" s="20">
        <v>219.622680113</v>
      </c>
      <c r="Q67" s="20">
        <v>2.2111111110000001</v>
      </c>
      <c r="R67" s="20">
        <v>9.0659434779999994</v>
      </c>
      <c r="S67" s="20">
        <v>8.6597652489999994</v>
      </c>
      <c r="T67" s="20">
        <v>95.519735701136298</v>
      </c>
      <c r="U67" s="20">
        <v>0</v>
      </c>
      <c r="V67" s="8">
        <f t="shared" si="7"/>
        <v>0</v>
      </c>
      <c r="W67" s="15">
        <f t="shared" si="8"/>
        <v>0</v>
      </c>
      <c r="X67" s="15">
        <f t="shared" si="9"/>
        <v>0</v>
      </c>
      <c r="Y67" s="15">
        <f t="shared" si="10"/>
        <v>-0.32208035699999904</v>
      </c>
      <c r="Z67" s="15">
        <f t="shared" si="11"/>
        <v>-0.30252077799999988</v>
      </c>
      <c r="AA67" s="15">
        <f t="shared" si="12"/>
        <v>5.866431897079849E-2</v>
      </c>
      <c r="AB67" s="16">
        <f t="shared" si="13"/>
        <v>0</v>
      </c>
    </row>
    <row r="68" spans="2:28" x14ac:dyDescent="0.25">
      <c r="B68" s="19">
        <v>45939</v>
      </c>
      <c r="C68" s="42" t="s">
        <v>107</v>
      </c>
      <c r="D68" s="36" t="s">
        <v>196</v>
      </c>
      <c r="E68" s="36" t="s">
        <v>197</v>
      </c>
      <c r="F68" s="20">
        <v>9.4822100000000002</v>
      </c>
      <c r="G68" s="20">
        <v>103.46875</v>
      </c>
      <c r="H68" s="6">
        <v>7.5820383490000003</v>
      </c>
      <c r="I68" s="20">
        <v>397.85543888900003</v>
      </c>
      <c r="J68" s="20">
        <v>2.2111111110000001</v>
      </c>
      <c r="K68" s="20">
        <v>8.7438631210000004</v>
      </c>
      <c r="L68" s="20">
        <v>8.3572444709999996</v>
      </c>
      <c r="M68" s="20">
        <v>95.578400020107097</v>
      </c>
      <c r="N68" s="20">
        <v>0</v>
      </c>
      <c r="O68" s="6">
        <v>7.5820275869999998</v>
      </c>
      <c r="P68" s="20">
        <v>397.85436280099998</v>
      </c>
      <c r="Q68" s="20">
        <v>2.2111111110000001</v>
      </c>
      <c r="R68" s="20">
        <v>9.0659434779999994</v>
      </c>
      <c r="S68" s="20">
        <v>8.6597652489999994</v>
      </c>
      <c r="T68" s="20">
        <v>95.519735701136298</v>
      </c>
      <c r="U68" s="20">
        <v>0</v>
      </c>
      <c r="V68" s="8">
        <f t="shared" ref="V68:V92" si="14">H68-O68</f>
        <v>1.0762000000497096E-5</v>
      </c>
      <c r="W68" s="15">
        <f t="shared" ref="W68:W92" si="15">I68-P68</f>
        <v>1.0760880000475481E-3</v>
      </c>
      <c r="X68" s="15">
        <f t="shared" ref="X68:X92" si="16">J68-Q68</f>
        <v>0</v>
      </c>
      <c r="Y68" s="15">
        <f t="shared" ref="Y68:Y92" si="17">K68-R68</f>
        <v>-0.32208035699999904</v>
      </c>
      <c r="Z68" s="15">
        <f t="shared" ref="Z68:Z92" si="18">L68-S68</f>
        <v>-0.30252077799999988</v>
      </c>
      <c r="AA68" s="15">
        <f t="shared" ref="AA68:AA92" si="19">M68-T68</f>
        <v>5.866431897079849E-2</v>
      </c>
      <c r="AB68" s="16">
        <f t="shared" ref="AB68:AB92" si="20">N68-U68</f>
        <v>0</v>
      </c>
    </row>
    <row r="69" spans="2:28" x14ac:dyDescent="0.25">
      <c r="B69" s="19">
        <v>45939</v>
      </c>
      <c r="C69" s="42" t="s">
        <v>107</v>
      </c>
      <c r="D69" s="36" t="s">
        <v>194</v>
      </c>
      <c r="E69" s="36" t="s">
        <v>195</v>
      </c>
      <c r="F69" s="20">
        <v>9.3759999999999994</v>
      </c>
      <c r="G69" s="20">
        <v>103.15625</v>
      </c>
      <c r="H69" s="6">
        <v>7.4136953060000002</v>
      </c>
      <c r="I69" s="20">
        <v>381.08324488</v>
      </c>
      <c r="J69" s="20">
        <v>1.9611111109999999</v>
      </c>
      <c r="K69" s="20">
        <v>8.6461052899999995</v>
      </c>
      <c r="L69" s="20">
        <v>8.2827900440000004</v>
      </c>
      <c r="M69" s="20">
        <v>95.797931741356393</v>
      </c>
      <c r="N69" s="20">
        <v>0</v>
      </c>
      <c r="O69" s="6">
        <v>7.4136953060000002</v>
      </c>
      <c r="P69" s="20">
        <v>381.08324488</v>
      </c>
      <c r="Q69" s="20">
        <v>1.9611111109999999</v>
      </c>
      <c r="R69" s="20">
        <v>8.9779842760000008</v>
      </c>
      <c r="S69" s="20">
        <v>8.5953094819999993</v>
      </c>
      <c r="T69" s="20">
        <v>95.737631274060405</v>
      </c>
      <c r="U69" s="20">
        <v>0</v>
      </c>
      <c r="V69" s="8">
        <f t="shared" si="14"/>
        <v>0</v>
      </c>
      <c r="W69" s="15">
        <f t="shared" si="15"/>
        <v>0</v>
      </c>
      <c r="X69" s="15">
        <f t="shared" si="16"/>
        <v>0</v>
      </c>
      <c r="Y69" s="15">
        <f t="shared" si="17"/>
        <v>-0.33187898600000132</v>
      </c>
      <c r="Z69" s="15">
        <f t="shared" si="18"/>
        <v>-0.31251943799999893</v>
      </c>
      <c r="AA69" s="15">
        <f t="shared" si="19"/>
        <v>6.0300467295988369E-2</v>
      </c>
      <c r="AB69" s="16">
        <f t="shared" si="20"/>
        <v>0</v>
      </c>
    </row>
    <row r="70" spans="2:28" x14ac:dyDescent="0.25">
      <c r="B70" s="19">
        <v>45939</v>
      </c>
      <c r="C70" s="42" t="s">
        <v>107</v>
      </c>
      <c r="D70" s="36" t="s">
        <v>192</v>
      </c>
      <c r="E70" s="36" t="s">
        <v>193</v>
      </c>
      <c r="F70" s="20">
        <v>7.4980000000000002</v>
      </c>
      <c r="G70" s="20">
        <v>101.320705</v>
      </c>
      <c r="H70" s="6">
        <v>6.5962691639999997</v>
      </c>
      <c r="I70" s="20">
        <v>299.45660391899997</v>
      </c>
      <c r="J70" s="20">
        <v>1.9611111109999999</v>
      </c>
      <c r="K70" s="20">
        <v>8.6461052899999995</v>
      </c>
      <c r="L70" s="20">
        <v>8.2827900440000004</v>
      </c>
      <c r="M70" s="20">
        <v>95.797931741356393</v>
      </c>
      <c r="N70" s="20">
        <v>0</v>
      </c>
      <c r="O70" s="6">
        <v>6.5962691639999997</v>
      </c>
      <c r="P70" s="20">
        <v>299.45660391899997</v>
      </c>
      <c r="Q70" s="20">
        <v>1.9611111109999999</v>
      </c>
      <c r="R70" s="20">
        <v>8.9779842760000008</v>
      </c>
      <c r="S70" s="20">
        <v>8.5953094819999993</v>
      </c>
      <c r="T70" s="20">
        <v>95.737631274060405</v>
      </c>
      <c r="U70" s="20">
        <v>0</v>
      </c>
      <c r="V70" s="8">
        <f t="shared" si="14"/>
        <v>0</v>
      </c>
      <c r="W70" s="15">
        <f t="shared" si="15"/>
        <v>0</v>
      </c>
      <c r="X70" s="15">
        <f t="shared" si="16"/>
        <v>0</v>
      </c>
      <c r="Y70" s="15">
        <f t="shared" si="17"/>
        <v>-0.33187898600000132</v>
      </c>
      <c r="Z70" s="15">
        <f t="shared" si="18"/>
        <v>-0.31251943799999893</v>
      </c>
      <c r="AA70" s="15">
        <f t="shared" si="19"/>
        <v>6.0300467295988369E-2</v>
      </c>
      <c r="AB70" s="16">
        <f t="shared" si="20"/>
        <v>0</v>
      </c>
    </row>
    <row r="71" spans="2:28" x14ac:dyDescent="0.25">
      <c r="B71" s="19">
        <v>45939</v>
      </c>
      <c r="C71" s="42" t="s">
        <v>107</v>
      </c>
      <c r="D71" s="36" t="s">
        <v>190</v>
      </c>
      <c r="E71" s="36" t="s">
        <v>191</v>
      </c>
      <c r="F71" s="20">
        <v>8.8670000000000009</v>
      </c>
      <c r="G71" s="20">
        <v>103.92393</v>
      </c>
      <c r="H71" s="6">
        <v>6.0250934220000003</v>
      </c>
      <c r="I71" s="20">
        <v>240.32760392099999</v>
      </c>
      <c r="J71" s="20">
        <v>1.627777778</v>
      </c>
      <c r="K71" s="20">
        <v>13.061991859999999</v>
      </c>
      <c r="L71" s="20">
        <v>12.528910509999999</v>
      </c>
      <c r="M71" s="20">
        <v>95.918835689735303</v>
      </c>
      <c r="N71" s="20">
        <v>0</v>
      </c>
      <c r="O71" s="6">
        <v>6.0250934220000003</v>
      </c>
      <c r="P71" s="20">
        <v>240.32760392099999</v>
      </c>
      <c r="Q71" s="20">
        <v>1.627777778</v>
      </c>
      <c r="R71" s="20">
        <v>13.487789947</v>
      </c>
      <c r="S71" s="20">
        <v>12.936143680000001</v>
      </c>
      <c r="T71" s="20">
        <v>95.910032190835693</v>
      </c>
      <c r="U71" s="20">
        <v>0</v>
      </c>
      <c r="V71" s="8">
        <f t="shared" si="14"/>
        <v>0</v>
      </c>
      <c r="W71" s="15">
        <f t="shared" si="15"/>
        <v>0</v>
      </c>
      <c r="X71" s="15">
        <f t="shared" si="16"/>
        <v>0</v>
      </c>
      <c r="Y71" s="15">
        <f t="shared" si="17"/>
        <v>-0.42579808700000044</v>
      </c>
      <c r="Z71" s="15">
        <f t="shared" si="18"/>
        <v>-0.40723317000000137</v>
      </c>
      <c r="AA71" s="15">
        <f t="shared" si="19"/>
        <v>8.8034988996099628E-3</v>
      </c>
      <c r="AB71" s="16">
        <f t="shared" si="20"/>
        <v>0</v>
      </c>
    </row>
    <row r="72" spans="2:28" x14ac:dyDescent="0.25">
      <c r="B72" s="19">
        <v>45939</v>
      </c>
      <c r="C72" s="44" t="s">
        <v>107</v>
      </c>
      <c r="D72" s="36" t="s">
        <v>188</v>
      </c>
      <c r="E72" s="36" t="s">
        <v>189</v>
      </c>
      <c r="F72" s="20">
        <v>8.3719999999999999</v>
      </c>
      <c r="G72" s="20">
        <v>101.645185</v>
      </c>
      <c r="H72" s="6">
        <v>7.273109872</v>
      </c>
      <c r="I72" s="20">
        <v>367.08467104300001</v>
      </c>
      <c r="J72" s="20">
        <v>1.9611111109999999</v>
      </c>
      <c r="K72" s="20">
        <v>7.9893482589999998</v>
      </c>
      <c r="L72" s="20">
        <v>7.8635235300000002</v>
      </c>
      <c r="M72" s="20">
        <v>98.425093951083497</v>
      </c>
      <c r="N72" s="20">
        <v>0</v>
      </c>
      <c r="O72" s="6">
        <v>7.273109872</v>
      </c>
      <c r="P72" s="20">
        <v>367.08467104300001</v>
      </c>
      <c r="Q72" s="20">
        <v>1.9611111109999999</v>
      </c>
      <c r="R72" s="20">
        <v>8.3288224789999994</v>
      </c>
      <c r="S72" s="20">
        <v>8.1946957919999992</v>
      </c>
      <c r="T72" s="20">
        <v>98.389608046777496</v>
      </c>
      <c r="U72" s="20">
        <v>0</v>
      </c>
      <c r="V72" s="8">
        <f t="shared" si="14"/>
        <v>0</v>
      </c>
      <c r="W72" s="15">
        <f t="shared" si="15"/>
        <v>0</v>
      </c>
      <c r="X72" s="15">
        <f t="shared" si="16"/>
        <v>0</v>
      </c>
      <c r="Y72" s="15">
        <f t="shared" si="17"/>
        <v>-0.3394742199999996</v>
      </c>
      <c r="Z72" s="15">
        <f t="shared" si="18"/>
        <v>-0.33117226199999905</v>
      </c>
      <c r="AA72" s="15">
        <f t="shared" si="19"/>
        <v>3.5485904306000293E-2</v>
      </c>
      <c r="AB72" s="16">
        <f t="shared" si="20"/>
        <v>0</v>
      </c>
    </row>
    <row r="73" spans="2:28" x14ac:dyDescent="0.25">
      <c r="B73" s="19">
        <v>45939</v>
      </c>
      <c r="C73" s="44" t="s">
        <v>107</v>
      </c>
      <c r="D73" s="36" t="s">
        <v>186</v>
      </c>
      <c r="E73" s="36" t="s">
        <v>187</v>
      </c>
      <c r="F73" s="20">
        <v>6.97</v>
      </c>
      <c r="G73" s="20">
        <v>101.00838</v>
      </c>
      <c r="H73" s="6">
        <v>6.4947740510000003</v>
      </c>
      <c r="I73" s="20">
        <v>288.52191855299998</v>
      </c>
      <c r="J73" s="20">
        <v>2.877777778</v>
      </c>
      <c r="K73" s="20">
        <v>2.366576416</v>
      </c>
      <c r="L73" s="20">
        <v>2.238297432</v>
      </c>
      <c r="M73" s="20">
        <v>94.579554535711196</v>
      </c>
      <c r="N73" s="20">
        <v>0</v>
      </c>
      <c r="O73" s="6">
        <v>6.4947740510000003</v>
      </c>
      <c r="P73" s="20">
        <v>288.52191855299998</v>
      </c>
      <c r="Q73" s="20">
        <v>2.877777778</v>
      </c>
      <c r="R73" s="20">
        <v>2.4453086260000001</v>
      </c>
      <c r="S73" s="20">
        <v>2.3081414179999999</v>
      </c>
      <c r="T73" s="20">
        <v>94.390597303687699</v>
      </c>
      <c r="U73" s="20">
        <v>0</v>
      </c>
      <c r="V73" s="8">
        <f t="shared" si="14"/>
        <v>0</v>
      </c>
      <c r="W73" s="15">
        <f t="shared" si="15"/>
        <v>0</v>
      </c>
      <c r="X73" s="15">
        <f t="shared" si="16"/>
        <v>0</v>
      </c>
      <c r="Y73" s="15">
        <f t="shared" si="17"/>
        <v>-7.873221000000008E-2</v>
      </c>
      <c r="Z73" s="15">
        <f t="shared" si="18"/>
        <v>-6.9843985999999969E-2</v>
      </c>
      <c r="AA73" s="15">
        <f t="shared" si="19"/>
        <v>0.18895723202349757</v>
      </c>
      <c r="AB73" s="16">
        <f t="shared" si="20"/>
        <v>0</v>
      </c>
    </row>
    <row r="74" spans="2:28" x14ac:dyDescent="0.25">
      <c r="B74" s="19">
        <v>45939</v>
      </c>
      <c r="C74" s="44" t="s">
        <v>107</v>
      </c>
      <c r="D74" s="36" t="s">
        <v>184</v>
      </c>
      <c r="E74" s="36" t="s">
        <v>185</v>
      </c>
      <c r="F74" s="20">
        <v>6.7320000000000002</v>
      </c>
      <c r="G74" s="20">
        <v>100.41677</v>
      </c>
      <c r="H74" s="6">
        <v>6.4481080549999996</v>
      </c>
      <c r="I74" s="20">
        <v>284.24315680000001</v>
      </c>
      <c r="J74" s="20">
        <v>2.5444444439999998</v>
      </c>
      <c r="K74" s="20">
        <v>2.363712053</v>
      </c>
      <c r="L74" s="20">
        <v>2.2312523679999998</v>
      </c>
      <c r="M74" s="20">
        <v>94.396115853795195</v>
      </c>
      <c r="N74" s="20">
        <v>0</v>
      </c>
      <c r="O74" s="6">
        <v>6.4481080549999996</v>
      </c>
      <c r="P74" s="20">
        <v>284.24315680000001</v>
      </c>
      <c r="Q74" s="20">
        <v>2.5444444439999998</v>
      </c>
      <c r="R74" s="20">
        <v>2.4580545150000002</v>
      </c>
      <c r="S74" s="20">
        <v>2.31439247</v>
      </c>
      <c r="T74" s="20">
        <v>94.155457329228497</v>
      </c>
      <c r="U74" s="20">
        <v>0</v>
      </c>
      <c r="V74" s="8">
        <f t="shared" si="14"/>
        <v>0</v>
      </c>
      <c r="W74" s="15">
        <f t="shared" si="15"/>
        <v>0</v>
      </c>
      <c r="X74" s="15">
        <f t="shared" si="16"/>
        <v>0</v>
      </c>
      <c r="Y74" s="15">
        <f t="shared" si="17"/>
        <v>-9.4342462000000182E-2</v>
      </c>
      <c r="Z74" s="15">
        <f t="shared" si="18"/>
        <v>-8.3140102000000216E-2</v>
      </c>
      <c r="AA74" s="15">
        <f t="shared" si="19"/>
        <v>0.24065852456669745</v>
      </c>
      <c r="AB74" s="16">
        <f t="shared" si="20"/>
        <v>0</v>
      </c>
    </row>
    <row r="75" spans="2:28" x14ac:dyDescent="0.25">
      <c r="B75" s="19">
        <v>45939</v>
      </c>
      <c r="C75" s="44" t="s">
        <v>107</v>
      </c>
      <c r="D75" s="36" t="s">
        <v>182</v>
      </c>
      <c r="E75" s="36" t="s">
        <v>183</v>
      </c>
      <c r="F75" s="20">
        <v>6.5640000000000001</v>
      </c>
      <c r="G75" s="20">
        <v>100.78050500000001</v>
      </c>
      <c r="H75" s="6">
        <v>6.2976779360000004</v>
      </c>
      <c r="I75" s="20">
        <v>263.22760325500002</v>
      </c>
      <c r="J75" s="20">
        <v>3.9611111110000001</v>
      </c>
      <c r="K75" s="20">
        <v>2.7666482270000001</v>
      </c>
      <c r="L75" s="20">
        <v>2.5772778550000002</v>
      </c>
      <c r="M75" s="20">
        <v>93.1552421391373</v>
      </c>
      <c r="N75" s="20">
        <v>0</v>
      </c>
      <c r="O75" s="6">
        <v>6.2976779360000004</v>
      </c>
      <c r="P75" s="20">
        <v>263.22760325500002</v>
      </c>
      <c r="Q75" s="20">
        <v>3.9611111110000001</v>
      </c>
      <c r="R75" s="20">
        <v>2.8882609019999999</v>
      </c>
      <c r="S75" s="20">
        <v>2.6809686410000002</v>
      </c>
      <c r="T75" s="20">
        <v>92.822938507513001</v>
      </c>
      <c r="U75" s="20">
        <v>0</v>
      </c>
      <c r="V75" s="8">
        <f t="shared" si="14"/>
        <v>0</v>
      </c>
      <c r="W75" s="15">
        <f t="shared" si="15"/>
        <v>0</v>
      </c>
      <c r="X75" s="15">
        <f t="shared" si="16"/>
        <v>0</v>
      </c>
      <c r="Y75" s="15">
        <f t="shared" si="17"/>
        <v>-0.12161267499999973</v>
      </c>
      <c r="Z75" s="15">
        <f t="shared" si="18"/>
        <v>-0.10369078600000003</v>
      </c>
      <c r="AA75" s="15">
        <f t="shared" si="19"/>
        <v>0.3323036316242991</v>
      </c>
      <c r="AB75" s="16">
        <f t="shared" si="20"/>
        <v>0</v>
      </c>
    </row>
    <row r="76" spans="2:28" x14ac:dyDescent="0.25">
      <c r="B76" s="19">
        <v>45939</v>
      </c>
      <c r="C76" s="45" t="s">
        <v>107</v>
      </c>
      <c r="D76" s="36" t="s">
        <v>180</v>
      </c>
      <c r="E76" s="36" t="s">
        <v>181</v>
      </c>
      <c r="F76" s="20">
        <v>7.8560299999999996</v>
      </c>
      <c r="G76" s="20">
        <v>101.39966</v>
      </c>
      <c r="H76" s="6">
        <v>6.1455939009999998</v>
      </c>
      <c r="I76" s="20">
        <v>252.58528518599999</v>
      </c>
      <c r="J76" s="20">
        <v>1.627777778</v>
      </c>
      <c r="K76" s="20">
        <v>9.1249627160000006</v>
      </c>
      <c r="L76" s="20">
        <v>8.7572618589999998</v>
      </c>
      <c r="M76" s="20">
        <v>95.970385102448006</v>
      </c>
      <c r="N76" s="20">
        <v>0</v>
      </c>
      <c r="O76" s="6">
        <v>6.1455939009999998</v>
      </c>
      <c r="P76" s="20">
        <v>252.58528518599999</v>
      </c>
      <c r="Q76" s="20">
        <v>1.627777778</v>
      </c>
      <c r="R76" s="20">
        <v>9.5399699529999999</v>
      </c>
      <c r="S76" s="20">
        <v>9.1521355750000009</v>
      </c>
      <c r="T76" s="20">
        <v>95.934637321598302</v>
      </c>
      <c r="U76" s="20">
        <v>0</v>
      </c>
      <c r="V76" s="8">
        <f t="shared" si="14"/>
        <v>0</v>
      </c>
      <c r="W76" s="15">
        <f t="shared" si="15"/>
        <v>0</v>
      </c>
      <c r="X76" s="15">
        <f t="shared" si="16"/>
        <v>0</v>
      </c>
      <c r="Y76" s="15">
        <f t="shared" si="17"/>
        <v>-0.41500723699999931</v>
      </c>
      <c r="Z76" s="15">
        <f t="shared" si="18"/>
        <v>-0.3948737160000011</v>
      </c>
      <c r="AA76" s="15">
        <f t="shared" si="19"/>
        <v>3.5747780849703759E-2</v>
      </c>
      <c r="AB76" s="16">
        <f t="shared" si="20"/>
        <v>0</v>
      </c>
    </row>
    <row r="77" spans="2:28" x14ac:dyDescent="0.25">
      <c r="B77" s="19">
        <v>45939</v>
      </c>
      <c r="C77" s="45" t="s">
        <v>107</v>
      </c>
      <c r="D77" s="36" t="s">
        <v>138</v>
      </c>
      <c r="E77" s="36" t="s">
        <v>139</v>
      </c>
      <c r="F77" s="20">
        <v>5.1713329999999997</v>
      </c>
      <c r="G77" s="20">
        <v>273.84734500000002</v>
      </c>
      <c r="H77" s="6">
        <v>13.328572745000001</v>
      </c>
      <c r="I77" s="20">
        <v>946.15556435899998</v>
      </c>
      <c r="J77" s="20">
        <v>7.8086495280000001</v>
      </c>
      <c r="K77" s="20">
        <v>6.3121631410000001</v>
      </c>
      <c r="L77" s="20">
        <v>5.0720254550000003</v>
      </c>
      <c r="M77" s="20">
        <v>80.353206051586099</v>
      </c>
      <c r="N77" s="20">
        <v>26.954672285000001</v>
      </c>
      <c r="O77" s="6">
        <v>13.327848759</v>
      </c>
      <c r="P77" s="20">
        <v>946.08192437399998</v>
      </c>
      <c r="Q77" s="20">
        <v>7.807887794</v>
      </c>
      <c r="R77" s="20">
        <v>6.3117773030000004</v>
      </c>
      <c r="S77" s="20">
        <v>5.0715030189999997</v>
      </c>
      <c r="T77" s="20">
        <v>80.349840869536095</v>
      </c>
      <c r="U77" s="20">
        <v>26.953745369</v>
      </c>
      <c r="V77" s="8">
        <f t="shared" si="14"/>
        <v>7.239860000005649E-4</v>
      </c>
      <c r="W77" s="15">
        <f t="shared" si="15"/>
        <v>7.3639984999999797E-2</v>
      </c>
      <c r="X77" s="15">
        <f t="shared" si="16"/>
        <v>7.6173400000012492E-4</v>
      </c>
      <c r="Y77" s="15">
        <f t="shared" si="17"/>
        <v>3.8583799999969415E-4</v>
      </c>
      <c r="Z77" s="15">
        <f t="shared" si="18"/>
        <v>5.2243600000068113E-4</v>
      </c>
      <c r="AA77" s="15">
        <f t="shared" si="19"/>
        <v>3.365182050004023E-3</v>
      </c>
      <c r="AB77" s="16">
        <f t="shared" si="20"/>
        <v>9.2691600000094354E-4</v>
      </c>
    </row>
    <row r="78" spans="2:28" x14ac:dyDescent="0.25">
      <c r="B78" s="19">
        <v>45939</v>
      </c>
      <c r="C78" s="45" t="s">
        <v>107</v>
      </c>
      <c r="D78" s="36" t="s">
        <v>136</v>
      </c>
      <c r="E78" s="36" t="s">
        <v>137</v>
      </c>
      <c r="F78" s="20">
        <v>29.141919999999999</v>
      </c>
      <c r="G78" s="20">
        <v>152.53473</v>
      </c>
      <c r="H78" s="6">
        <v>12.478246327000001</v>
      </c>
      <c r="I78" s="20">
        <v>864.17631420099997</v>
      </c>
      <c r="J78" s="20">
        <v>5.6308454880000003</v>
      </c>
      <c r="K78" s="20">
        <v>5.712862382</v>
      </c>
      <c r="L78" s="20">
        <v>4.6001437679999997</v>
      </c>
      <c r="M78" s="20">
        <v>80.5225727560682</v>
      </c>
      <c r="N78" s="20">
        <v>49.160412925999999</v>
      </c>
      <c r="O78" s="6">
        <v>12.476862086000001</v>
      </c>
      <c r="P78" s="20">
        <v>864.03599153799996</v>
      </c>
      <c r="Q78" s="20">
        <v>5.6307562889999998</v>
      </c>
      <c r="R78" s="20">
        <v>5.7138369669999998</v>
      </c>
      <c r="S78" s="20">
        <v>4.6003288759999998</v>
      </c>
      <c r="T78" s="20">
        <v>80.512078005882699</v>
      </c>
      <c r="U78" s="20">
        <v>49.161416647000003</v>
      </c>
      <c r="V78" s="8">
        <f t="shared" si="14"/>
        <v>1.3842410000002303E-3</v>
      </c>
      <c r="W78" s="15">
        <f t="shared" si="15"/>
        <v>0.14032266300000629</v>
      </c>
      <c r="X78" s="15">
        <f t="shared" si="16"/>
        <v>8.9199000000483863E-5</v>
      </c>
      <c r="Y78" s="15">
        <f t="shared" si="17"/>
        <v>-9.7458499999980575E-4</v>
      </c>
      <c r="Z78" s="15">
        <f t="shared" si="18"/>
        <v>-1.8510800000015593E-4</v>
      </c>
      <c r="AA78" s="15">
        <f t="shared" si="19"/>
        <v>1.0494750185500834E-2</v>
      </c>
      <c r="AB78" s="16">
        <f t="shared" si="20"/>
        <v>-1.0037210000035657E-3</v>
      </c>
    </row>
    <row r="79" spans="2:28" x14ac:dyDescent="0.25">
      <c r="B79" s="19">
        <v>45939</v>
      </c>
      <c r="C79" s="45" t="s">
        <v>107</v>
      </c>
      <c r="D79" s="36" t="s">
        <v>134</v>
      </c>
      <c r="E79" s="36" t="s">
        <v>135</v>
      </c>
      <c r="F79" s="20">
        <v>4.3237920000000001</v>
      </c>
      <c r="G79" s="20">
        <v>8.3537599999999994</v>
      </c>
      <c r="H79" s="6">
        <v>10.683124253000001</v>
      </c>
      <c r="I79" s="20">
        <v>675.568927411</v>
      </c>
      <c r="J79" s="20">
        <v>5.1535416879999998</v>
      </c>
      <c r="K79" s="20">
        <v>8.0399430269999996</v>
      </c>
      <c r="L79" s="20">
        <v>6.5951494239999997</v>
      </c>
      <c r="M79" s="20">
        <v>82.029802970642393</v>
      </c>
      <c r="N79" s="20">
        <v>0</v>
      </c>
      <c r="O79" s="6">
        <v>10.686875899</v>
      </c>
      <c r="P79" s="20">
        <v>675.95184044600001</v>
      </c>
      <c r="Q79" s="20">
        <v>5.153601267</v>
      </c>
      <c r="R79" s="20">
        <v>8.0388297949999998</v>
      </c>
      <c r="S79" s="20">
        <v>6.5938368159999996</v>
      </c>
      <c r="T79" s="20">
        <v>82.024834262584406</v>
      </c>
      <c r="U79" s="20">
        <v>0</v>
      </c>
      <c r="V79" s="8">
        <f t="shared" si="14"/>
        <v>-3.7516459999995533E-3</v>
      </c>
      <c r="W79" s="15">
        <f t="shared" si="15"/>
        <v>-0.3829130350000014</v>
      </c>
      <c r="X79" s="15">
        <f t="shared" si="16"/>
        <v>-5.9579000000198334E-5</v>
      </c>
      <c r="Y79" s="15">
        <f t="shared" si="17"/>
        <v>1.1132319999997975E-3</v>
      </c>
      <c r="Z79" s="15">
        <f t="shared" si="18"/>
        <v>1.3126080000001039E-3</v>
      </c>
      <c r="AA79" s="15">
        <f t="shared" si="19"/>
        <v>4.9687080579872145E-3</v>
      </c>
      <c r="AB79" s="16">
        <f t="shared" si="20"/>
        <v>0</v>
      </c>
    </row>
    <row r="80" spans="2:28" x14ac:dyDescent="0.25">
      <c r="B80" s="19">
        <v>45939</v>
      </c>
      <c r="C80" s="45" t="s">
        <v>107</v>
      </c>
      <c r="D80" s="36" t="s">
        <v>132</v>
      </c>
      <c r="E80" s="36" t="s">
        <v>133</v>
      </c>
      <c r="F80" s="20">
        <v>0</v>
      </c>
      <c r="G80" s="20">
        <v>10.582115</v>
      </c>
      <c r="H80" s="6">
        <v>10.013739585</v>
      </c>
      <c r="I80" s="20">
        <v>531.88776213400001</v>
      </c>
      <c r="J80" s="20">
        <v>22.796694151000001</v>
      </c>
      <c r="K80" s="20">
        <v>8.0399430269999996</v>
      </c>
      <c r="L80" s="20">
        <v>6.5951494239999997</v>
      </c>
      <c r="M80" s="20">
        <v>82.029802970642393</v>
      </c>
      <c r="N80" s="20">
        <v>6.7008634169999999</v>
      </c>
      <c r="O80" s="6">
        <v>10.013604924999999</v>
      </c>
      <c r="P80" s="20">
        <v>531.87407230700001</v>
      </c>
      <c r="Q80" s="20">
        <v>22.797007795999999</v>
      </c>
      <c r="R80" s="20">
        <v>8.0388297949999998</v>
      </c>
      <c r="S80" s="20">
        <v>6.5938368159999996</v>
      </c>
      <c r="T80" s="20">
        <v>82.024834262584406</v>
      </c>
      <c r="U80" s="20">
        <v>6.7003522469999997</v>
      </c>
      <c r="V80" s="8">
        <f t="shared" si="14"/>
        <v>1.3466000000050826E-4</v>
      </c>
      <c r="W80" s="15">
        <f t="shared" si="15"/>
        <v>1.3689827000007426E-2</v>
      </c>
      <c r="X80" s="15">
        <f t="shared" si="16"/>
        <v>-3.1364499999853024E-4</v>
      </c>
      <c r="Y80" s="15">
        <f t="shared" si="17"/>
        <v>1.1132319999997975E-3</v>
      </c>
      <c r="Z80" s="15">
        <f t="shared" si="18"/>
        <v>1.3126080000001039E-3</v>
      </c>
      <c r="AA80" s="15">
        <f t="shared" si="19"/>
        <v>4.9687080579872145E-3</v>
      </c>
      <c r="AB80" s="16">
        <f t="shared" si="20"/>
        <v>5.1117000000022728E-4</v>
      </c>
    </row>
    <row r="81" spans="2:28" x14ac:dyDescent="0.25">
      <c r="B81" s="19">
        <v>45939</v>
      </c>
      <c r="C81" s="45" t="s">
        <v>107</v>
      </c>
      <c r="D81" s="36" t="s">
        <v>130</v>
      </c>
      <c r="E81" s="36" t="s">
        <v>131</v>
      </c>
      <c r="F81" s="20">
        <v>2.0804800000000001</v>
      </c>
      <c r="G81" s="20">
        <v>4.2252450000000001</v>
      </c>
      <c r="H81" s="6">
        <v>-0.62236936600000003</v>
      </c>
      <c r="I81" s="20">
        <v>-448.70669251100003</v>
      </c>
      <c r="J81" s="20">
        <v>5.7124978039999998</v>
      </c>
      <c r="K81" s="20">
        <v>6.3107799059999996</v>
      </c>
      <c r="L81" s="20">
        <v>5.123930852</v>
      </c>
      <c r="M81" s="20">
        <v>81.193306189119397</v>
      </c>
      <c r="N81" s="20">
        <v>0</v>
      </c>
      <c r="O81" s="6">
        <v>-0.62236135199999998</v>
      </c>
      <c r="P81" s="20">
        <v>-448.70589595000001</v>
      </c>
      <c r="Q81" s="20">
        <v>5.7124979720000004</v>
      </c>
      <c r="R81" s="20">
        <v>6.3107788950000003</v>
      </c>
      <c r="S81" s="20">
        <v>5.1239300590000001</v>
      </c>
      <c r="T81" s="20">
        <v>81.193306630654803</v>
      </c>
      <c r="U81" s="20">
        <v>0</v>
      </c>
      <c r="V81" s="8">
        <f t="shared" si="14"/>
        <v>-8.0140000000561429E-6</v>
      </c>
      <c r="W81" s="15">
        <f t="shared" si="15"/>
        <v>-7.9656100001557206E-4</v>
      </c>
      <c r="X81" s="15">
        <f t="shared" si="16"/>
        <v>-1.6800000057770603E-7</v>
      </c>
      <c r="Y81" s="15">
        <f t="shared" si="17"/>
        <v>1.0109999992735652E-6</v>
      </c>
      <c r="Z81" s="15">
        <f t="shared" si="18"/>
        <v>7.9299999988791114E-7</v>
      </c>
      <c r="AA81" s="15">
        <f t="shared" si="19"/>
        <v>-4.4153540557090309E-7</v>
      </c>
      <c r="AB81" s="16">
        <f t="shared" si="20"/>
        <v>0</v>
      </c>
    </row>
    <row r="82" spans="2:28" x14ac:dyDescent="0.25">
      <c r="B82" s="13">
        <v>45939</v>
      </c>
      <c r="C82" s="23" t="s">
        <v>107</v>
      </c>
      <c r="D82" s="36" t="s">
        <v>128</v>
      </c>
      <c r="E82" s="36" t="s">
        <v>129</v>
      </c>
      <c r="F82" s="15">
        <v>8.5025270000000006</v>
      </c>
      <c r="G82" s="15">
        <v>76.471429999999998</v>
      </c>
      <c r="H82" s="6">
        <v>10.872767721000001</v>
      </c>
      <c r="I82" s="15">
        <v>655.82004200899996</v>
      </c>
      <c r="J82" s="15">
        <v>21.454237594999999</v>
      </c>
      <c r="K82" s="15">
        <v>6.3107799059999996</v>
      </c>
      <c r="L82" s="15">
        <v>5.123930852</v>
      </c>
      <c r="M82" s="15">
        <v>81.193306189119397</v>
      </c>
      <c r="N82" s="15">
        <v>5.3394633029999996</v>
      </c>
      <c r="O82" s="6">
        <v>10.872767726999999</v>
      </c>
      <c r="P82" s="15">
        <v>655.82004216200005</v>
      </c>
      <c r="Q82" s="15">
        <v>21.454237916</v>
      </c>
      <c r="R82" s="15">
        <v>6.3107788950000003</v>
      </c>
      <c r="S82" s="15">
        <v>5.1239300590000001</v>
      </c>
      <c r="T82" s="15">
        <v>81.193306630654803</v>
      </c>
      <c r="U82" s="15">
        <v>5.3394632599999996</v>
      </c>
      <c r="V82" s="8">
        <f t="shared" si="14"/>
        <v>-5.9999987200853866E-9</v>
      </c>
      <c r="W82" s="15">
        <f t="shared" si="15"/>
        <v>-1.5300008726626402E-7</v>
      </c>
      <c r="X82" s="15">
        <f t="shared" si="16"/>
        <v>-3.2100000169066334E-7</v>
      </c>
      <c r="Y82" s="15">
        <f t="shared" si="17"/>
        <v>1.0109999992735652E-6</v>
      </c>
      <c r="Z82" s="15">
        <f t="shared" si="18"/>
        <v>7.9299999988791114E-7</v>
      </c>
      <c r="AA82" s="15">
        <f t="shared" si="19"/>
        <v>-4.4153540557090309E-7</v>
      </c>
      <c r="AB82" s="16">
        <f t="shared" si="20"/>
        <v>4.3000000005122274E-8</v>
      </c>
    </row>
    <row r="83" spans="2:28" x14ac:dyDescent="0.25">
      <c r="B83" s="19">
        <v>45939</v>
      </c>
      <c r="C83" s="46" t="s">
        <v>107</v>
      </c>
      <c r="D83" s="36" t="s">
        <v>126</v>
      </c>
      <c r="E83" s="36" t="s">
        <v>127</v>
      </c>
      <c r="F83" s="20">
        <v>4.6363060000000003</v>
      </c>
      <c r="G83" s="20">
        <v>8.8111149999999991</v>
      </c>
      <c r="H83" s="6">
        <v>10.291707812</v>
      </c>
      <c r="I83" s="20">
        <v>636.04385049799998</v>
      </c>
      <c r="J83" s="20">
        <v>5.0985248600000004</v>
      </c>
      <c r="K83" s="20">
        <v>8.6129844149999997</v>
      </c>
      <c r="L83" s="20">
        <v>7.0557104500000003</v>
      </c>
      <c r="M83" s="20">
        <v>81.919461478556499</v>
      </c>
      <c r="N83" s="20">
        <v>0</v>
      </c>
      <c r="O83" s="6">
        <v>10.301474904999999</v>
      </c>
      <c r="P83" s="20">
        <v>637.03874306199998</v>
      </c>
      <c r="Q83" s="20">
        <v>5.098703274</v>
      </c>
      <c r="R83" s="20">
        <v>8.6106074590000006</v>
      </c>
      <c r="S83" s="20">
        <v>7.0521268099999999</v>
      </c>
      <c r="T83" s="20">
        <v>81.900456426322805</v>
      </c>
      <c r="U83" s="20">
        <v>0</v>
      </c>
      <c r="V83" s="8">
        <f t="shared" si="14"/>
        <v>-9.7670929999988942E-3</v>
      </c>
      <c r="W83" s="15">
        <f t="shared" si="15"/>
        <v>-0.99489256399999704</v>
      </c>
      <c r="X83" s="15">
        <f t="shared" si="16"/>
        <v>-1.7841399999962704E-4</v>
      </c>
      <c r="Y83" s="15">
        <f t="shared" si="17"/>
        <v>2.3769559999990975E-3</v>
      </c>
      <c r="Z83" s="15">
        <f t="shared" si="18"/>
        <v>3.5836400000004431E-3</v>
      </c>
      <c r="AA83" s="15">
        <f t="shared" si="19"/>
        <v>1.9005052233694641E-2</v>
      </c>
      <c r="AB83" s="16">
        <f t="shared" si="20"/>
        <v>0</v>
      </c>
    </row>
    <row r="84" spans="2:28" x14ac:dyDescent="0.25">
      <c r="B84" s="19">
        <v>45939</v>
      </c>
      <c r="C84" s="46" t="s">
        <v>107</v>
      </c>
      <c r="D84" s="36" t="s">
        <v>124</v>
      </c>
      <c r="E84" s="36" t="s">
        <v>125</v>
      </c>
      <c r="F84" s="20">
        <v>0</v>
      </c>
      <c r="G84" s="20">
        <v>11.02971</v>
      </c>
      <c r="H84" s="6">
        <v>9.8636539580000004</v>
      </c>
      <c r="I84" s="20">
        <v>516.82697278000001</v>
      </c>
      <c r="J84" s="20">
        <v>22.79015953</v>
      </c>
      <c r="K84" s="20">
        <v>8.6129844149999997</v>
      </c>
      <c r="L84" s="20">
        <v>7.0557104500000003</v>
      </c>
      <c r="M84" s="20">
        <v>81.919461478556499</v>
      </c>
      <c r="N84" s="20">
        <v>5.474776705</v>
      </c>
      <c r="O84" s="6">
        <v>9.8634020109999998</v>
      </c>
      <c r="P84" s="20">
        <v>516.80143181899996</v>
      </c>
      <c r="Q84" s="20">
        <v>22.790737526000001</v>
      </c>
      <c r="R84" s="20">
        <v>8.6106074590000006</v>
      </c>
      <c r="S84" s="20">
        <v>7.0521268099999999</v>
      </c>
      <c r="T84" s="20">
        <v>81.900456426322805</v>
      </c>
      <c r="U84" s="20">
        <v>5.4740190200000001</v>
      </c>
      <c r="V84" s="8">
        <f t="shared" si="14"/>
        <v>2.5194700000064074E-4</v>
      </c>
      <c r="W84" s="15">
        <f t="shared" si="15"/>
        <v>2.5540961000046991E-2</v>
      </c>
      <c r="X84" s="15">
        <f t="shared" si="16"/>
        <v>-5.7799600000052465E-4</v>
      </c>
      <c r="Y84" s="15">
        <f t="shared" si="17"/>
        <v>2.3769559999990975E-3</v>
      </c>
      <c r="Z84" s="15">
        <f t="shared" si="18"/>
        <v>3.5836400000004431E-3</v>
      </c>
      <c r="AA84" s="15">
        <f t="shared" si="19"/>
        <v>1.9005052233694641E-2</v>
      </c>
      <c r="AB84" s="16">
        <f t="shared" si="20"/>
        <v>7.5768499999995242E-4</v>
      </c>
    </row>
    <row r="85" spans="2:28" x14ac:dyDescent="0.25">
      <c r="B85" s="19">
        <v>45939</v>
      </c>
      <c r="C85" s="46" t="s">
        <v>107</v>
      </c>
      <c r="D85" s="36" t="s">
        <v>122</v>
      </c>
      <c r="E85" s="36" t="s">
        <v>123</v>
      </c>
      <c r="F85" s="20">
        <v>9.2609999999999992</v>
      </c>
      <c r="G85" s="20">
        <v>106.03343</v>
      </c>
      <c r="H85" s="6">
        <v>8.6458784000000009</v>
      </c>
      <c r="I85" s="20">
        <v>449.04308727099999</v>
      </c>
      <c r="J85" s="20">
        <v>13.062854554999999</v>
      </c>
      <c r="K85" s="20">
        <v>8.1475021719999994</v>
      </c>
      <c r="L85" s="20">
        <v>6.6779338719999997</v>
      </c>
      <c r="M85" s="20">
        <v>81.962959088855797</v>
      </c>
      <c r="N85" s="20">
        <v>0</v>
      </c>
      <c r="O85" s="6">
        <v>8.6458756880000003</v>
      </c>
      <c r="P85" s="20">
        <v>449.04311764400001</v>
      </c>
      <c r="Q85" s="20">
        <v>13.062768804999999</v>
      </c>
      <c r="R85" s="20">
        <v>8.1478103720000004</v>
      </c>
      <c r="S85" s="20">
        <v>6.6766013099999997</v>
      </c>
      <c r="T85" s="20">
        <v>81.943503900682103</v>
      </c>
      <c r="U85" s="20">
        <v>0</v>
      </c>
      <c r="V85" s="8">
        <f t="shared" si="14"/>
        <v>2.7120000005709244E-6</v>
      </c>
      <c r="W85" s="15">
        <f t="shared" si="15"/>
        <v>-3.0373000015515572E-5</v>
      </c>
      <c r="X85" s="15">
        <f t="shared" si="16"/>
        <v>8.5750000000217597E-5</v>
      </c>
      <c r="Y85" s="15">
        <f t="shared" si="17"/>
        <v>-3.0820000000097991E-4</v>
      </c>
      <c r="Z85" s="15">
        <f t="shared" si="18"/>
        <v>1.3325619999999816E-3</v>
      </c>
      <c r="AA85" s="15">
        <f t="shared" si="19"/>
        <v>1.9455188173694182E-2</v>
      </c>
      <c r="AB85" s="16">
        <f t="shared" si="20"/>
        <v>0</v>
      </c>
    </row>
    <row r="86" spans="2:28" x14ac:dyDescent="0.25">
      <c r="B86" s="19">
        <v>45939</v>
      </c>
      <c r="C86" s="46" t="s">
        <v>107</v>
      </c>
      <c r="D86" s="36" t="s">
        <v>120</v>
      </c>
      <c r="E86" s="36" t="s">
        <v>121</v>
      </c>
      <c r="F86" s="20">
        <v>5.0033349999999999</v>
      </c>
      <c r="G86" s="20">
        <v>317.5</v>
      </c>
      <c r="H86" s="6">
        <v>9.6147186159999993</v>
      </c>
      <c r="I86" s="20">
        <v>553.08738519600001</v>
      </c>
      <c r="J86" s="20">
        <v>13.515269167</v>
      </c>
      <c r="K86" s="20">
        <v>8.1475021719999994</v>
      </c>
      <c r="L86" s="20">
        <v>6.6779338719999997</v>
      </c>
      <c r="M86" s="20">
        <v>81.962959088855797</v>
      </c>
      <c r="N86" s="20">
        <v>149.59994813200001</v>
      </c>
      <c r="O86" s="6">
        <v>9.6171249529999994</v>
      </c>
      <c r="P86" s="20">
        <v>553.32594219999999</v>
      </c>
      <c r="Q86" s="20">
        <v>13.519996332</v>
      </c>
      <c r="R86" s="20">
        <v>8.1478103720000004</v>
      </c>
      <c r="S86" s="20">
        <v>6.6766013099999997</v>
      </c>
      <c r="T86" s="20">
        <v>81.943503900682103</v>
      </c>
      <c r="U86" s="20">
        <v>149.59616163699999</v>
      </c>
      <c r="V86" s="8">
        <f t="shared" si="14"/>
        <v>-2.4063370000000361E-3</v>
      </c>
      <c r="W86" s="15">
        <f t="shared" si="15"/>
        <v>-0.23855700399997204</v>
      </c>
      <c r="X86" s="15">
        <f t="shared" si="16"/>
        <v>-4.7271650000002552E-3</v>
      </c>
      <c r="Y86" s="15">
        <f t="shared" si="17"/>
        <v>-3.0820000000097991E-4</v>
      </c>
      <c r="Z86" s="15">
        <f t="shared" si="18"/>
        <v>1.3325619999999816E-3</v>
      </c>
      <c r="AA86" s="15">
        <f t="shared" si="19"/>
        <v>1.9455188173694182E-2</v>
      </c>
      <c r="AB86" s="16">
        <f t="shared" si="20"/>
        <v>3.7864950000141562E-3</v>
      </c>
    </row>
    <row r="87" spans="2:28" x14ac:dyDescent="0.25">
      <c r="B87" s="19">
        <v>45939</v>
      </c>
      <c r="C87" s="46" t="s">
        <v>107</v>
      </c>
      <c r="D87" s="36" t="s">
        <v>118</v>
      </c>
      <c r="E87" s="36" t="s">
        <v>119</v>
      </c>
      <c r="F87" s="20">
        <v>5.3964679999999996</v>
      </c>
      <c r="G87" s="20">
        <v>302.964135</v>
      </c>
      <c r="H87" s="6">
        <v>9.3289265480000001</v>
      </c>
      <c r="I87" s="20">
        <v>533.26168198599999</v>
      </c>
      <c r="J87" s="20">
        <v>10.655902458</v>
      </c>
      <c r="K87" s="20">
        <v>7.8667218830000003</v>
      </c>
      <c r="L87" s="20">
        <v>6.4617532369999999</v>
      </c>
      <c r="M87" s="20">
        <v>82.1403544335775</v>
      </c>
      <c r="N87" s="20">
        <v>93.649431883000005</v>
      </c>
      <c r="O87" s="6">
        <v>9.3293956009999999</v>
      </c>
      <c r="P87" s="20">
        <v>533.31053612400001</v>
      </c>
      <c r="Q87" s="20">
        <v>10.655901671000001</v>
      </c>
      <c r="R87" s="20">
        <v>7.866508198</v>
      </c>
      <c r="S87" s="20">
        <v>6.4614526190000001</v>
      </c>
      <c r="T87" s="20">
        <v>82.1387641932767</v>
      </c>
      <c r="U87" s="20">
        <v>93.651444986000001</v>
      </c>
      <c r="V87" s="8">
        <f t="shared" si="14"/>
        <v>-4.6905299999977501E-4</v>
      </c>
      <c r="W87" s="15">
        <f t="shared" si="15"/>
        <v>-4.885413800002425E-2</v>
      </c>
      <c r="X87" s="15">
        <f t="shared" si="16"/>
        <v>7.8699999939146892E-7</v>
      </c>
      <c r="Y87" s="15">
        <f t="shared" si="17"/>
        <v>2.1368500000029655E-4</v>
      </c>
      <c r="Z87" s="15">
        <f t="shared" si="18"/>
        <v>3.0061799999980821E-4</v>
      </c>
      <c r="AA87" s="15">
        <f t="shared" si="19"/>
        <v>1.5902403007999055E-3</v>
      </c>
      <c r="AB87" s="16">
        <f t="shared" si="20"/>
        <v>-2.0131029999959082E-3</v>
      </c>
    </row>
    <row r="88" spans="2:28" x14ac:dyDescent="0.25">
      <c r="B88" s="19">
        <v>45939</v>
      </c>
      <c r="C88" s="46" t="s">
        <v>107</v>
      </c>
      <c r="D88" s="36" t="s">
        <v>116</v>
      </c>
      <c r="E88" s="36" t="s">
        <v>117</v>
      </c>
      <c r="F88" s="20">
        <v>5.2202010000000003</v>
      </c>
      <c r="G88" s="20">
        <v>194.04539500000001</v>
      </c>
      <c r="H88" s="6">
        <v>9.9352550720000004</v>
      </c>
      <c r="I88" s="20">
        <v>590.722517251</v>
      </c>
      <c r="J88" s="20">
        <v>7.9490499489999999</v>
      </c>
      <c r="K88" s="20">
        <v>7.60700032</v>
      </c>
      <c r="L88" s="20">
        <v>6.2374237490000004</v>
      </c>
      <c r="M88" s="20">
        <v>81.995839182507098</v>
      </c>
      <c r="N88" s="20">
        <v>129.223454592</v>
      </c>
      <c r="O88" s="6">
        <v>9.9361943870000005</v>
      </c>
      <c r="P88" s="20">
        <v>590.81880793599998</v>
      </c>
      <c r="Q88" s="20">
        <v>7.9492041550000003</v>
      </c>
      <c r="R88" s="20">
        <v>7.606517084</v>
      </c>
      <c r="S88" s="20">
        <v>6.2365232449999999</v>
      </c>
      <c r="T88" s="20">
        <v>81.989209728040606</v>
      </c>
      <c r="U88" s="20">
        <v>129.22448606399999</v>
      </c>
      <c r="V88" s="8">
        <f t="shared" si="14"/>
        <v>-9.3931500000010715E-4</v>
      </c>
      <c r="W88" s="15">
        <f t="shared" si="15"/>
        <v>-9.6290684999985388E-2</v>
      </c>
      <c r="X88" s="15">
        <f t="shared" si="16"/>
        <v>-1.5420600000037865E-4</v>
      </c>
      <c r="Y88" s="15">
        <f t="shared" si="17"/>
        <v>4.83235999999998E-4</v>
      </c>
      <c r="Z88" s="15">
        <f t="shared" si="18"/>
        <v>9.0050400000052377E-4</v>
      </c>
      <c r="AA88" s="15">
        <f t="shared" si="19"/>
        <v>6.6294544664913246E-3</v>
      </c>
      <c r="AB88" s="16">
        <f t="shared" si="20"/>
        <v>-1.0314719999939825E-3</v>
      </c>
    </row>
    <row r="89" spans="2:28" x14ac:dyDescent="0.25">
      <c r="B89" s="19">
        <v>45939</v>
      </c>
      <c r="C89" s="46" t="s">
        <v>107</v>
      </c>
      <c r="D89" s="36" t="s">
        <v>114</v>
      </c>
      <c r="E89" s="36" t="s">
        <v>115</v>
      </c>
      <c r="F89" s="20">
        <v>3.7685249999999999</v>
      </c>
      <c r="G89" s="20">
        <v>138.550725</v>
      </c>
      <c r="H89" s="6">
        <v>8.3898881989999996</v>
      </c>
      <c r="I89" s="20">
        <v>424.014610914</v>
      </c>
      <c r="J89" s="20">
        <v>9.6036567739999992</v>
      </c>
      <c r="K89" s="20">
        <v>8.8229961380000006</v>
      </c>
      <c r="L89" s="20">
        <v>7.2625483309999996</v>
      </c>
      <c r="M89" s="20">
        <v>82.313855944249298</v>
      </c>
      <c r="N89" s="20">
        <v>83.658957119999997</v>
      </c>
      <c r="O89" s="6">
        <v>8.3908726090000005</v>
      </c>
      <c r="P89" s="20">
        <v>424.111722918</v>
      </c>
      <c r="Q89" s="20">
        <v>9.605072432</v>
      </c>
      <c r="R89" s="20">
        <v>8.8225275360000008</v>
      </c>
      <c r="S89" s="20">
        <v>7.2620024909999996</v>
      </c>
      <c r="T89" s="20">
        <v>82.312041094433098</v>
      </c>
      <c r="U89" s="20">
        <v>83.653779951999994</v>
      </c>
      <c r="V89" s="8">
        <f t="shared" si="14"/>
        <v>-9.8441000000093482E-4</v>
      </c>
      <c r="W89" s="15">
        <f t="shared" si="15"/>
        <v>-9.7112003999995977E-2</v>
      </c>
      <c r="X89" s="15">
        <f t="shared" si="16"/>
        <v>-1.4156580000008745E-3</v>
      </c>
      <c r="Y89" s="15">
        <f t="shared" si="17"/>
        <v>4.686019999997626E-4</v>
      </c>
      <c r="Z89" s="15">
        <f t="shared" si="18"/>
        <v>5.4584000000001964E-4</v>
      </c>
      <c r="AA89" s="15">
        <f t="shared" si="19"/>
        <v>1.8148498161991711E-3</v>
      </c>
      <c r="AB89" s="16">
        <f t="shared" si="20"/>
        <v>5.1771680000030074E-3</v>
      </c>
    </row>
    <row r="90" spans="2:28" x14ac:dyDescent="0.25">
      <c r="B90" s="19">
        <v>45939</v>
      </c>
      <c r="C90" s="46" t="s">
        <v>107</v>
      </c>
      <c r="D90" s="36" t="s">
        <v>112</v>
      </c>
      <c r="E90" s="36" t="s">
        <v>113</v>
      </c>
      <c r="F90" s="20">
        <v>5.301253</v>
      </c>
      <c r="G90" s="20">
        <v>175.93870999999999</v>
      </c>
      <c r="H90" s="6">
        <v>9.5661997270000008</v>
      </c>
      <c r="I90" s="20">
        <v>565.60927726399996</v>
      </c>
      <c r="J90" s="20">
        <v>6.7777188190000004</v>
      </c>
      <c r="K90" s="20">
        <v>6.4386700609999998</v>
      </c>
      <c r="L90" s="20">
        <v>5.2774015260000002</v>
      </c>
      <c r="M90" s="20">
        <v>81.964155268120095</v>
      </c>
      <c r="N90" s="20">
        <v>98.069781430000006</v>
      </c>
      <c r="O90" s="6">
        <v>9.5684197419999997</v>
      </c>
      <c r="P90" s="20">
        <v>565.83534468899995</v>
      </c>
      <c r="Q90" s="20">
        <v>6.7777869040000001</v>
      </c>
      <c r="R90" s="20">
        <v>6.4375054269999996</v>
      </c>
      <c r="S90" s="20">
        <v>5.2756385339999996</v>
      </c>
      <c r="T90" s="20">
        <v>81.951597459989202</v>
      </c>
      <c r="U90" s="20">
        <v>98.046738335000001</v>
      </c>
      <c r="V90" s="8">
        <f t="shared" si="14"/>
        <v>-2.2200149999989094E-3</v>
      </c>
      <c r="W90" s="15">
        <f t="shared" si="15"/>
        <v>-0.22606742499999655</v>
      </c>
      <c r="X90" s="15">
        <f t="shared" si="16"/>
        <v>-6.8084999999662443E-5</v>
      </c>
      <c r="Y90" s="15">
        <f t="shared" si="17"/>
        <v>1.1646340000002198E-3</v>
      </c>
      <c r="Z90" s="15">
        <f t="shared" si="18"/>
        <v>1.7629920000006294E-3</v>
      </c>
      <c r="AA90" s="15">
        <f t="shared" si="19"/>
        <v>1.2557808130893022E-2</v>
      </c>
      <c r="AB90" s="16">
        <f t="shared" si="20"/>
        <v>2.3043095000005565E-2</v>
      </c>
    </row>
    <row r="91" spans="2:28" x14ac:dyDescent="0.25">
      <c r="B91" s="9">
        <v>45939</v>
      </c>
      <c r="C91" s="10" t="s">
        <v>107</v>
      </c>
      <c r="D91" s="36" t="s">
        <v>110</v>
      </c>
      <c r="E91" s="36" t="s">
        <v>111</v>
      </c>
      <c r="F91" s="11">
        <v>7.04</v>
      </c>
      <c r="G91" s="11">
        <v>101.45855</v>
      </c>
      <c r="H91" s="6">
        <v>6.4601937100000004</v>
      </c>
      <c r="I91" s="11">
        <v>283.78384274299998</v>
      </c>
      <c r="J91" s="11">
        <v>3.2111111110000001</v>
      </c>
      <c r="K91" s="11">
        <v>2.4281112619999998</v>
      </c>
      <c r="L91" s="11">
        <v>2.283377781</v>
      </c>
      <c r="M91" s="11">
        <v>94.039256632713602</v>
      </c>
      <c r="N91" s="11">
        <v>0</v>
      </c>
      <c r="O91" s="6">
        <v>6.4601937100000004</v>
      </c>
      <c r="P91" s="11">
        <v>283.78384274299998</v>
      </c>
      <c r="Q91" s="11">
        <v>3.2111111110000001</v>
      </c>
      <c r="R91" s="11">
        <v>2.5232624160000001</v>
      </c>
      <c r="S91" s="11">
        <v>2.362322823</v>
      </c>
      <c r="T91" s="11">
        <v>93.621765537366102</v>
      </c>
      <c r="U91" s="11">
        <v>0</v>
      </c>
      <c r="V91" s="8">
        <f t="shared" si="14"/>
        <v>0</v>
      </c>
      <c r="W91" s="11">
        <f t="shared" si="15"/>
        <v>0</v>
      </c>
      <c r="X91" s="11">
        <f t="shared" si="16"/>
        <v>0</v>
      </c>
      <c r="Y91" s="11">
        <f t="shared" si="17"/>
        <v>-9.5151154000000293E-2</v>
      </c>
      <c r="Z91" s="11">
        <f t="shared" si="18"/>
        <v>-7.8945041999999965E-2</v>
      </c>
      <c r="AA91" s="11">
        <f t="shared" si="19"/>
        <v>0.41749109534750062</v>
      </c>
      <c r="AB91" s="12">
        <f t="shared" si="20"/>
        <v>0</v>
      </c>
    </row>
    <row r="92" spans="2:28" ht="15.75" thickBot="1" x14ac:dyDescent="0.3">
      <c r="B92" s="38">
        <v>45939</v>
      </c>
      <c r="C92" s="39" t="s">
        <v>107</v>
      </c>
      <c r="D92" s="37" t="s">
        <v>108</v>
      </c>
      <c r="E92" s="37" t="s">
        <v>109</v>
      </c>
      <c r="F92" s="40">
        <v>6.55</v>
      </c>
      <c r="G92" s="40">
        <v>102.098595</v>
      </c>
      <c r="H92" s="31">
        <v>5.8667418150000001</v>
      </c>
      <c r="I92" s="40">
        <v>225.36990662900001</v>
      </c>
      <c r="J92" s="40">
        <v>3.0444444439999998</v>
      </c>
      <c r="K92" s="40">
        <v>4.222433949</v>
      </c>
      <c r="L92" s="40">
        <v>3.9112842759999999</v>
      </c>
      <c r="M92" s="40">
        <v>92.631035162226993</v>
      </c>
      <c r="N92" s="40">
        <v>0</v>
      </c>
      <c r="O92" s="31">
        <v>5.8667418150000001</v>
      </c>
      <c r="P92" s="40">
        <v>225.36990662900001</v>
      </c>
      <c r="Q92" s="40">
        <v>3.0444444439999998</v>
      </c>
      <c r="R92" s="40">
        <v>4.3561418979999997</v>
      </c>
      <c r="S92" s="40">
        <v>4.0332723100000001</v>
      </c>
      <c r="T92" s="40">
        <v>92.588175602171404</v>
      </c>
      <c r="U92" s="40">
        <v>0</v>
      </c>
      <c r="V92" s="32">
        <f t="shared" si="14"/>
        <v>0</v>
      </c>
      <c r="W92" s="40">
        <f t="shared" si="15"/>
        <v>0</v>
      </c>
      <c r="X92" s="40">
        <f t="shared" si="16"/>
        <v>0</v>
      </c>
      <c r="Y92" s="40">
        <f t="shared" si="17"/>
        <v>-0.13370794899999972</v>
      </c>
      <c r="Z92" s="40">
        <f t="shared" si="18"/>
        <v>-0.12198803400000013</v>
      </c>
      <c r="AA92" s="40">
        <f t="shared" si="19"/>
        <v>4.2859560055589441E-2</v>
      </c>
      <c r="AB92" s="41">
        <f t="shared" si="20"/>
        <v>0</v>
      </c>
    </row>
  </sheetData>
  <mergeCells count="4">
    <mergeCell ref="B2:G2"/>
    <mergeCell ref="H2:N2"/>
    <mergeCell ref="O2:U2"/>
    <mergeCell ref="V2:AB2"/>
  </mergeCells>
  <conditionalFormatting sqref="V4:V92">
    <cfRule type="colorScale" priority="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W4:W92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4:X92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4:Y92">
    <cfRule type="colorScale" priority="5">
      <colorScale>
        <cfvo type="min"/>
        <cfvo type="num" val="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</vt:lpstr>
      <vt:lpstr>Sheet1</vt:lpstr>
      <vt:lpstr>CRT  Base</vt:lpstr>
      <vt:lpstr>CRT SuperBear</vt:lpstr>
      <vt:lpstr>SuperBear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Howard Zeng</dc:creator>
  <cp:lastModifiedBy>Howard Zeng</cp:lastModifiedBy>
  <dcterms:created xsi:type="dcterms:W3CDTF">2015-06-05T18:17:20Z</dcterms:created>
  <dcterms:modified xsi:type="dcterms:W3CDTF">2026-08-11T17:50:55Z</dcterms:modified>
</cp:coreProperties>
</file>