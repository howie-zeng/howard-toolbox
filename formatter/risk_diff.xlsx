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formatter\"/>
    </mc:Choice>
  </mc:AlternateContent>
  <xr:revisionPtr revIDLastSave="0" documentId="13_ncr:1_{5CAD23C9-42D1-4671-B935-B99A002B70CF}" xr6:coauthVersionLast="47" xr6:coauthVersionMax="47" xr10:uidLastSave="{00000000-0000-0000-0000-000000000000}"/>
  <bookViews>
    <workbookView xWindow="10275" yWindow="-21600" windowWidth="49725" windowHeight="21285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1" i="1" l="1"/>
  <c r="AB51" i="1"/>
  <c r="AC51" i="1"/>
  <c r="AD51" i="1"/>
  <c r="AE51" i="1"/>
  <c r="AF51" i="1"/>
  <c r="AG51" i="1"/>
  <c r="AH51" i="1"/>
  <c r="AI51" i="1"/>
  <c r="AA52" i="1"/>
  <c r="AB52" i="1"/>
  <c r="AC52" i="1"/>
  <c r="AD52" i="1"/>
  <c r="AE52" i="1"/>
  <c r="AF52" i="1"/>
  <c r="AG52" i="1"/>
  <c r="AH52" i="1"/>
  <c r="AI52" i="1"/>
  <c r="AA53" i="1"/>
  <c r="AB53" i="1"/>
  <c r="AC53" i="1"/>
  <c r="AD53" i="1"/>
  <c r="AE53" i="1"/>
  <c r="AF53" i="1"/>
  <c r="AG53" i="1"/>
  <c r="AH53" i="1"/>
  <c r="AI53" i="1"/>
  <c r="AA54" i="1"/>
  <c r="AB54" i="1"/>
  <c r="AC54" i="1"/>
  <c r="AD54" i="1"/>
  <c r="AE54" i="1"/>
  <c r="AF54" i="1"/>
  <c r="AG54" i="1"/>
  <c r="AH54" i="1"/>
  <c r="AI54" i="1"/>
  <c r="AA55" i="1"/>
  <c r="AB55" i="1"/>
  <c r="AC55" i="1"/>
  <c r="AD55" i="1"/>
  <c r="AE55" i="1"/>
  <c r="AF55" i="1"/>
  <c r="AG55" i="1"/>
  <c r="AH55" i="1"/>
  <c r="AI55" i="1"/>
  <c r="AA56" i="1"/>
  <c r="AB56" i="1"/>
  <c r="AC56" i="1"/>
  <c r="AD56" i="1"/>
  <c r="AE56" i="1"/>
  <c r="AF56" i="1"/>
  <c r="AG56" i="1"/>
  <c r="AH56" i="1"/>
  <c r="AI56" i="1"/>
  <c r="AA57" i="1"/>
  <c r="AB57" i="1"/>
  <c r="AC57" i="1"/>
  <c r="AD57" i="1"/>
  <c r="AE57" i="1"/>
  <c r="AF57" i="1"/>
  <c r="AG57" i="1"/>
  <c r="AH57" i="1"/>
  <c r="AI57" i="1"/>
  <c r="AA58" i="1"/>
  <c r="AB58" i="1"/>
  <c r="AC58" i="1"/>
  <c r="AD58" i="1"/>
  <c r="AE58" i="1"/>
  <c r="AF58" i="1"/>
  <c r="AG58" i="1"/>
  <c r="AH58" i="1"/>
  <c r="AI58" i="1"/>
  <c r="AA59" i="1"/>
  <c r="AB59" i="1"/>
  <c r="AC59" i="1"/>
  <c r="AD59" i="1"/>
  <c r="AE59" i="1"/>
  <c r="AF59" i="1"/>
  <c r="AG59" i="1"/>
  <c r="AH59" i="1"/>
  <c r="AI59" i="1"/>
  <c r="AA60" i="1"/>
  <c r="AB60" i="1"/>
  <c r="AC60" i="1"/>
  <c r="AD60" i="1"/>
  <c r="AE60" i="1"/>
  <c r="AF60" i="1"/>
  <c r="AG60" i="1"/>
  <c r="AH60" i="1"/>
  <c r="AI60" i="1"/>
  <c r="AA61" i="1"/>
  <c r="AB61" i="1"/>
  <c r="AC61" i="1"/>
  <c r="AD61" i="1"/>
  <c r="AE61" i="1"/>
  <c r="AF61" i="1"/>
  <c r="AG61" i="1"/>
  <c r="AH61" i="1"/>
  <c r="AI61" i="1"/>
  <c r="AA62" i="1"/>
  <c r="AB62" i="1"/>
  <c r="AC62" i="1"/>
  <c r="AD62" i="1"/>
  <c r="AE62" i="1"/>
  <c r="AF62" i="1"/>
  <c r="AG62" i="1"/>
  <c r="AH62" i="1"/>
  <c r="AI62" i="1"/>
  <c r="AA63" i="1"/>
  <c r="AB63" i="1"/>
  <c r="AC63" i="1"/>
  <c r="AD63" i="1"/>
  <c r="AE63" i="1"/>
  <c r="AF63" i="1"/>
  <c r="AG63" i="1"/>
  <c r="AH63" i="1"/>
  <c r="AI63" i="1"/>
  <c r="AA64" i="1"/>
  <c r="AB64" i="1"/>
  <c r="AC64" i="1"/>
  <c r="AD64" i="1"/>
  <c r="AE64" i="1"/>
  <c r="AF64" i="1"/>
  <c r="AG64" i="1"/>
  <c r="AH64" i="1"/>
  <c r="AI64" i="1"/>
  <c r="AA65" i="1"/>
  <c r="AB65" i="1"/>
  <c r="AC65" i="1"/>
  <c r="AD65" i="1"/>
  <c r="AE65" i="1"/>
  <c r="AF65" i="1"/>
  <c r="AG65" i="1"/>
  <c r="AH65" i="1"/>
  <c r="AI65" i="1"/>
  <c r="AA66" i="1"/>
  <c r="AB66" i="1"/>
  <c r="AC66" i="1"/>
  <c r="AD66" i="1"/>
  <c r="AE66" i="1"/>
  <c r="AF66" i="1"/>
  <c r="AG66" i="1"/>
  <c r="AH66" i="1"/>
  <c r="AI66" i="1"/>
  <c r="AA67" i="1"/>
  <c r="AB67" i="1"/>
  <c r="AC67" i="1"/>
  <c r="AD67" i="1"/>
  <c r="AE67" i="1"/>
  <c r="AF67" i="1"/>
  <c r="AG67" i="1"/>
  <c r="AH67" i="1"/>
  <c r="AI67" i="1"/>
  <c r="AA68" i="1"/>
  <c r="AB68" i="1"/>
  <c r="AC68" i="1"/>
  <c r="AD68" i="1"/>
  <c r="AE68" i="1"/>
  <c r="AF68" i="1"/>
  <c r="AG68" i="1"/>
  <c r="AH68" i="1"/>
  <c r="AI68" i="1"/>
  <c r="AA69" i="1"/>
  <c r="AB69" i="1"/>
  <c r="AC69" i="1"/>
  <c r="AD69" i="1"/>
  <c r="AE69" i="1"/>
  <c r="AF69" i="1"/>
  <c r="AG69" i="1"/>
  <c r="AH69" i="1"/>
  <c r="AI69" i="1"/>
  <c r="AA70" i="1"/>
  <c r="AB70" i="1"/>
  <c r="AC70" i="1"/>
  <c r="AD70" i="1"/>
  <c r="AE70" i="1"/>
  <c r="AF70" i="1"/>
  <c r="AG70" i="1"/>
  <c r="AH70" i="1"/>
  <c r="AI70" i="1"/>
  <c r="AA71" i="1"/>
  <c r="AB71" i="1"/>
  <c r="AC71" i="1"/>
  <c r="AD71" i="1"/>
  <c r="AE71" i="1"/>
  <c r="AF71" i="1"/>
  <c r="AG71" i="1"/>
  <c r="AH71" i="1"/>
  <c r="AI71" i="1"/>
  <c r="AA72" i="1"/>
  <c r="AB72" i="1"/>
  <c r="AC72" i="1"/>
  <c r="AD72" i="1"/>
  <c r="AE72" i="1"/>
  <c r="AF72" i="1"/>
  <c r="AG72" i="1"/>
  <c r="AH72" i="1"/>
  <c r="AI72" i="1"/>
  <c r="AA73" i="1"/>
  <c r="AB73" i="1"/>
  <c r="AC73" i="1"/>
  <c r="AD73" i="1"/>
  <c r="AE73" i="1"/>
  <c r="AF73" i="1"/>
  <c r="AG73" i="1"/>
  <c r="AH73" i="1"/>
  <c r="AI73" i="1"/>
  <c r="AA74" i="1"/>
  <c r="AB74" i="1"/>
  <c r="AC74" i="1"/>
  <c r="AD74" i="1"/>
  <c r="AE74" i="1"/>
  <c r="AF74" i="1"/>
  <c r="AG74" i="1"/>
  <c r="AH74" i="1"/>
  <c r="AI74" i="1"/>
  <c r="AA75" i="1"/>
  <c r="AB75" i="1"/>
  <c r="AC75" i="1"/>
  <c r="AD75" i="1"/>
  <c r="AE75" i="1"/>
  <c r="AF75" i="1"/>
  <c r="AG75" i="1"/>
  <c r="AH75" i="1"/>
  <c r="AI75" i="1"/>
  <c r="AA76" i="1"/>
  <c r="AB76" i="1"/>
  <c r="AC76" i="1"/>
  <c r="AD76" i="1"/>
  <c r="AE76" i="1"/>
  <c r="AF76" i="1"/>
  <c r="AG76" i="1"/>
  <c r="AH76" i="1"/>
  <c r="AI76" i="1"/>
  <c r="AA77" i="1"/>
  <c r="AB77" i="1"/>
  <c r="AC77" i="1"/>
  <c r="AD77" i="1"/>
  <c r="AE77" i="1"/>
  <c r="AF77" i="1"/>
  <c r="AG77" i="1"/>
  <c r="AH77" i="1"/>
  <c r="AI77" i="1"/>
  <c r="AA78" i="1"/>
  <c r="AB78" i="1"/>
  <c r="AC78" i="1"/>
  <c r="AD78" i="1"/>
  <c r="AE78" i="1"/>
  <c r="AF78" i="1"/>
  <c r="AG78" i="1"/>
  <c r="AH78" i="1"/>
  <c r="AI78" i="1"/>
  <c r="AA79" i="1"/>
  <c r="AB79" i="1"/>
  <c r="AC79" i="1"/>
  <c r="AD79" i="1"/>
  <c r="AE79" i="1"/>
  <c r="AF79" i="1"/>
  <c r="AG79" i="1"/>
  <c r="AH79" i="1"/>
  <c r="AI79" i="1"/>
  <c r="AA80" i="1"/>
  <c r="AB80" i="1"/>
  <c r="AC80" i="1"/>
  <c r="AD80" i="1"/>
  <c r="AE80" i="1"/>
  <c r="AF80" i="1"/>
  <c r="AG80" i="1"/>
  <c r="AH80" i="1"/>
  <c r="AI80" i="1"/>
  <c r="AA81" i="1"/>
  <c r="AB81" i="1"/>
  <c r="AC81" i="1"/>
  <c r="AD81" i="1"/>
  <c r="AE81" i="1"/>
  <c r="AF81" i="1"/>
  <c r="AG81" i="1"/>
  <c r="AH81" i="1"/>
  <c r="AI81" i="1"/>
  <c r="AA82" i="1"/>
  <c r="AB82" i="1"/>
  <c r="AC82" i="1"/>
  <c r="AD82" i="1"/>
  <c r="AE82" i="1"/>
  <c r="AF82" i="1"/>
  <c r="AG82" i="1"/>
  <c r="AH82" i="1"/>
  <c r="AI82" i="1"/>
  <c r="AA83" i="1"/>
  <c r="AB83" i="1"/>
  <c r="AC83" i="1"/>
  <c r="AD83" i="1"/>
  <c r="AE83" i="1"/>
  <c r="AF83" i="1"/>
  <c r="AG83" i="1"/>
  <c r="AH83" i="1"/>
  <c r="AI83" i="1"/>
  <c r="AA84" i="1"/>
  <c r="AB84" i="1"/>
  <c r="AC84" i="1"/>
  <c r="AD84" i="1"/>
  <c r="AE84" i="1"/>
  <c r="AF84" i="1"/>
  <c r="AG84" i="1"/>
  <c r="AH84" i="1"/>
  <c r="AI84" i="1"/>
  <c r="AA85" i="1"/>
  <c r="AB85" i="1"/>
  <c r="AC85" i="1"/>
  <c r="AD85" i="1"/>
  <c r="AE85" i="1"/>
  <c r="AF85" i="1"/>
  <c r="AG85" i="1"/>
  <c r="AH85" i="1"/>
  <c r="AI85" i="1"/>
  <c r="AA86" i="1"/>
  <c r="AB86" i="1"/>
  <c r="AC86" i="1"/>
  <c r="AD86" i="1"/>
  <c r="AE86" i="1"/>
  <c r="AF86" i="1"/>
  <c r="AG86" i="1"/>
  <c r="AH86" i="1"/>
  <c r="AI86" i="1"/>
  <c r="AA87" i="1"/>
  <c r="AB87" i="1"/>
  <c r="AC87" i="1"/>
  <c r="AD87" i="1"/>
  <c r="AE87" i="1"/>
  <c r="AF87" i="1"/>
  <c r="AG87" i="1"/>
  <c r="AH87" i="1"/>
  <c r="AI87" i="1"/>
  <c r="AA88" i="1"/>
  <c r="AB88" i="1"/>
  <c r="AC88" i="1"/>
  <c r="AD88" i="1"/>
  <c r="AE88" i="1"/>
  <c r="AF88" i="1"/>
  <c r="AG88" i="1"/>
  <c r="AH88" i="1"/>
  <c r="AI88" i="1"/>
  <c r="AA89" i="1"/>
  <c r="AB89" i="1"/>
  <c r="AC89" i="1"/>
  <c r="AD89" i="1"/>
  <c r="AE89" i="1"/>
  <c r="AF89" i="1"/>
  <c r="AG89" i="1"/>
  <c r="AH89" i="1"/>
  <c r="AI89" i="1"/>
  <c r="AA90" i="1"/>
  <c r="AB90" i="1"/>
  <c r="AC90" i="1"/>
  <c r="AD90" i="1"/>
  <c r="AE90" i="1"/>
  <c r="AF90" i="1"/>
  <c r="AG90" i="1"/>
  <c r="AH90" i="1"/>
  <c r="AI90" i="1"/>
  <c r="AA91" i="1"/>
  <c r="AB91" i="1"/>
  <c r="AC91" i="1"/>
  <c r="AD91" i="1"/>
  <c r="AE91" i="1"/>
  <c r="AF91" i="1"/>
  <c r="AG91" i="1"/>
  <c r="AH91" i="1"/>
  <c r="AI91" i="1"/>
  <c r="AA92" i="1"/>
  <c r="AB92" i="1"/>
  <c r="AC92" i="1"/>
  <c r="AD92" i="1"/>
  <c r="AE92" i="1"/>
  <c r="AF92" i="1"/>
  <c r="AG92" i="1"/>
  <c r="AH92" i="1"/>
  <c r="AI92" i="1"/>
  <c r="AA93" i="1"/>
  <c r="AB93" i="1"/>
  <c r="AC93" i="1"/>
  <c r="AD93" i="1"/>
  <c r="AE93" i="1"/>
  <c r="AF93" i="1"/>
  <c r="AG93" i="1"/>
  <c r="AH93" i="1"/>
  <c r="AI93" i="1"/>
  <c r="AA94" i="1"/>
  <c r="AB94" i="1"/>
  <c r="AC94" i="1"/>
  <c r="AD94" i="1"/>
  <c r="AE94" i="1"/>
  <c r="AF94" i="1"/>
  <c r="AG94" i="1"/>
  <c r="AH94" i="1"/>
  <c r="AI94" i="1"/>
  <c r="AA95" i="1"/>
  <c r="AB95" i="1"/>
  <c r="AC95" i="1"/>
  <c r="AD95" i="1"/>
  <c r="AE95" i="1"/>
  <c r="AF95" i="1"/>
  <c r="AG95" i="1"/>
  <c r="AH95" i="1"/>
  <c r="AI95" i="1"/>
  <c r="AA96" i="1"/>
  <c r="AB96" i="1"/>
  <c r="AC96" i="1"/>
  <c r="AD96" i="1"/>
  <c r="AE96" i="1"/>
  <c r="AF96" i="1"/>
  <c r="AG96" i="1"/>
  <c r="AH96" i="1"/>
  <c r="AI96" i="1"/>
  <c r="AA97" i="1"/>
  <c r="AB97" i="1"/>
  <c r="AC97" i="1"/>
  <c r="AD97" i="1"/>
  <c r="AE97" i="1"/>
  <c r="AF97" i="1"/>
  <c r="AG97" i="1"/>
  <c r="AH97" i="1"/>
  <c r="AI97" i="1"/>
  <c r="AA98" i="1"/>
  <c r="AB98" i="1"/>
  <c r="AC98" i="1"/>
  <c r="AD98" i="1"/>
  <c r="AE98" i="1"/>
  <c r="AF98" i="1"/>
  <c r="AG98" i="1"/>
  <c r="AH98" i="1"/>
  <c r="AI98" i="1"/>
  <c r="AA99" i="1"/>
  <c r="AB99" i="1"/>
  <c r="AC99" i="1"/>
  <c r="AD99" i="1"/>
  <c r="AE99" i="1"/>
  <c r="AF99" i="1"/>
  <c r="AG99" i="1"/>
  <c r="AH99" i="1"/>
  <c r="AI99" i="1"/>
  <c r="AA100" i="1"/>
  <c r="AB100" i="1"/>
  <c r="AC100" i="1"/>
  <c r="AD100" i="1"/>
  <c r="AE100" i="1"/>
  <c r="AF100" i="1"/>
  <c r="AG100" i="1"/>
  <c r="AH100" i="1"/>
  <c r="AI100" i="1"/>
  <c r="AA101" i="1"/>
  <c r="AB101" i="1"/>
  <c r="AC101" i="1"/>
  <c r="AD101" i="1"/>
  <c r="AE101" i="1"/>
  <c r="AF101" i="1"/>
  <c r="AG101" i="1"/>
  <c r="AH101" i="1"/>
  <c r="AI101" i="1"/>
  <c r="AA102" i="1"/>
  <c r="AB102" i="1"/>
  <c r="AC102" i="1"/>
  <c r="AD102" i="1"/>
  <c r="AE102" i="1"/>
  <c r="AF102" i="1"/>
  <c r="AG102" i="1"/>
  <c r="AH102" i="1"/>
  <c r="AI102" i="1"/>
  <c r="AA103" i="1"/>
  <c r="AB103" i="1"/>
  <c r="AC103" i="1"/>
  <c r="AD103" i="1"/>
  <c r="AE103" i="1"/>
  <c r="AF103" i="1"/>
  <c r="AG103" i="1"/>
  <c r="AH103" i="1"/>
  <c r="AI103" i="1"/>
  <c r="AA104" i="1"/>
  <c r="AB104" i="1"/>
  <c r="AC104" i="1"/>
  <c r="AD104" i="1"/>
  <c r="AE104" i="1"/>
  <c r="AF104" i="1"/>
  <c r="AG104" i="1"/>
  <c r="AH104" i="1"/>
  <c r="AI104" i="1"/>
  <c r="AA105" i="1"/>
  <c r="AB105" i="1"/>
  <c r="AC105" i="1"/>
  <c r="AD105" i="1"/>
  <c r="AE105" i="1"/>
  <c r="AF105" i="1"/>
  <c r="AG105" i="1"/>
  <c r="AH105" i="1"/>
  <c r="AI105" i="1"/>
  <c r="AA106" i="1"/>
  <c r="AB106" i="1"/>
  <c r="AC106" i="1"/>
  <c r="AD106" i="1"/>
  <c r="AE106" i="1"/>
  <c r="AF106" i="1"/>
  <c r="AG106" i="1"/>
  <c r="AH106" i="1"/>
  <c r="AI106" i="1"/>
  <c r="AA107" i="1"/>
  <c r="AB107" i="1"/>
  <c r="AC107" i="1"/>
  <c r="AD107" i="1"/>
  <c r="AE107" i="1"/>
  <c r="AF107" i="1"/>
  <c r="AG107" i="1"/>
  <c r="AH107" i="1"/>
  <c r="AI107" i="1"/>
  <c r="AA108" i="1"/>
  <c r="AB108" i="1"/>
  <c r="AC108" i="1"/>
  <c r="AD108" i="1"/>
  <c r="AE108" i="1"/>
  <c r="AF108" i="1"/>
  <c r="AG108" i="1"/>
  <c r="AH108" i="1"/>
  <c r="AI108" i="1"/>
  <c r="AA109" i="1"/>
  <c r="AB109" i="1"/>
  <c r="AC109" i="1"/>
  <c r="AD109" i="1"/>
  <c r="AE109" i="1"/>
  <c r="AF109" i="1"/>
  <c r="AG109" i="1"/>
  <c r="AH109" i="1"/>
  <c r="AI109" i="1"/>
  <c r="AA110" i="1"/>
  <c r="AB110" i="1"/>
  <c r="AC110" i="1"/>
  <c r="AD110" i="1"/>
  <c r="AE110" i="1"/>
  <c r="AF110" i="1"/>
  <c r="AG110" i="1"/>
  <c r="AH110" i="1"/>
  <c r="AI110" i="1"/>
  <c r="AA111" i="1"/>
  <c r="AB111" i="1"/>
  <c r="AC111" i="1"/>
  <c r="AD111" i="1"/>
  <c r="AE111" i="1"/>
  <c r="AF111" i="1"/>
  <c r="AG111" i="1"/>
  <c r="AH111" i="1"/>
  <c r="AI111" i="1"/>
  <c r="AA112" i="1"/>
  <c r="AB112" i="1"/>
  <c r="AC112" i="1"/>
  <c r="AD112" i="1"/>
  <c r="AE112" i="1"/>
  <c r="AF112" i="1"/>
  <c r="AG112" i="1"/>
  <c r="AH112" i="1"/>
  <c r="AI112" i="1"/>
  <c r="AA113" i="1"/>
  <c r="AB113" i="1"/>
  <c r="AC113" i="1"/>
  <c r="AD113" i="1"/>
  <c r="AE113" i="1"/>
  <c r="AF113" i="1"/>
  <c r="AG113" i="1"/>
  <c r="AH113" i="1"/>
  <c r="AI113" i="1"/>
  <c r="AA114" i="1"/>
  <c r="AB114" i="1"/>
  <c r="AC114" i="1"/>
  <c r="AD114" i="1"/>
  <c r="AE114" i="1"/>
  <c r="AF114" i="1"/>
  <c r="AG114" i="1"/>
  <c r="AH114" i="1"/>
  <c r="AI114" i="1"/>
  <c r="AA115" i="1"/>
  <c r="AB115" i="1"/>
  <c r="AC115" i="1"/>
  <c r="AD115" i="1"/>
  <c r="AE115" i="1"/>
  <c r="AF115" i="1"/>
  <c r="AG115" i="1"/>
  <c r="AH115" i="1"/>
  <c r="AI115" i="1"/>
  <c r="AA116" i="1"/>
  <c r="AB116" i="1"/>
  <c r="AC116" i="1"/>
  <c r="AD116" i="1"/>
  <c r="AE116" i="1"/>
  <c r="AF116" i="1"/>
  <c r="AG116" i="1"/>
  <c r="AH116" i="1"/>
  <c r="AI116" i="1"/>
  <c r="AA117" i="1"/>
  <c r="AB117" i="1"/>
  <c r="AC117" i="1"/>
  <c r="AD117" i="1"/>
  <c r="AE117" i="1"/>
  <c r="AF117" i="1"/>
  <c r="AG117" i="1"/>
  <c r="AH117" i="1"/>
  <c r="AI117" i="1"/>
  <c r="AA118" i="1"/>
  <c r="AB118" i="1"/>
  <c r="AC118" i="1"/>
  <c r="AD118" i="1"/>
  <c r="AE118" i="1"/>
  <c r="AF118" i="1"/>
  <c r="AG118" i="1"/>
  <c r="AH118" i="1"/>
  <c r="AI118" i="1"/>
  <c r="AA119" i="1"/>
  <c r="AB119" i="1"/>
  <c r="AC119" i="1"/>
  <c r="AD119" i="1"/>
  <c r="AE119" i="1"/>
  <c r="AF119" i="1"/>
  <c r="AG119" i="1"/>
  <c r="AH119" i="1"/>
  <c r="AI119" i="1"/>
  <c r="AA120" i="1"/>
  <c r="AB120" i="1"/>
  <c r="AC120" i="1"/>
  <c r="AD120" i="1"/>
  <c r="AE120" i="1"/>
  <c r="AF120" i="1"/>
  <c r="AG120" i="1"/>
  <c r="AH120" i="1"/>
  <c r="AI120" i="1"/>
  <c r="AA121" i="1"/>
  <c r="AB121" i="1"/>
  <c r="AC121" i="1"/>
  <c r="AD121" i="1"/>
  <c r="AE121" i="1"/>
  <c r="AF121" i="1"/>
  <c r="AG121" i="1"/>
  <c r="AH121" i="1"/>
  <c r="AI121" i="1"/>
  <c r="AA122" i="1"/>
  <c r="AB122" i="1"/>
  <c r="AC122" i="1"/>
  <c r="AD122" i="1"/>
  <c r="AE122" i="1"/>
  <c r="AF122" i="1"/>
  <c r="AG122" i="1"/>
  <c r="AH122" i="1"/>
  <c r="AI122" i="1"/>
  <c r="AA123" i="1"/>
  <c r="AB123" i="1"/>
  <c r="AC123" i="1"/>
  <c r="AD123" i="1"/>
  <c r="AE123" i="1"/>
  <c r="AF123" i="1"/>
  <c r="AG123" i="1"/>
  <c r="AH123" i="1"/>
  <c r="AI123" i="1"/>
  <c r="AA124" i="1"/>
  <c r="AB124" i="1"/>
  <c r="AC124" i="1"/>
  <c r="AD124" i="1"/>
  <c r="AE124" i="1"/>
  <c r="AF124" i="1"/>
  <c r="AG124" i="1"/>
  <c r="AH124" i="1"/>
  <c r="AI124" i="1"/>
  <c r="AA125" i="1"/>
  <c r="AB125" i="1"/>
  <c r="AC125" i="1"/>
  <c r="AD125" i="1"/>
  <c r="AE125" i="1"/>
  <c r="AF125" i="1"/>
  <c r="AG125" i="1"/>
  <c r="AH125" i="1"/>
  <c r="AI125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A28" i="1" l="1"/>
  <c r="AB28" i="1"/>
  <c r="AC28" i="1"/>
  <c r="AD28" i="1"/>
  <c r="AE28" i="1"/>
  <c r="AF28" i="1"/>
  <c r="AG28" i="1"/>
  <c r="AH28" i="1"/>
  <c r="AI28" i="1"/>
  <c r="AA29" i="1"/>
  <c r="AB29" i="1"/>
  <c r="AC29" i="1"/>
  <c r="AD29" i="1"/>
  <c r="AE29" i="1"/>
  <c r="AF29" i="1"/>
  <c r="AG29" i="1"/>
  <c r="AH29" i="1"/>
  <c r="AI29" i="1"/>
  <c r="AA30" i="1"/>
  <c r="AB30" i="1"/>
  <c r="AC30" i="1"/>
  <c r="AD30" i="1"/>
  <c r="AE30" i="1"/>
  <c r="AF30" i="1"/>
  <c r="AG30" i="1"/>
  <c r="AH30" i="1"/>
  <c r="AI30" i="1"/>
  <c r="AA31" i="1"/>
  <c r="AB31" i="1"/>
  <c r="AC31" i="1"/>
  <c r="AD31" i="1"/>
  <c r="AE31" i="1"/>
  <c r="AF31" i="1"/>
  <c r="AG31" i="1"/>
  <c r="AH31" i="1"/>
  <c r="AI31" i="1"/>
  <c r="AA32" i="1"/>
  <c r="AB32" i="1"/>
  <c r="AC32" i="1"/>
  <c r="AD32" i="1"/>
  <c r="AE32" i="1"/>
  <c r="AF32" i="1"/>
  <c r="AG32" i="1"/>
  <c r="AH32" i="1"/>
  <c r="AI32" i="1"/>
  <c r="AA33" i="1"/>
  <c r="AB33" i="1"/>
  <c r="AC33" i="1"/>
  <c r="AD33" i="1"/>
  <c r="AE33" i="1"/>
  <c r="AF33" i="1"/>
  <c r="AG33" i="1"/>
  <c r="AH33" i="1"/>
  <c r="AI33" i="1"/>
  <c r="AA34" i="1"/>
  <c r="AB34" i="1"/>
  <c r="AC34" i="1"/>
  <c r="AD34" i="1"/>
  <c r="AE34" i="1"/>
  <c r="AF34" i="1"/>
  <c r="AG34" i="1"/>
  <c r="AH34" i="1"/>
  <c r="AI34" i="1"/>
  <c r="AA35" i="1"/>
  <c r="AB35" i="1"/>
  <c r="AC35" i="1"/>
  <c r="AD35" i="1"/>
  <c r="AE35" i="1"/>
  <c r="AF35" i="1"/>
  <c r="AG35" i="1"/>
  <c r="AH35" i="1"/>
  <c r="AI35" i="1"/>
  <c r="AA36" i="1"/>
  <c r="AB36" i="1"/>
  <c r="AC36" i="1"/>
  <c r="AD36" i="1"/>
  <c r="AE36" i="1"/>
  <c r="AF36" i="1"/>
  <c r="AG36" i="1"/>
  <c r="AH36" i="1"/>
  <c r="AI36" i="1"/>
  <c r="AA37" i="1"/>
  <c r="AB37" i="1"/>
  <c r="AC37" i="1"/>
  <c r="AD37" i="1"/>
  <c r="AE37" i="1"/>
  <c r="AF37" i="1"/>
  <c r="AG37" i="1"/>
  <c r="AH37" i="1"/>
  <c r="AI37" i="1"/>
  <c r="AA38" i="1"/>
  <c r="AB38" i="1"/>
  <c r="AC38" i="1"/>
  <c r="AD38" i="1"/>
  <c r="AE38" i="1"/>
  <c r="AF38" i="1"/>
  <c r="AG38" i="1"/>
  <c r="AH38" i="1"/>
  <c r="AI38" i="1"/>
  <c r="AA39" i="1"/>
  <c r="AB39" i="1"/>
  <c r="AC39" i="1"/>
  <c r="AD39" i="1"/>
  <c r="AE39" i="1"/>
  <c r="AF39" i="1"/>
  <c r="AG39" i="1"/>
  <c r="AH39" i="1"/>
  <c r="AI39" i="1"/>
  <c r="AA40" i="1"/>
  <c r="AB40" i="1"/>
  <c r="AC40" i="1"/>
  <c r="AD40" i="1"/>
  <c r="AE40" i="1"/>
  <c r="AF40" i="1"/>
  <c r="AG40" i="1"/>
  <c r="AH40" i="1"/>
  <c r="AI40" i="1"/>
  <c r="AA41" i="1"/>
  <c r="AB41" i="1"/>
  <c r="AC41" i="1"/>
  <c r="AD41" i="1"/>
  <c r="AE41" i="1"/>
  <c r="AF41" i="1"/>
  <c r="AG41" i="1"/>
  <c r="AH41" i="1"/>
  <c r="AI41" i="1"/>
  <c r="AA42" i="1"/>
  <c r="AB42" i="1"/>
  <c r="AC42" i="1"/>
  <c r="AD42" i="1"/>
  <c r="AE42" i="1"/>
  <c r="AF42" i="1"/>
  <c r="AG42" i="1"/>
  <c r="AH42" i="1"/>
  <c r="AI42" i="1"/>
  <c r="AA43" i="1"/>
  <c r="AB43" i="1"/>
  <c r="AC43" i="1"/>
  <c r="AD43" i="1"/>
  <c r="AE43" i="1"/>
  <c r="AF43" i="1"/>
  <c r="AG43" i="1"/>
  <c r="AH43" i="1"/>
  <c r="AI43" i="1"/>
  <c r="AA44" i="1"/>
  <c r="AB44" i="1"/>
  <c r="AC44" i="1"/>
  <c r="AD44" i="1"/>
  <c r="AE44" i="1"/>
  <c r="AF44" i="1"/>
  <c r="AG44" i="1"/>
  <c r="AH44" i="1"/>
  <c r="AI44" i="1"/>
  <c r="AA45" i="1"/>
  <c r="AB45" i="1"/>
  <c r="AC45" i="1"/>
  <c r="AD45" i="1"/>
  <c r="AE45" i="1"/>
  <c r="AF45" i="1"/>
  <c r="AG45" i="1"/>
  <c r="AH45" i="1"/>
  <c r="AI45" i="1"/>
  <c r="AA46" i="1"/>
  <c r="AB46" i="1"/>
  <c r="AC46" i="1"/>
  <c r="AD46" i="1"/>
  <c r="AE46" i="1"/>
  <c r="AF46" i="1"/>
  <c r="AG46" i="1"/>
  <c r="AH46" i="1"/>
  <c r="AI46" i="1"/>
  <c r="AA47" i="1"/>
  <c r="AB47" i="1"/>
  <c r="AC47" i="1"/>
  <c r="AD47" i="1"/>
  <c r="AE47" i="1"/>
  <c r="AF47" i="1"/>
  <c r="AG47" i="1"/>
  <c r="AH47" i="1"/>
  <c r="AI47" i="1"/>
  <c r="AA48" i="1"/>
  <c r="AB48" i="1"/>
  <c r="AC48" i="1"/>
  <c r="AD48" i="1"/>
  <c r="AE48" i="1"/>
  <c r="AF48" i="1"/>
  <c r="AG48" i="1"/>
  <c r="AH48" i="1"/>
  <c r="AI48" i="1"/>
  <c r="AA49" i="1"/>
  <c r="AB49" i="1"/>
  <c r="AC49" i="1"/>
  <c r="AD49" i="1"/>
  <c r="AE49" i="1"/>
  <c r="AF49" i="1"/>
  <c r="AG49" i="1"/>
  <c r="AH49" i="1"/>
  <c r="AI49" i="1"/>
  <c r="AA50" i="1"/>
  <c r="AB50" i="1"/>
  <c r="AC50" i="1"/>
  <c r="AD50" i="1"/>
  <c r="AE50" i="1"/>
  <c r="AF50" i="1"/>
  <c r="AG50" i="1"/>
  <c r="AH50" i="1"/>
  <c r="AI50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16" i="1"/>
  <c r="AB16" i="1"/>
  <c r="AC16" i="1"/>
  <c r="AD16" i="1"/>
  <c r="AE16" i="1"/>
  <c r="AF16" i="1"/>
  <c r="AG16" i="1"/>
  <c r="AH16" i="1"/>
  <c r="AI16" i="1"/>
  <c r="AA17" i="1"/>
  <c r="AB17" i="1"/>
  <c r="AC17" i="1"/>
  <c r="AD17" i="1"/>
  <c r="AE17" i="1"/>
  <c r="AF17" i="1"/>
  <c r="AG17" i="1"/>
  <c r="AH17" i="1"/>
  <c r="AI17" i="1"/>
  <c r="AA18" i="1"/>
  <c r="AB18" i="1"/>
  <c r="AC18" i="1"/>
  <c r="AD18" i="1"/>
  <c r="AE18" i="1"/>
  <c r="AF18" i="1"/>
  <c r="AG18" i="1"/>
  <c r="AH18" i="1"/>
  <c r="AI18" i="1"/>
  <c r="AA19" i="1"/>
  <c r="AB19" i="1"/>
  <c r="AC19" i="1"/>
  <c r="AD19" i="1"/>
  <c r="AE19" i="1"/>
  <c r="AF19" i="1"/>
  <c r="AG19" i="1"/>
  <c r="AH19" i="1"/>
  <c r="AI19" i="1"/>
  <c r="AA20" i="1"/>
  <c r="AB20" i="1"/>
  <c r="AC20" i="1"/>
  <c r="AD20" i="1"/>
  <c r="AE20" i="1"/>
  <c r="AF20" i="1"/>
  <c r="AG20" i="1"/>
  <c r="AH20" i="1"/>
  <c r="AI20" i="1"/>
  <c r="AA21" i="1"/>
  <c r="AB21" i="1"/>
  <c r="AC21" i="1"/>
  <c r="AD21" i="1"/>
  <c r="AE21" i="1"/>
  <c r="AF21" i="1"/>
  <c r="AG21" i="1"/>
  <c r="AH21" i="1"/>
  <c r="AI21" i="1"/>
  <c r="AA22" i="1"/>
  <c r="AB22" i="1"/>
  <c r="AC22" i="1"/>
  <c r="AD22" i="1"/>
  <c r="AE22" i="1"/>
  <c r="AF22" i="1"/>
  <c r="AG22" i="1"/>
  <c r="AH22" i="1"/>
  <c r="AI22" i="1"/>
  <c r="AA23" i="1"/>
  <c r="AB23" i="1"/>
  <c r="AC23" i="1"/>
  <c r="AD23" i="1"/>
  <c r="AE23" i="1"/>
  <c r="AF23" i="1"/>
  <c r="AG23" i="1"/>
  <c r="AH23" i="1"/>
  <c r="AI23" i="1"/>
  <c r="AA24" i="1"/>
  <c r="AB24" i="1"/>
  <c r="AC24" i="1"/>
  <c r="AD24" i="1"/>
  <c r="AE24" i="1"/>
  <c r="AF24" i="1"/>
  <c r="AG24" i="1"/>
  <c r="AH24" i="1"/>
  <c r="AI24" i="1"/>
  <c r="AA25" i="1"/>
  <c r="AB25" i="1"/>
  <c r="AC25" i="1"/>
  <c r="AD25" i="1"/>
  <c r="AE25" i="1"/>
  <c r="AF25" i="1"/>
  <c r="AG25" i="1"/>
  <c r="AH25" i="1"/>
  <c r="AI25" i="1"/>
  <c r="AA26" i="1"/>
  <c r="AB26" i="1"/>
  <c r="AC26" i="1"/>
  <c r="AD26" i="1"/>
  <c r="AE26" i="1"/>
  <c r="AF26" i="1"/>
  <c r="AG26" i="1"/>
  <c r="AH26" i="1"/>
  <c r="AI26" i="1"/>
  <c r="AA27" i="1"/>
  <c r="AB27" i="1"/>
  <c r="AC27" i="1"/>
  <c r="AD27" i="1"/>
  <c r="AE27" i="1"/>
  <c r="AF27" i="1"/>
  <c r="AG27" i="1"/>
  <c r="AH27" i="1"/>
  <c r="AI27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I5" i="5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A5" i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<sst xmlns="http://schemas.openxmlformats.org/spreadsheetml/2006/main" count="1522" uniqueCount="310">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</sst>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14" fontId="1" fillId="5" borderId="0" xfId="6" applyNumberFormat="1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4" fontId="1" fillId="8" borderId="0" xfId="9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25"/>
  <sheetViews>
    <sheetView showGridLines="0" tabSelected="1" topLeftCell="A72" zoomScaleNormal="100" workbookViewId="0">
      <selection activeCell="B4" sqref="B4:Z125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21.75" thickBot="1" x14ac:dyDescent="0.3">
      <c r="C2" s="84" t="s">
        <v>0</v>
      </c>
      <c r="D2" s="85"/>
      <c r="E2" s="85"/>
      <c r="F2" s="85"/>
      <c r="G2" s="85"/>
      <c r="H2" s="85"/>
      <c r="I2" s="86" t="s">
        <v>1</v>
      </c>
      <c r="J2" s="86"/>
      <c r="K2" s="86"/>
      <c r="L2" s="86"/>
      <c r="M2" s="86"/>
      <c r="N2" s="86"/>
      <c r="O2" s="86"/>
      <c r="P2" s="86"/>
      <c r="Q2" s="86"/>
      <c r="R2" s="87" t="s">
        <v>2</v>
      </c>
      <c r="S2" s="87"/>
      <c r="T2" s="87"/>
      <c r="U2" s="87"/>
      <c r="V2" s="87"/>
      <c r="W2" s="87"/>
      <c r="X2" s="87"/>
      <c r="Y2" s="87"/>
      <c r="Z2" s="87"/>
      <c r="AA2" s="88" t="s">
        <v>3</v>
      </c>
      <c r="AB2" s="88"/>
      <c r="AC2" s="88"/>
      <c r="AD2" s="88"/>
      <c r="AE2" s="88"/>
      <c r="AF2" s="88"/>
      <c r="AG2" s="88"/>
      <c r="AH2" s="88"/>
      <c r="AI2" s="89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82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46064</v>
      </c>
      <c r="D4" s="80" t="s">
        <v>208</v>
      </c>
      <c r="E4" s="80" t="s">
        <v>209</v>
      </c>
      <c r="F4" t="s">
        <v>210</v>
      </c>
      <c r="G4" s="20">
        <v>13.06176</v>
      </c>
      <c r="H4" s="20">
        <v>105.45</v>
      </c>
      <c r="I4" s="75">
        <v>5.458865866</v>
      </c>
      <c r="J4" s="64">
        <v>193.921395523</v>
      </c>
      <c r="K4" s="76">
        <v>0.73380425999999999</v>
      </c>
      <c r="L4" s="76">
        <v>4.31780872451498E-2</v>
      </c>
      <c r="M4" s="20">
        <v>0.693001536273118</v>
      </c>
      <c r="N4" s="20">
        <v>1.310789644</v>
      </c>
      <c r="O4" s="20">
        <v>4.8073541999999997E-2</v>
      </c>
      <c r="P4" s="64">
        <v>3.6675253134667001</v>
      </c>
      <c r="Q4" s="64">
        <v>0</v>
      </c>
      <c r="R4" s="75">
        <v>5.5188473</v>
      </c>
      <c r="S4" s="64">
        <v>199.990217094</v>
      </c>
      <c r="T4" s="76">
        <v>0.73979668899999995</v>
      </c>
      <c r="U4" s="76">
        <v>4.3690882882881199E-2</v>
      </c>
      <c r="V4" s="20">
        <v>0.69820610526315696</v>
      </c>
      <c r="W4" s="20">
        <v>1.1342206800000001</v>
      </c>
      <c r="X4" s="20">
        <v>4.0598833000000001E-2</v>
      </c>
      <c r="Y4" s="64">
        <v>3.5794474316937999</v>
      </c>
      <c r="Z4" s="64">
        <v>0</v>
      </c>
      <c r="AA4" s="77">
        <f t="shared" ref="AA4:AA12" si="0">I4-R4</f>
        <v>-5.9981434E-2</v>
      </c>
      <c r="AB4" s="62">
        <f t="shared" ref="AB4:AB12" si="1">J4-S4</f>
        <v>-6.0688215710000009</v>
      </c>
      <c r="AC4" s="78">
        <f t="shared" ref="AC4:AC12" si="2">K4-T4</f>
        <v>-5.9924289999999658E-3</v>
      </c>
      <c r="AD4" s="78">
        <f t="shared" ref="AD4:AD12" si="3">L4-U4</f>
        <v>-5.1279563773139886E-4</v>
      </c>
      <c r="AE4" s="15">
        <f t="shared" ref="AE4:AE12" si="4">M4-V4</f>
        <v>-5.2045689900389602E-3</v>
      </c>
      <c r="AF4" s="15">
        <f t="shared" ref="AF4:AF12" si="5">N4-W4</f>
        <v>0.17656896399999988</v>
      </c>
      <c r="AG4" s="15">
        <f t="shared" ref="AG4:AG12" si="6">O4-X4</f>
        <v>7.4747089999999961E-3</v>
      </c>
      <c r="AH4" s="78">
        <f t="shared" ref="AH4:AH12" si="7">P4-Y4</f>
        <v>8.8077881772900213E-2</v>
      </c>
      <c r="AI4" s="79">
        <f t="shared" ref="AI4:AI12" si="8">Q4-Z4</f>
        <v>0</v>
      </c>
    </row>
    <row r="5" spans="2:35" x14ac:dyDescent="0.25">
      <c r="B5" t="s">
        <v>207</v>
      </c>
      <c r="C5" s="19">
        <v>46064</v>
      </c>
      <c r="D5" s="80" t="s">
        <v>208</v>
      </c>
      <c r="E5" s="80" t="s">
        <v>246</v>
      </c>
      <c r="F5" t="s">
        <v>247</v>
      </c>
      <c r="G5" s="20">
        <v>9.5472800000000007</v>
      </c>
      <c r="H5" s="20">
        <v>115.68904999999999</v>
      </c>
      <c r="I5" s="75">
        <v>6.3114005769999997</v>
      </c>
      <c r="J5" s="64">
        <v>231.43789822400001</v>
      </c>
      <c r="K5" s="76">
        <v>6.3175758059999998</v>
      </c>
      <c r="L5" s="76">
        <v>0.42556154277348501</v>
      </c>
      <c r="M5" s="20">
        <v>4.6123460949847903</v>
      </c>
      <c r="N5" s="20">
        <v>3.3136100000000001E-4</v>
      </c>
      <c r="O5" s="20">
        <v>0</v>
      </c>
      <c r="P5" s="64" t="s">
        <v>248</v>
      </c>
      <c r="Q5" s="64">
        <v>0</v>
      </c>
      <c r="R5" s="75">
        <v>6.3114005769999997</v>
      </c>
      <c r="S5" s="64">
        <v>231.43789822400001</v>
      </c>
      <c r="T5" s="76">
        <v>6.3175758059999998</v>
      </c>
      <c r="U5" s="76">
        <v>0.42556154277348501</v>
      </c>
      <c r="V5" s="20">
        <v>4.6123460949847903</v>
      </c>
      <c r="W5" s="20">
        <v>3.3136100000000001E-4</v>
      </c>
      <c r="X5" s="20">
        <v>0</v>
      </c>
      <c r="Y5" s="64" t="s">
        <v>248</v>
      </c>
      <c r="Z5" s="64">
        <v>0</v>
      </c>
      <c r="AA5" s="77">
        <f t="shared" si="0"/>
        <v>0</v>
      </c>
      <c r="AB5" s="62">
        <f t="shared" si="1"/>
        <v>0</v>
      </c>
      <c r="AC5" s="78">
        <f t="shared" si="2"/>
        <v>0</v>
      </c>
      <c r="AD5" s="78">
        <f t="shared" si="3"/>
        <v>0</v>
      </c>
      <c r="AE5" s="15">
        <f t="shared" si="4"/>
        <v>0</v>
      </c>
      <c r="AF5" s="15">
        <f t="shared" si="5"/>
        <v>0</v>
      </c>
      <c r="AG5" s="15">
        <f t="shared" si="6"/>
        <v>0</v>
      </c>
      <c r="AH5" s="78" t="e">
        <f t="shared" si="7"/>
        <v>#VALUE!</v>
      </c>
      <c r="AI5" s="79">
        <f t="shared" si="8"/>
        <v>0</v>
      </c>
    </row>
    <row r="6" spans="2:35" x14ac:dyDescent="0.25">
      <c r="B6" t="s">
        <v>207</v>
      </c>
      <c r="C6" s="19">
        <v>46064</v>
      </c>
      <c r="D6" s="80" t="s">
        <v>31</v>
      </c>
      <c r="E6" s="80" t="s">
        <v>32</v>
      </c>
      <c r="F6" t="s">
        <v>33</v>
      </c>
      <c r="G6" s="20">
        <v>9.6972799999999992</v>
      </c>
      <c r="H6" s="20">
        <v>103.109375</v>
      </c>
      <c r="I6" s="75">
        <v>5.1924445950000004</v>
      </c>
      <c r="J6" s="64">
        <v>165.216657164</v>
      </c>
      <c r="K6" s="76">
        <v>0.70833333300000001</v>
      </c>
      <c r="L6" s="76">
        <v>3.8336078557365101E-2</v>
      </c>
      <c r="M6" s="20">
        <v>0.67571859202909301</v>
      </c>
      <c r="N6" s="20">
        <v>0.45613566700000002</v>
      </c>
      <c r="O6" s="20">
        <v>1.8269369000000001E-2</v>
      </c>
      <c r="P6" s="64">
        <v>4.00524894712958</v>
      </c>
      <c r="Q6" s="64">
        <v>0</v>
      </c>
      <c r="R6" s="75">
        <v>5.1924445950000004</v>
      </c>
      <c r="S6" s="64">
        <v>165.216657164</v>
      </c>
      <c r="T6" s="76">
        <v>0.70833333300000001</v>
      </c>
      <c r="U6" s="76">
        <v>3.8336078557365101E-2</v>
      </c>
      <c r="V6" s="20">
        <v>0.67571859202909301</v>
      </c>
      <c r="W6" s="20">
        <v>0.35729050800000001</v>
      </c>
      <c r="X6" s="20">
        <v>1.4629513E-2</v>
      </c>
      <c r="Y6" s="64">
        <v>4.0945708526911098</v>
      </c>
      <c r="Z6" s="64">
        <v>0</v>
      </c>
      <c r="AA6" s="77">
        <f t="shared" si="0"/>
        <v>0</v>
      </c>
      <c r="AB6" s="62">
        <f t="shared" si="1"/>
        <v>0</v>
      </c>
      <c r="AC6" s="78">
        <f t="shared" si="2"/>
        <v>0</v>
      </c>
      <c r="AD6" s="78">
        <f t="shared" si="3"/>
        <v>0</v>
      </c>
      <c r="AE6" s="15">
        <f t="shared" si="4"/>
        <v>0</v>
      </c>
      <c r="AF6" s="15">
        <f t="shared" si="5"/>
        <v>9.8845159000000016E-2</v>
      </c>
      <c r="AG6" s="15">
        <f t="shared" si="6"/>
        <v>3.6398560000000003E-3</v>
      </c>
      <c r="AH6" s="78">
        <f t="shared" si="7"/>
        <v>-8.9321905561529746E-2</v>
      </c>
      <c r="AI6" s="79">
        <f t="shared" si="8"/>
        <v>0</v>
      </c>
    </row>
    <row r="7" spans="2:35" x14ac:dyDescent="0.25">
      <c r="B7" t="s">
        <v>207</v>
      </c>
      <c r="C7" s="19">
        <v>46064</v>
      </c>
      <c r="D7" s="80" t="s">
        <v>31</v>
      </c>
      <c r="E7" s="80" t="s">
        <v>34</v>
      </c>
      <c r="F7" t="s">
        <v>35</v>
      </c>
      <c r="G7" s="20">
        <v>9.8972800000000003</v>
      </c>
      <c r="H7" s="20">
        <v>103.523438</v>
      </c>
      <c r="I7" s="75">
        <v>5.2899512499999997</v>
      </c>
      <c r="J7" s="64">
        <v>177.76493014600001</v>
      </c>
      <c r="K7" s="76">
        <v>0.78888888899999998</v>
      </c>
      <c r="L7" s="76">
        <v>3.8969190725687303E-2</v>
      </c>
      <c r="M7" s="20">
        <v>0.75089453076317003</v>
      </c>
      <c r="N7" s="20">
        <v>0.70646181699999999</v>
      </c>
      <c r="O7" s="20">
        <v>3.9179328999999999E-2</v>
      </c>
      <c r="P7" s="64">
        <v>5.5458523103733404</v>
      </c>
      <c r="Q7" s="64">
        <v>0</v>
      </c>
      <c r="R7" s="75">
        <v>5.2899512499999997</v>
      </c>
      <c r="S7" s="64">
        <v>177.76493014600001</v>
      </c>
      <c r="T7" s="76">
        <v>0.78888888899999998</v>
      </c>
      <c r="U7" s="76">
        <v>3.8969190725687303E-2</v>
      </c>
      <c r="V7" s="20">
        <v>0.75089453076317003</v>
      </c>
      <c r="W7" s="20">
        <v>0.546641355</v>
      </c>
      <c r="X7" s="20">
        <v>2.9266178E-2</v>
      </c>
      <c r="Y7" s="64">
        <v>5.3538170378638803</v>
      </c>
      <c r="Z7" s="64">
        <v>0</v>
      </c>
      <c r="AA7" s="77">
        <f t="shared" si="0"/>
        <v>0</v>
      </c>
      <c r="AB7" s="62">
        <f t="shared" si="1"/>
        <v>0</v>
      </c>
      <c r="AC7" s="78">
        <f t="shared" si="2"/>
        <v>0</v>
      </c>
      <c r="AD7" s="78">
        <f t="shared" si="3"/>
        <v>0</v>
      </c>
      <c r="AE7" s="15">
        <f t="shared" si="4"/>
        <v>0</v>
      </c>
      <c r="AF7" s="15">
        <f t="shared" si="5"/>
        <v>0.159820462</v>
      </c>
      <c r="AG7" s="15">
        <f t="shared" si="6"/>
        <v>9.9131509999999985E-3</v>
      </c>
      <c r="AH7" s="78">
        <f t="shared" si="7"/>
        <v>0.19203527250946006</v>
      </c>
      <c r="AI7" s="79">
        <f t="shared" si="8"/>
        <v>0</v>
      </c>
    </row>
    <row r="8" spans="2:35" x14ac:dyDescent="0.25">
      <c r="B8" t="s">
        <v>207</v>
      </c>
      <c r="C8" s="19">
        <v>46064</v>
      </c>
      <c r="D8" s="80" t="s">
        <v>31</v>
      </c>
      <c r="E8" s="80" t="s">
        <v>36</v>
      </c>
      <c r="F8" t="s">
        <v>37</v>
      </c>
      <c r="G8" s="20">
        <v>11.34728</v>
      </c>
      <c r="H8" s="20">
        <v>105.45</v>
      </c>
      <c r="I8" s="75">
        <v>5.4100207820000001</v>
      </c>
      <c r="J8" s="64">
        <v>194.14105544899999</v>
      </c>
      <c r="K8" s="76">
        <v>0.95555555599999997</v>
      </c>
      <c r="L8" s="76">
        <v>4.6124756756757E-2</v>
      </c>
      <c r="M8" s="20">
        <v>0.89786332195352903</v>
      </c>
      <c r="N8" s="20">
        <v>0.81078783499999996</v>
      </c>
      <c r="O8" s="20">
        <v>4.8675969999999999E-2</v>
      </c>
      <c r="P8" s="64">
        <v>6.0035397546387701</v>
      </c>
      <c r="Q8" s="64">
        <v>0</v>
      </c>
      <c r="R8" s="75">
        <v>5.4100207820000001</v>
      </c>
      <c r="S8" s="64">
        <v>194.14105544899999</v>
      </c>
      <c r="T8" s="76">
        <v>0.95555555599999997</v>
      </c>
      <c r="U8" s="76">
        <v>4.6124756756757E-2</v>
      </c>
      <c r="V8" s="20">
        <v>0.89786332195352903</v>
      </c>
      <c r="W8" s="20">
        <v>0.62801753500000002</v>
      </c>
      <c r="X8" s="20">
        <v>3.7564571999999997E-2</v>
      </c>
      <c r="Y8" s="64">
        <v>5.9814527312521601</v>
      </c>
      <c r="Z8" s="64">
        <v>0</v>
      </c>
      <c r="AA8" s="77">
        <f t="shared" si="0"/>
        <v>0</v>
      </c>
      <c r="AB8" s="62">
        <f t="shared" si="1"/>
        <v>0</v>
      </c>
      <c r="AC8" s="78">
        <f t="shared" si="2"/>
        <v>0</v>
      </c>
      <c r="AD8" s="78">
        <f t="shared" si="3"/>
        <v>0</v>
      </c>
      <c r="AE8" s="15">
        <f t="shared" si="4"/>
        <v>0</v>
      </c>
      <c r="AF8" s="15">
        <f t="shared" si="5"/>
        <v>0.18277029999999994</v>
      </c>
      <c r="AG8" s="15">
        <f t="shared" si="6"/>
        <v>1.1111398000000001E-2</v>
      </c>
      <c r="AH8" s="78">
        <f t="shared" si="7"/>
        <v>2.208702338660995E-2</v>
      </c>
      <c r="AI8" s="79">
        <f t="shared" si="8"/>
        <v>0</v>
      </c>
    </row>
    <row r="9" spans="2:35" x14ac:dyDescent="0.25">
      <c r="B9" t="s">
        <v>207</v>
      </c>
      <c r="C9" s="19">
        <v>46064</v>
      </c>
      <c r="D9" s="80" t="s">
        <v>31</v>
      </c>
      <c r="E9" s="80" t="s">
        <v>38</v>
      </c>
      <c r="F9" t="s">
        <v>39</v>
      </c>
      <c r="G9" s="20">
        <v>13.197279999999999</v>
      </c>
      <c r="H9" s="20">
        <v>108.5</v>
      </c>
      <c r="I9" s="75">
        <v>5.2487755810000003</v>
      </c>
      <c r="J9" s="64">
        <v>177.649952953</v>
      </c>
      <c r="K9" s="76">
        <v>1.122222222</v>
      </c>
      <c r="L9" s="76">
        <v>6.21768912442364E-2</v>
      </c>
      <c r="M9" s="20">
        <v>1.03381526175116</v>
      </c>
      <c r="N9" s="20">
        <v>0.61915643600000003</v>
      </c>
      <c r="O9" s="20">
        <v>3.4817359999999999E-2</v>
      </c>
      <c r="P9" s="64">
        <v>5.6233542890927799</v>
      </c>
      <c r="Q9" s="64">
        <v>0</v>
      </c>
      <c r="R9" s="75">
        <v>5.2487755810000003</v>
      </c>
      <c r="S9" s="64">
        <v>177.649952953</v>
      </c>
      <c r="T9" s="76">
        <v>1.122222222</v>
      </c>
      <c r="U9" s="76">
        <v>6.21768912442364E-2</v>
      </c>
      <c r="V9" s="20">
        <v>1.03381526175116</v>
      </c>
      <c r="W9" s="20">
        <v>0.46273329899999999</v>
      </c>
      <c r="X9" s="20">
        <v>2.6475373999999999E-2</v>
      </c>
      <c r="Y9" s="64">
        <v>5.72151908177241</v>
      </c>
      <c r="Z9" s="64">
        <v>0</v>
      </c>
      <c r="AA9" s="77">
        <f t="shared" si="0"/>
        <v>0</v>
      </c>
      <c r="AB9" s="62">
        <f t="shared" si="1"/>
        <v>0</v>
      </c>
      <c r="AC9" s="78">
        <f t="shared" si="2"/>
        <v>0</v>
      </c>
      <c r="AD9" s="78">
        <f t="shared" si="3"/>
        <v>0</v>
      </c>
      <c r="AE9" s="15">
        <f t="shared" si="4"/>
        <v>0</v>
      </c>
      <c r="AF9" s="15">
        <f t="shared" si="5"/>
        <v>0.15642313700000005</v>
      </c>
      <c r="AG9" s="15">
        <f t="shared" si="6"/>
        <v>8.3419859999999992E-3</v>
      </c>
      <c r="AH9" s="78">
        <f t="shared" si="7"/>
        <v>-9.8164792679630075E-2</v>
      </c>
      <c r="AI9" s="79">
        <f t="shared" si="8"/>
        <v>0</v>
      </c>
    </row>
    <row r="10" spans="2:35" x14ac:dyDescent="0.25">
      <c r="B10" t="s">
        <v>207</v>
      </c>
      <c r="C10" s="19">
        <v>46064</v>
      </c>
      <c r="D10" s="80" t="s">
        <v>31</v>
      </c>
      <c r="E10" s="80" t="s">
        <v>40</v>
      </c>
      <c r="F10" t="s">
        <v>41</v>
      </c>
      <c r="G10" s="20">
        <v>14.297280000000001</v>
      </c>
      <c r="H10" s="20">
        <v>111.05</v>
      </c>
      <c r="I10" s="75">
        <v>5.2574778560000004</v>
      </c>
      <c r="J10" s="64">
        <v>177.72382129900001</v>
      </c>
      <c r="K10" s="76">
        <v>1.2888888890000001</v>
      </c>
      <c r="L10" s="76">
        <v>7.8539744259345803E-2</v>
      </c>
      <c r="M10" s="20">
        <v>1.1711689851418201</v>
      </c>
      <c r="N10" s="20">
        <v>0.72782727000000003</v>
      </c>
      <c r="O10" s="20">
        <v>4.2358530999999998E-2</v>
      </c>
      <c r="P10" s="64">
        <v>5.8198603907765101</v>
      </c>
      <c r="Q10" s="64">
        <v>0</v>
      </c>
      <c r="R10" s="75">
        <v>5.2574778560000004</v>
      </c>
      <c r="S10" s="64">
        <v>177.72382129900001</v>
      </c>
      <c r="T10" s="76">
        <v>1.2888888890000001</v>
      </c>
      <c r="U10" s="76">
        <v>7.8539744259345803E-2</v>
      </c>
      <c r="V10" s="20">
        <v>1.1711689851418201</v>
      </c>
      <c r="W10" s="20">
        <v>0.55284703400000001</v>
      </c>
      <c r="X10" s="20">
        <v>3.1206085000000001E-2</v>
      </c>
      <c r="Y10" s="64">
        <v>5.6446147091023402</v>
      </c>
      <c r="Z10" s="64">
        <v>0</v>
      </c>
      <c r="AA10" s="77">
        <f t="shared" si="0"/>
        <v>0</v>
      </c>
      <c r="AB10" s="62">
        <f t="shared" si="1"/>
        <v>0</v>
      </c>
      <c r="AC10" s="78">
        <f t="shared" si="2"/>
        <v>0</v>
      </c>
      <c r="AD10" s="78">
        <f t="shared" si="3"/>
        <v>0</v>
      </c>
      <c r="AE10" s="15">
        <f t="shared" si="4"/>
        <v>0</v>
      </c>
      <c r="AF10" s="15">
        <f t="shared" si="5"/>
        <v>0.17498023600000001</v>
      </c>
      <c r="AG10" s="15">
        <f t="shared" si="6"/>
        <v>1.1152445999999996E-2</v>
      </c>
      <c r="AH10" s="78">
        <f t="shared" si="7"/>
        <v>0.17524568167416987</v>
      </c>
      <c r="AI10" s="79">
        <f t="shared" si="8"/>
        <v>0</v>
      </c>
    </row>
    <row r="11" spans="2:35" x14ac:dyDescent="0.25">
      <c r="B11" t="s">
        <v>207</v>
      </c>
      <c r="C11" s="19">
        <v>46064</v>
      </c>
      <c r="D11" s="80" t="s">
        <v>31</v>
      </c>
      <c r="E11" s="80" t="s">
        <v>42</v>
      </c>
      <c r="F11" t="s">
        <v>43</v>
      </c>
      <c r="G11" s="20">
        <v>15.697279999999999</v>
      </c>
      <c r="H11" s="20">
        <v>113.5</v>
      </c>
      <c r="I11" s="75">
        <v>5.330055089</v>
      </c>
      <c r="J11" s="64">
        <v>184.563379129</v>
      </c>
      <c r="K11" s="76">
        <v>1.372222222</v>
      </c>
      <c r="L11" s="76">
        <v>9.3943810572686706E-2</v>
      </c>
      <c r="M11" s="20">
        <v>1.2331960396475801</v>
      </c>
      <c r="N11" s="20">
        <v>0.80000180399999998</v>
      </c>
      <c r="O11" s="20">
        <v>5.3854588000000002E-2</v>
      </c>
      <c r="P11" s="64">
        <v>6.7318083197722398</v>
      </c>
      <c r="Q11" s="64">
        <v>0</v>
      </c>
      <c r="R11" s="75">
        <v>5.330055089</v>
      </c>
      <c r="S11" s="64">
        <v>184.563379129</v>
      </c>
      <c r="T11" s="76">
        <v>1.372222222</v>
      </c>
      <c r="U11" s="76">
        <v>9.3943810572686706E-2</v>
      </c>
      <c r="V11" s="20">
        <v>1.2331960396475801</v>
      </c>
      <c r="W11" s="20">
        <v>0.62387403900000005</v>
      </c>
      <c r="X11" s="20">
        <v>4.0548963E-2</v>
      </c>
      <c r="Y11" s="64">
        <v>6.4995432515504898</v>
      </c>
      <c r="Z11" s="64">
        <v>0</v>
      </c>
      <c r="AA11" s="77">
        <f t="shared" si="0"/>
        <v>0</v>
      </c>
      <c r="AB11" s="62">
        <f t="shared" si="1"/>
        <v>0</v>
      </c>
      <c r="AC11" s="78">
        <f t="shared" si="2"/>
        <v>0</v>
      </c>
      <c r="AD11" s="78">
        <f t="shared" si="3"/>
        <v>0</v>
      </c>
      <c r="AE11" s="15">
        <f t="shared" si="4"/>
        <v>0</v>
      </c>
      <c r="AF11" s="15">
        <f t="shared" si="5"/>
        <v>0.17612776499999994</v>
      </c>
      <c r="AG11" s="15">
        <f t="shared" si="6"/>
        <v>1.3305625000000001E-2</v>
      </c>
      <c r="AH11" s="78">
        <f t="shared" si="7"/>
        <v>0.23226506822174997</v>
      </c>
      <c r="AI11" s="79">
        <f t="shared" si="8"/>
        <v>0</v>
      </c>
    </row>
    <row r="12" spans="2:35" x14ac:dyDescent="0.25">
      <c r="B12" t="s">
        <v>207</v>
      </c>
      <c r="C12" s="19">
        <v>46064</v>
      </c>
      <c r="D12" s="80" t="s">
        <v>31</v>
      </c>
      <c r="E12" s="80" t="s">
        <v>158</v>
      </c>
      <c r="F12" t="s">
        <v>159</v>
      </c>
      <c r="G12" s="20">
        <v>11.411759999999999</v>
      </c>
      <c r="H12" s="20">
        <v>121.985725</v>
      </c>
      <c r="I12" s="75">
        <v>5.2620173530000001</v>
      </c>
      <c r="J12" s="64">
        <v>160.876669733</v>
      </c>
      <c r="K12" s="76">
        <v>4.1222222220000004</v>
      </c>
      <c r="L12" s="76">
        <v>0.318034255237646</v>
      </c>
      <c r="M12" s="20">
        <v>3.3652491248463599</v>
      </c>
      <c r="N12" s="20">
        <v>1.8737224910000001</v>
      </c>
      <c r="O12" s="20">
        <v>0.143518171</v>
      </c>
      <c r="P12" s="64">
        <v>7.6595211771944296</v>
      </c>
      <c r="Q12" s="64">
        <v>0</v>
      </c>
      <c r="R12" s="75">
        <v>5.2620173530000001</v>
      </c>
      <c r="S12" s="64">
        <v>160.876669733</v>
      </c>
      <c r="T12" s="76">
        <v>4.1222222220000004</v>
      </c>
      <c r="U12" s="76">
        <v>0.318034255237646</v>
      </c>
      <c r="V12" s="20">
        <v>3.3652491248463599</v>
      </c>
      <c r="W12" s="20">
        <v>1.769728025</v>
      </c>
      <c r="X12" s="20">
        <v>0.133435847</v>
      </c>
      <c r="Y12" s="64">
        <v>7.53990698655518</v>
      </c>
      <c r="Z12" s="64">
        <v>0</v>
      </c>
      <c r="AA12" s="77">
        <f t="shared" si="0"/>
        <v>0</v>
      </c>
      <c r="AB12" s="62">
        <f t="shared" si="1"/>
        <v>0</v>
      </c>
      <c r="AC12" s="78">
        <f t="shared" si="2"/>
        <v>0</v>
      </c>
      <c r="AD12" s="78">
        <f t="shared" si="3"/>
        <v>0</v>
      </c>
      <c r="AE12" s="15">
        <f t="shared" si="4"/>
        <v>0</v>
      </c>
      <c r="AF12" s="15">
        <f t="shared" si="5"/>
        <v>0.10399446600000006</v>
      </c>
      <c r="AG12" s="15">
        <f t="shared" si="6"/>
        <v>1.0082324000000004E-2</v>
      </c>
      <c r="AH12" s="78">
        <f t="shared" si="7"/>
        <v>0.11961419063924961</v>
      </c>
      <c r="AI12" s="79">
        <f t="shared" si="8"/>
        <v>0</v>
      </c>
    </row>
    <row r="13" spans="2:35" x14ac:dyDescent="0.25">
      <c r="B13" t="s">
        <v>207</v>
      </c>
      <c r="C13" s="19">
        <v>46064</v>
      </c>
      <c r="D13" s="80" t="s">
        <v>31</v>
      </c>
      <c r="E13" s="80" t="s">
        <v>160</v>
      </c>
      <c r="F13" t="s">
        <v>161</v>
      </c>
      <c r="G13" s="20">
        <v>8.4472799999999992</v>
      </c>
      <c r="H13" s="20">
        <v>112.109375</v>
      </c>
      <c r="I13" s="75">
        <v>5.4608496960000004</v>
      </c>
      <c r="J13" s="64">
        <v>173.586519235</v>
      </c>
      <c r="K13" s="76">
        <v>4.9611111110000001</v>
      </c>
      <c r="L13" s="76">
        <v>0.191070563902449</v>
      </c>
      <c r="M13" s="20">
        <v>4.0945240931010396</v>
      </c>
      <c r="N13" s="20">
        <v>0.33423682199999999</v>
      </c>
      <c r="O13" s="20">
        <v>1.4413319000000001E-2</v>
      </c>
      <c r="P13" s="64">
        <v>4.3123073375799397</v>
      </c>
      <c r="Q13" s="64">
        <v>0</v>
      </c>
      <c r="R13" s="75">
        <v>5.4608496960000004</v>
      </c>
      <c r="S13" s="64">
        <v>173.586519235</v>
      </c>
      <c r="T13" s="76">
        <v>4.9611111110000001</v>
      </c>
      <c r="U13" s="76">
        <v>0.191070563902449</v>
      </c>
      <c r="V13" s="20">
        <v>4.0945240931010396</v>
      </c>
      <c r="W13" s="20">
        <v>0.29590139500000001</v>
      </c>
      <c r="X13" s="20">
        <v>1.3074918E-2</v>
      </c>
      <c r="Y13" s="64">
        <v>4.4186739978025402</v>
      </c>
      <c r="Z13" s="64">
        <v>0</v>
      </c>
      <c r="AA13" s="77">
        <f t="shared" ref="AA13:AA27" si="9">I13-R13</f>
        <v>0</v>
      </c>
      <c r="AB13" s="62">
        <f t="shared" ref="AB13:AB27" si="10">J13-S13</f>
        <v>0</v>
      </c>
      <c r="AC13" s="78">
        <f t="shared" ref="AC13:AC27" si="11">K13-T13</f>
        <v>0</v>
      </c>
      <c r="AD13" s="78">
        <f t="shared" ref="AD13:AD27" si="12">L13-U13</f>
        <v>0</v>
      </c>
      <c r="AE13" s="15">
        <f t="shared" ref="AE13:AE27" si="13">M13-V13</f>
        <v>0</v>
      </c>
      <c r="AF13" s="15">
        <f t="shared" ref="AF13:AF27" si="14">N13-W13</f>
        <v>3.8335426999999977E-2</v>
      </c>
      <c r="AG13" s="15">
        <f t="shared" ref="AG13:AG27" si="15">O13-X13</f>
        <v>1.3384010000000012E-3</v>
      </c>
      <c r="AH13" s="78">
        <f t="shared" ref="AH13:AH27" si="16">P13-Y13</f>
        <v>-0.10636666022260055</v>
      </c>
      <c r="AI13" s="79">
        <f t="shared" ref="AI13:AI27" si="17">Q13-Z13</f>
        <v>0</v>
      </c>
    </row>
    <row r="14" spans="2:35" x14ac:dyDescent="0.25">
      <c r="B14" t="s">
        <v>207</v>
      </c>
      <c r="C14" s="19">
        <v>46064</v>
      </c>
      <c r="D14" s="80" t="s">
        <v>31</v>
      </c>
      <c r="E14" s="80" t="s">
        <v>211</v>
      </c>
      <c r="F14" t="s">
        <v>212</v>
      </c>
      <c r="G14" s="20">
        <v>9.1972799999999992</v>
      </c>
      <c r="H14" s="20">
        <v>121.261505</v>
      </c>
      <c r="I14" s="75">
        <v>5.8296858519999999</v>
      </c>
      <c r="J14" s="64">
        <v>187.02591164</v>
      </c>
      <c r="K14" s="76">
        <v>7.9225311209999996</v>
      </c>
      <c r="L14" s="76">
        <v>0.466925921791913</v>
      </c>
      <c r="M14" s="20">
        <v>5.8257957725330902</v>
      </c>
      <c r="N14" s="20">
        <v>0.297281721</v>
      </c>
      <c r="O14" s="20">
        <v>1.4377963000000001E-2</v>
      </c>
      <c r="P14" s="64">
        <v>4.8364773157378202</v>
      </c>
      <c r="Q14" s="64">
        <v>0</v>
      </c>
      <c r="R14" s="75">
        <v>5.8319710459999996</v>
      </c>
      <c r="S14" s="64">
        <v>187.21522072900001</v>
      </c>
      <c r="T14" s="76">
        <v>7.9290273649999996</v>
      </c>
      <c r="U14" s="76">
        <v>0.45893760513693099</v>
      </c>
      <c r="V14" s="20">
        <v>5.8292007195523396</v>
      </c>
      <c r="W14" s="20">
        <v>0.26367632099999999</v>
      </c>
      <c r="X14" s="20">
        <v>1.2463623E-2</v>
      </c>
      <c r="Y14" s="64">
        <v>4.7268647229039598</v>
      </c>
      <c r="Z14" s="64">
        <v>0</v>
      </c>
      <c r="AA14" s="77">
        <f t="shared" si="9"/>
        <v>-2.2851939999997128E-3</v>
      </c>
      <c r="AB14" s="62">
        <f t="shared" si="10"/>
        <v>-0.18930908900000532</v>
      </c>
      <c r="AC14" s="78">
        <f t="shared" si="11"/>
        <v>-6.4962440000000399E-3</v>
      </c>
      <c r="AD14" s="78">
        <f t="shared" si="12"/>
        <v>7.9883166549820084E-3</v>
      </c>
      <c r="AE14" s="15">
        <f t="shared" si="13"/>
        <v>-3.4049470192494269E-3</v>
      </c>
      <c r="AF14" s="15">
        <f t="shared" si="14"/>
        <v>3.3605400000000007E-2</v>
      </c>
      <c r="AG14" s="15">
        <f t="shared" si="15"/>
        <v>1.9143400000000005E-3</v>
      </c>
      <c r="AH14" s="78">
        <f t="shared" si="16"/>
        <v>0.10961259283386049</v>
      </c>
      <c r="AI14" s="79">
        <f t="shared" si="17"/>
        <v>0</v>
      </c>
    </row>
    <row r="15" spans="2:35" x14ac:dyDescent="0.25">
      <c r="B15" t="s">
        <v>207</v>
      </c>
      <c r="C15" s="19">
        <v>46064</v>
      </c>
      <c r="D15" s="80" t="s">
        <v>31</v>
      </c>
      <c r="E15" s="80" t="s">
        <v>162</v>
      </c>
      <c r="F15" t="s">
        <v>163</v>
      </c>
      <c r="G15" s="20">
        <v>11.197279999999999</v>
      </c>
      <c r="H15" s="20">
        <v>104.09</v>
      </c>
      <c r="I15" s="75">
        <v>5.2902598799999998</v>
      </c>
      <c r="J15" s="64">
        <v>174.95981131299999</v>
      </c>
      <c r="K15" s="76">
        <v>0.70833333300000001</v>
      </c>
      <c r="L15" s="76">
        <v>4.1367303295222299E-2</v>
      </c>
      <c r="M15" s="20">
        <v>0.67249396868093803</v>
      </c>
      <c r="N15" s="20">
        <v>0.33002530000000002</v>
      </c>
      <c r="O15" s="20">
        <v>1.4162328E-2</v>
      </c>
      <c r="P15" s="64">
        <v>4.2912855468959501</v>
      </c>
      <c r="Q15" s="64">
        <v>0</v>
      </c>
      <c r="R15" s="75">
        <v>5.2902598799999998</v>
      </c>
      <c r="S15" s="64">
        <v>174.95981131299999</v>
      </c>
      <c r="T15" s="76">
        <v>0.70833333300000001</v>
      </c>
      <c r="U15" s="76">
        <v>4.1367303295222299E-2</v>
      </c>
      <c r="V15" s="20">
        <v>0.67249396868093803</v>
      </c>
      <c r="W15" s="20">
        <v>0.29622809500000002</v>
      </c>
      <c r="X15" s="20">
        <v>1.2885745000000001E-2</v>
      </c>
      <c r="Y15" s="64">
        <v>4.3499402040174502</v>
      </c>
      <c r="Z15" s="64">
        <v>0</v>
      </c>
      <c r="AA15" s="77">
        <f t="shared" si="9"/>
        <v>0</v>
      </c>
      <c r="AB15" s="62">
        <f t="shared" si="10"/>
        <v>0</v>
      </c>
      <c r="AC15" s="78">
        <f t="shared" si="11"/>
        <v>0</v>
      </c>
      <c r="AD15" s="78">
        <f t="shared" si="12"/>
        <v>0</v>
      </c>
      <c r="AE15" s="15">
        <f t="shared" si="13"/>
        <v>0</v>
      </c>
      <c r="AF15" s="15">
        <f t="shared" si="14"/>
        <v>3.3797204999999997E-2</v>
      </c>
      <c r="AG15" s="15">
        <f t="shared" si="15"/>
        <v>1.2765829999999995E-3</v>
      </c>
      <c r="AH15" s="78">
        <f t="shared" si="16"/>
        <v>-5.8654657121500087E-2</v>
      </c>
      <c r="AI15" s="79">
        <f t="shared" si="17"/>
        <v>0</v>
      </c>
    </row>
    <row r="16" spans="2:35" x14ac:dyDescent="0.25">
      <c r="B16" t="s">
        <v>207</v>
      </c>
      <c r="C16" s="19">
        <v>46064</v>
      </c>
      <c r="D16" s="80" t="s">
        <v>31</v>
      </c>
      <c r="E16" s="80" t="s">
        <v>164</v>
      </c>
      <c r="F16" t="s">
        <v>165</v>
      </c>
      <c r="G16" s="20">
        <v>11.49728</v>
      </c>
      <c r="H16" s="20">
        <v>104.765625</v>
      </c>
      <c r="I16" s="75">
        <v>5.2955257360000001</v>
      </c>
      <c r="J16" s="64">
        <v>178.270758409</v>
      </c>
      <c r="K16" s="76">
        <v>0.78888888899999998</v>
      </c>
      <c r="L16" s="76">
        <v>4.3563668903809402E-2</v>
      </c>
      <c r="M16" s="20">
        <v>0.74703189142431903</v>
      </c>
      <c r="N16" s="20">
        <v>0.39774484500000001</v>
      </c>
      <c r="O16" s="20">
        <v>2.2064810000000001E-2</v>
      </c>
      <c r="P16" s="64">
        <v>5.5474785600301102</v>
      </c>
      <c r="Q16" s="64">
        <v>0</v>
      </c>
      <c r="R16" s="75">
        <v>5.2955257360000001</v>
      </c>
      <c r="S16" s="64">
        <v>178.270758409</v>
      </c>
      <c r="T16" s="76">
        <v>0.78888888899999998</v>
      </c>
      <c r="U16" s="76">
        <v>4.3563668903809402E-2</v>
      </c>
      <c r="V16" s="20">
        <v>0.74703189142431903</v>
      </c>
      <c r="W16" s="20">
        <v>0.351619652</v>
      </c>
      <c r="X16" s="20">
        <v>2.0005265000000001E-2</v>
      </c>
      <c r="Y16" s="64">
        <v>5.6894615776481103</v>
      </c>
      <c r="Z16" s="64">
        <v>0</v>
      </c>
      <c r="AA16" s="77">
        <f t="shared" si="9"/>
        <v>0</v>
      </c>
      <c r="AB16" s="62">
        <f t="shared" si="10"/>
        <v>0</v>
      </c>
      <c r="AC16" s="78">
        <f t="shared" si="11"/>
        <v>0</v>
      </c>
      <c r="AD16" s="78">
        <f t="shared" si="12"/>
        <v>0</v>
      </c>
      <c r="AE16" s="15">
        <f t="shared" si="13"/>
        <v>0</v>
      </c>
      <c r="AF16" s="15">
        <f t="shared" si="14"/>
        <v>4.6125193000000009E-2</v>
      </c>
      <c r="AG16" s="15">
        <f t="shared" si="15"/>
        <v>2.0595449999999994E-3</v>
      </c>
      <c r="AH16" s="78">
        <f t="shared" si="16"/>
        <v>-0.14198301761800014</v>
      </c>
      <c r="AI16" s="79">
        <f t="shared" si="17"/>
        <v>0</v>
      </c>
    </row>
    <row r="17" spans="2:35" x14ac:dyDescent="0.25">
      <c r="B17" t="s">
        <v>207</v>
      </c>
      <c r="C17" s="19">
        <v>46064</v>
      </c>
      <c r="D17" s="80" t="s">
        <v>31</v>
      </c>
      <c r="E17" s="80" t="s">
        <v>168</v>
      </c>
      <c r="F17" t="s">
        <v>169</v>
      </c>
      <c r="G17" s="20">
        <v>9.9472799999999992</v>
      </c>
      <c r="H17" s="20">
        <v>102.8</v>
      </c>
      <c r="I17" s="75">
        <v>5.3739121680000004</v>
      </c>
      <c r="J17" s="64">
        <v>180.442748236</v>
      </c>
      <c r="K17" s="76">
        <v>0.62222222199999999</v>
      </c>
      <c r="L17" s="76">
        <v>3.7622749999993203E-2</v>
      </c>
      <c r="M17" s="20">
        <v>0.59564166147860798</v>
      </c>
      <c r="N17" s="20">
        <v>0.461238388</v>
      </c>
      <c r="O17" s="20">
        <v>3.0669926E-2</v>
      </c>
      <c r="P17" s="64">
        <v>6.6494738508192004</v>
      </c>
      <c r="Q17" s="64">
        <v>0</v>
      </c>
      <c r="R17" s="75">
        <v>5.3739121680000004</v>
      </c>
      <c r="S17" s="64">
        <v>180.442748236</v>
      </c>
      <c r="T17" s="76">
        <v>0.62222222199999999</v>
      </c>
      <c r="U17" s="76">
        <v>3.7622749999993203E-2</v>
      </c>
      <c r="V17" s="20">
        <v>0.59564166147860798</v>
      </c>
      <c r="W17" s="20">
        <v>0.41588360000000002</v>
      </c>
      <c r="X17" s="20">
        <v>2.7265305E-2</v>
      </c>
      <c r="Y17" s="64">
        <v>6.5559942733976504</v>
      </c>
      <c r="Z17" s="64">
        <v>0</v>
      </c>
      <c r="AA17" s="77">
        <f t="shared" si="9"/>
        <v>0</v>
      </c>
      <c r="AB17" s="62">
        <f t="shared" si="10"/>
        <v>0</v>
      </c>
      <c r="AC17" s="78">
        <f t="shared" si="11"/>
        <v>0</v>
      </c>
      <c r="AD17" s="78">
        <f t="shared" si="12"/>
        <v>0</v>
      </c>
      <c r="AE17" s="15">
        <f t="shared" si="13"/>
        <v>0</v>
      </c>
      <c r="AF17" s="15">
        <f t="shared" si="14"/>
        <v>4.5354787999999979E-2</v>
      </c>
      <c r="AG17" s="15">
        <f t="shared" si="15"/>
        <v>3.404621E-3</v>
      </c>
      <c r="AH17" s="78">
        <f t="shared" si="16"/>
        <v>9.3479577421549997E-2</v>
      </c>
      <c r="AI17" s="79">
        <f t="shared" si="17"/>
        <v>0</v>
      </c>
    </row>
    <row r="18" spans="2:35" x14ac:dyDescent="0.25">
      <c r="B18" t="s">
        <v>207</v>
      </c>
      <c r="C18" s="19">
        <v>46064</v>
      </c>
      <c r="D18" s="80" t="s">
        <v>31</v>
      </c>
      <c r="E18" s="80" t="s">
        <v>170</v>
      </c>
      <c r="F18" t="s">
        <v>171</v>
      </c>
      <c r="G18" s="20">
        <v>10.697279999999999</v>
      </c>
      <c r="H18" s="20">
        <v>104.445312</v>
      </c>
      <c r="I18" s="75">
        <v>5.4510462720000001</v>
      </c>
      <c r="J18" s="64">
        <v>196.93579478199999</v>
      </c>
      <c r="K18" s="76">
        <v>0.88055555600000002</v>
      </c>
      <c r="L18" s="76">
        <v>4.1767194874195702E-2</v>
      </c>
      <c r="M18" s="20">
        <v>0.83068751999132695</v>
      </c>
      <c r="N18" s="20">
        <v>0.55120925499999995</v>
      </c>
      <c r="O18" s="20">
        <v>5.0338158000000001E-2</v>
      </c>
      <c r="P18" s="64">
        <v>9.1323136437540402</v>
      </c>
      <c r="Q18" s="64">
        <v>0</v>
      </c>
      <c r="R18" s="75">
        <v>5.4510462720000001</v>
      </c>
      <c r="S18" s="64">
        <v>196.93579478199999</v>
      </c>
      <c r="T18" s="76">
        <v>0.88055555600000002</v>
      </c>
      <c r="U18" s="76">
        <v>4.1767194874195702E-2</v>
      </c>
      <c r="V18" s="20">
        <v>0.83068751999132695</v>
      </c>
      <c r="W18" s="20">
        <v>0.48767681200000002</v>
      </c>
      <c r="X18" s="20">
        <v>3.4963500000000002E-2</v>
      </c>
      <c r="Y18" s="64">
        <v>7.1693997212235701</v>
      </c>
      <c r="Z18" s="64">
        <v>0</v>
      </c>
      <c r="AA18" s="77">
        <f t="shared" si="9"/>
        <v>0</v>
      </c>
      <c r="AB18" s="62">
        <f t="shared" si="10"/>
        <v>0</v>
      </c>
      <c r="AC18" s="78">
        <f t="shared" si="11"/>
        <v>0</v>
      </c>
      <c r="AD18" s="78">
        <f t="shared" si="12"/>
        <v>0</v>
      </c>
      <c r="AE18" s="15">
        <f t="shared" si="13"/>
        <v>0</v>
      </c>
      <c r="AF18" s="15">
        <f t="shared" si="14"/>
        <v>6.3532442999999938E-2</v>
      </c>
      <c r="AG18" s="15">
        <f t="shared" si="15"/>
        <v>1.5374657999999999E-2</v>
      </c>
      <c r="AH18" s="78">
        <f t="shared" si="16"/>
        <v>1.9629139225304701</v>
      </c>
      <c r="AI18" s="79">
        <f t="shared" si="17"/>
        <v>0</v>
      </c>
    </row>
    <row r="19" spans="2:35" x14ac:dyDescent="0.25">
      <c r="B19" t="s">
        <v>207</v>
      </c>
      <c r="C19" s="19">
        <v>46064</v>
      </c>
      <c r="D19" s="80" t="s">
        <v>31</v>
      </c>
      <c r="E19" s="80" t="s">
        <v>172</v>
      </c>
      <c r="F19" t="s">
        <v>173</v>
      </c>
      <c r="G19" s="20">
        <v>12.197279999999999</v>
      </c>
      <c r="H19" s="20">
        <v>106.75</v>
      </c>
      <c r="I19" s="75">
        <v>5.422974677</v>
      </c>
      <c r="J19" s="64">
        <v>195.44558895500001</v>
      </c>
      <c r="K19" s="76">
        <v>1.0388888890000001</v>
      </c>
      <c r="L19" s="76">
        <v>5.23413189695522E-2</v>
      </c>
      <c r="M19" s="20">
        <v>0.97008761498829299</v>
      </c>
      <c r="N19" s="20">
        <v>0.60814948700000004</v>
      </c>
      <c r="O19" s="20">
        <v>4.3197129000000001E-2</v>
      </c>
      <c r="P19" s="64">
        <v>7.1030445512815197</v>
      </c>
      <c r="Q19" s="64">
        <v>0</v>
      </c>
      <c r="R19" s="75">
        <v>5.422974677</v>
      </c>
      <c r="S19" s="64">
        <v>195.44558895500001</v>
      </c>
      <c r="T19" s="76">
        <v>1.0388888890000001</v>
      </c>
      <c r="U19" s="76">
        <v>5.23413189695522E-2</v>
      </c>
      <c r="V19" s="20">
        <v>0.97008761498829299</v>
      </c>
      <c r="W19" s="20">
        <v>0.560329886</v>
      </c>
      <c r="X19" s="20">
        <v>3.9485777999999999E-2</v>
      </c>
      <c r="Y19" s="64">
        <v>7.0468805941934001</v>
      </c>
      <c r="Z19" s="64">
        <v>0</v>
      </c>
      <c r="AA19" s="77">
        <f t="shared" si="9"/>
        <v>0</v>
      </c>
      <c r="AB19" s="62">
        <f t="shared" si="10"/>
        <v>0</v>
      </c>
      <c r="AC19" s="78">
        <f t="shared" si="11"/>
        <v>0</v>
      </c>
      <c r="AD19" s="78">
        <f t="shared" si="12"/>
        <v>0</v>
      </c>
      <c r="AE19" s="15">
        <f t="shared" si="13"/>
        <v>0</v>
      </c>
      <c r="AF19" s="15">
        <f t="shared" si="14"/>
        <v>4.7819601000000045E-2</v>
      </c>
      <c r="AG19" s="15">
        <f t="shared" si="15"/>
        <v>3.7113510000000016E-3</v>
      </c>
      <c r="AH19" s="78">
        <f t="shared" si="16"/>
        <v>5.6163957088119609E-2</v>
      </c>
      <c r="AI19" s="79">
        <f t="shared" si="17"/>
        <v>0</v>
      </c>
    </row>
    <row r="20" spans="2:35" x14ac:dyDescent="0.25">
      <c r="B20" t="s">
        <v>207</v>
      </c>
      <c r="C20" s="19">
        <v>46064</v>
      </c>
      <c r="D20" s="80" t="s">
        <v>31</v>
      </c>
      <c r="E20" s="80" t="s">
        <v>178</v>
      </c>
      <c r="F20" t="s">
        <v>179</v>
      </c>
      <c r="G20" s="20">
        <v>14.697279999999999</v>
      </c>
      <c r="H20" s="20">
        <v>109.957031</v>
      </c>
      <c r="I20" s="75">
        <v>5.4137842679999997</v>
      </c>
      <c r="J20" s="64">
        <v>194.10088807</v>
      </c>
      <c r="K20" s="76">
        <v>1.122222222</v>
      </c>
      <c r="L20" s="76">
        <v>6.8447816674852002E-2</v>
      </c>
      <c r="M20" s="20">
        <v>1.02625293693133</v>
      </c>
      <c r="N20" s="20">
        <v>0.65533951000000001</v>
      </c>
      <c r="O20" s="20">
        <v>5.4343298999999998E-2</v>
      </c>
      <c r="P20" s="64">
        <v>8.2923886276900909</v>
      </c>
      <c r="Q20" s="64">
        <v>0</v>
      </c>
      <c r="R20" s="75">
        <v>5.4137842679999997</v>
      </c>
      <c r="S20" s="64">
        <v>194.10088807</v>
      </c>
      <c r="T20" s="76">
        <v>1.122222222</v>
      </c>
      <c r="U20" s="76">
        <v>6.8447816674852002E-2</v>
      </c>
      <c r="V20" s="20">
        <v>1.02625293693133</v>
      </c>
      <c r="W20" s="20">
        <v>0.60705976100000003</v>
      </c>
      <c r="X20" s="20">
        <v>4.8410981999999998E-2</v>
      </c>
      <c r="Y20" s="64">
        <v>7.9746649523027804</v>
      </c>
      <c r="Z20" s="64">
        <v>0</v>
      </c>
      <c r="AA20" s="77">
        <f t="shared" si="9"/>
        <v>0</v>
      </c>
      <c r="AB20" s="62">
        <f t="shared" si="10"/>
        <v>0</v>
      </c>
      <c r="AC20" s="78">
        <f t="shared" si="11"/>
        <v>0</v>
      </c>
      <c r="AD20" s="78">
        <f t="shared" si="12"/>
        <v>0</v>
      </c>
      <c r="AE20" s="15">
        <f t="shared" si="13"/>
        <v>0</v>
      </c>
      <c r="AF20" s="15">
        <f t="shared" si="14"/>
        <v>4.8279748999999983E-2</v>
      </c>
      <c r="AG20" s="15">
        <f t="shared" si="15"/>
        <v>5.9323169999999995E-3</v>
      </c>
      <c r="AH20" s="78">
        <f t="shared" si="16"/>
        <v>0.3177236753873105</v>
      </c>
      <c r="AI20" s="79">
        <f t="shared" si="17"/>
        <v>0</v>
      </c>
    </row>
    <row r="21" spans="2:35" x14ac:dyDescent="0.25">
      <c r="B21" t="s">
        <v>207</v>
      </c>
      <c r="C21" s="19">
        <v>46064</v>
      </c>
      <c r="D21" s="80" t="s">
        <v>213</v>
      </c>
      <c r="E21" s="80" t="s">
        <v>214</v>
      </c>
      <c r="F21" t="s">
        <v>215</v>
      </c>
      <c r="G21" s="20">
        <v>15.697279999999999</v>
      </c>
      <c r="H21" s="20">
        <v>114.749475</v>
      </c>
      <c r="I21" s="75">
        <v>6.0079270630000003</v>
      </c>
      <c r="J21" s="64">
        <v>251.155253937</v>
      </c>
      <c r="K21" s="76">
        <v>1.627777778</v>
      </c>
      <c r="L21" s="76">
        <v>0.107069490296149</v>
      </c>
      <c r="M21" s="20">
        <v>1.4364751045702</v>
      </c>
      <c r="N21" s="20">
        <v>1.080975161</v>
      </c>
      <c r="O21" s="20">
        <v>0.13730621300000001</v>
      </c>
      <c r="P21" s="64">
        <v>12.702069201384701</v>
      </c>
      <c r="Q21" s="64">
        <v>0</v>
      </c>
      <c r="R21" s="75">
        <v>6.0079270630000003</v>
      </c>
      <c r="S21" s="64">
        <v>251.155253937</v>
      </c>
      <c r="T21" s="76">
        <v>1.627777778</v>
      </c>
      <c r="U21" s="76">
        <v>0.107069490296149</v>
      </c>
      <c r="V21" s="20">
        <v>1.4364751045702</v>
      </c>
      <c r="W21" s="20">
        <v>1.119751071</v>
      </c>
      <c r="X21" s="20">
        <v>0.139672456</v>
      </c>
      <c r="Y21" s="64">
        <v>12.473527341685401</v>
      </c>
      <c r="Z21" s="64">
        <v>0</v>
      </c>
      <c r="AA21" s="77">
        <f t="shared" si="9"/>
        <v>0</v>
      </c>
      <c r="AB21" s="62">
        <f t="shared" si="10"/>
        <v>0</v>
      </c>
      <c r="AC21" s="78">
        <f t="shared" si="11"/>
        <v>0</v>
      </c>
      <c r="AD21" s="78">
        <f t="shared" si="12"/>
        <v>0</v>
      </c>
      <c r="AE21" s="15">
        <f t="shared" si="13"/>
        <v>0</v>
      </c>
      <c r="AF21" s="15">
        <f t="shared" si="14"/>
        <v>-3.8775910000000025E-2</v>
      </c>
      <c r="AG21" s="15">
        <f t="shared" si="15"/>
        <v>-2.3662429999999901E-3</v>
      </c>
      <c r="AH21" s="78">
        <f t="shared" si="16"/>
        <v>0.22854185969930008</v>
      </c>
      <c r="AI21" s="79">
        <f t="shared" si="17"/>
        <v>0</v>
      </c>
    </row>
    <row r="22" spans="2:35" x14ac:dyDescent="0.25">
      <c r="B22" t="s">
        <v>207</v>
      </c>
      <c r="C22" s="19">
        <v>46064</v>
      </c>
      <c r="D22" s="80" t="s">
        <v>213</v>
      </c>
      <c r="E22" s="80" t="s">
        <v>216</v>
      </c>
      <c r="F22" t="s">
        <v>217</v>
      </c>
      <c r="G22" s="20">
        <v>8.7472799999999999</v>
      </c>
      <c r="H22" s="20">
        <v>103.87375</v>
      </c>
      <c r="I22" s="75">
        <v>6.9540703910000001</v>
      </c>
      <c r="J22" s="64">
        <v>339.75549380500001</v>
      </c>
      <c r="K22" s="76">
        <v>2.7944444439999998</v>
      </c>
      <c r="L22" s="76">
        <v>-1.3407687996245401</v>
      </c>
      <c r="M22" s="20">
        <v>2.4523460412279299</v>
      </c>
      <c r="N22" s="20">
        <v>0.57485881100000003</v>
      </c>
      <c r="O22" s="20">
        <v>8.9747599999999997E-2</v>
      </c>
      <c r="P22" s="64">
        <v>15.6121117538198</v>
      </c>
      <c r="Q22" s="64">
        <v>0</v>
      </c>
      <c r="R22" s="75">
        <v>7.1398928489999998</v>
      </c>
      <c r="S22" s="64">
        <v>355.58166673400001</v>
      </c>
      <c r="T22" s="76">
        <v>3.2055555560000002</v>
      </c>
      <c r="U22" s="76">
        <v>-1.5414196811032601</v>
      </c>
      <c r="V22" s="20">
        <v>2.7633618012250398</v>
      </c>
      <c r="W22" s="20">
        <v>0.74870968900000001</v>
      </c>
      <c r="X22" s="20">
        <v>0.12576336199999999</v>
      </c>
      <c r="Y22" s="64">
        <v>16.7973466682358</v>
      </c>
      <c r="Z22" s="64">
        <v>0</v>
      </c>
      <c r="AA22" s="77">
        <f t="shared" si="9"/>
        <v>-0.18582245799999964</v>
      </c>
      <c r="AB22" s="62">
        <f t="shared" si="10"/>
        <v>-15.826172928999995</v>
      </c>
      <c r="AC22" s="78">
        <f t="shared" si="11"/>
        <v>-0.41111111200000039</v>
      </c>
      <c r="AD22" s="78">
        <f t="shared" si="12"/>
        <v>0.20065088147872001</v>
      </c>
      <c r="AE22" s="15">
        <f t="shared" si="13"/>
        <v>-0.31101575999710995</v>
      </c>
      <c r="AF22" s="15">
        <f t="shared" si="14"/>
        <v>-0.17385087799999999</v>
      </c>
      <c r="AG22" s="15">
        <f t="shared" si="15"/>
        <v>-3.6015761999999993E-2</v>
      </c>
      <c r="AH22" s="78">
        <f t="shared" si="16"/>
        <v>-1.1852349144160002</v>
      </c>
      <c r="AI22" s="79">
        <f t="shared" si="17"/>
        <v>0</v>
      </c>
    </row>
    <row r="23" spans="2:35" x14ac:dyDescent="0.25">
      <c r="B23" t="s">
        <v>207</v>
      </c>
      <c r="C23" s="19">
        <v>46064</v>
      </c>
      <c r="D23" s="80" t="s">
        <v>213</v>
      </c>
      <c r="E23" s="80" t="s">
        <v>218</v>
      </c>
      <c r="F23" t="s">
        <v>219</v>
      </c>
      <c r="G23" s="20">
        <v>6.1972800000000001</v>
      </c>
      <c r="H23" s="20">
        <v>100.44137499999999</v>
      </c>
      <c r="I23" s="75">
        <v>5.5727177240000003</v>
      </c>
      <c r="J23" s="64">
        <v>208.02140053900001</v>
      </c>
      <c r="K23" s="76">
        <v>0.94277598399999996</v>
      </c>
      <c r="L23" s="76">
        <v>-2.2027971042818E-2</v>
      </c>
      <c r="M23" s="20">
        <v>0.90025923579799205</v>
      </c>
      <c r="N23" s="20">
        <v>0.57485881100000003</v>
      </c>
      <c r="O23" s="20">
        <v>8.9747599999999997E-2</v>
      </c>
      <c r="P23" s="64">
        <v>15.6121117538198</v>
      </c>
      <c r="Q23" s="64">
        <v>0</v>
      </c>
      <c r="R23" s="75">
        <v>5.5904322540000004</v>
      </c>
      <c r="S23" s="64">
        <v>210.52291301599999</v>
      </c>
      <c r="T23" s="76">
        <v>1.017831937</v>
      </c>
      <c r="U23" s="76">
        <v>-1.53677107666025E-2</v>
      </c>
      <c r="V23" s="20">
        <v>0.97025677416304101</v>
      </c>
      <c r="W23" s="20">
        <v>0.74870968900000001</v>
      </c>
      <c r="X23" s="20">
        <v>0.12576336199999999</v>
      </c>
      <c r="Y23" s="64">
        <v>16.7973466682358</v>
      </c>
      <c r="Z23" s="64">
        <v>0</v>
      </c>
      <c r="AA23" s="77">
        <f t="shared" si="9"/>
        <v>-1.7714530000000117E-2</v>
      </c>
      <c r="AB23" s="62">
        <f t="shared" si="10"/>
        <v>-2.5015124769999773</v>
      </c>
      <c r="AC23" s="78">
        <f t="shared" si="11"/>
        <v>-7.5055953000000009E-2</v>
      </c>
      <c r="AD23" s="78">
        <f t="shared" si="12"/>
        <v>-6.6602602762154996E-3</v>
      </c>
      <c r="AE23" s="15">
        <f t="shared" si="13"/>
        <v>-6.9997538365048961E-2</v>
      </c>
      <c r="AF23" s="15">
        <f t="shared" si="14"/>
        <v>-0.17385087799999999</v>
      </c>
      <c r="AG23" s="15">
        <f t="shared" si="15"/>
        <v>-3.6015761999999993E-2</v>
      </c>
      <c r="AH23" s="78">
        <f t="shared" si="16"/>
        <v>-1.1852349144160002</v>
      </c>
      <c r="AI23" s="79">
        <f t="shared" si="17"/>
        <v>0</v>
      </c>
    </row>
    <row r="24" spans="2:35" x14ac:dyDescent="0.25">
      <c r="B24" t="s">
        <v>207</v>
      </c>
      <c r="C24" s="19">
        <v>46064</v>
      </c>
      <c r="D24" s="80" t="s">
        <v>213</v>
      </c>
      <c r="E24" s="80" t="s">
        <v>220</v>
      </c>
      <c r="F24" t="s">
        <v>221</v>
      </c>
      <c r="G24" s="20">
        <v>6.9472800000000001</v>
      </c>
      <c r="H24" s="20">
        <v>100.687955</v>
      </c>
      <c r="I24" s="75">
        <v>6.2283795209999999</v>
      </c>
      <c r="J24" s="64">
        <v>273.663822181</v>
      </c>
      <c r="K24" s="76">
        <v>1.505205532</v>
      </c>
      <c r="L24" s="76">
        <v>-8.7996278204277606E-2</v>
      </c>
      <c r="M24" s="20">
        <v>1.4048102347495299</v>
      </c>
      <c r="N24" s="20">
        <v>0.57485881100000003</v>
      </c>
      <c r="O24" s="20">
        <v>8.9747599999999997E-2</v>
      </c>
      <c r="P24" s="64">
        <v>15.6121117538198</v>
      </c>
      <c r="Q24" s="64">
        <v>0</v>
      </c>
      <c r="R24" s="75">
        <v>6.2639061030000001</v>
      </c>
      <c r="S24" s="64">
        <v>275.92488286499997</v>
      </c>
      <c r="T24" s="76">
        <v>1.738630744</v>
      </c>
      <c r="U24" s="76">
        <v>-9.6958756387499997E-2</v>
      </c>
      <c r="V24" s="20">
        <v>1.6105343881499901</v>
      </c>
      <c r="W24" s="20">
        <v>0.74870968900000001</v>
      </c>
      <c r="X24" s="20">
        <v>0.12576336199999999</v>
      </c>
      <c r="Y24" s="64">
        <v>16.7973466682358</v>
      </c>
      <c r="Z24" s="64">
        <v>0</v>
      </c>
      <c r="AA24" s="77">
        <f t="shared" si="9"/>
        <v>-3.552658200000014E-2</v>
      </c>
      <c r="AB24" s="62">
        <f t="shared" si="10"/>
        <v>-2.2610606839999718</v>
      </c>
      <c r="AC24" s="78">
        <f t="shared" si="11"/>
        <v>-0.23342521199999999</v>
      </c>
      <c r="AD24" s="78">
        <f t="shared" si="12"/>
        <v>8.9624781832223915E-3</v>
      </c>
      <c r="AE24" s="15">
        <f t="shared" si="13"/>
        <v>-0.20572415340046013</v>
      </c>
      <c r="AF24" s="15">
        <f t="shared" si="14"/>
        <v>-0.17385087799999999</v>
      </c>
      <c r="AG24" s="15">
        <f t="shared" si="15"/>
        <v>-3.6015761999999993E-2</v>
      </c>
      <c r="AH24" s="78">
        <f t="shared" si="16"/>
        <v>-1.1852349144160002</v>
      </c>
      <c r="AI24" s="79">
        <f t="shared" si="17"/>
        <v>0</v>
      </c>
    </row>
    <row r="25" spans="2:35" x14ac:dyDescent="0.25">
      <c r="B25" t="s">
        <v>207</v>
      </c>
      <c r="C25" s="19">
        <v>46064</v>
      </c>
      <c r="D25" s="80" t="s">
        <v>213</v>
      </c>
      <c r="E25" s="80" t="s">
        <v>222</v>
      </c>
      <c r="F25" t="s">
        <v>223</v>
      </c>
      <c r="G25" s="20">
        <v>7.5972799999999996</v>
      </c>
      <c r="H25" s="20">
        <v>102.938</v>
      </c>
      <c r="I25" s="75">
        <v>5.9417525390000003</v>
      </c>
      <c r="J25" s="64">
        <v>240.95034356100001</v>
      </c>
      <c r="K25" s="76">
        <v>2.3159925220000002</v>
      </c>
      <c r="L25" s="76">
        <v>-0.96809034175911701</v>
      </c>
      <c r="M25" s="20">
        <v>2.1028535458237001</v>
      </c>
      <c r="N25" s="20">
        <v>0.57485881100000003</v>
      </c>
      <c r="O25" s="20">
        <v>8.9747599999999997E-2</v>
      </c>
      <c r="P25" s="64">
        <v>15.6121117538198</v>
      </c>
      <c r="Q25" s="64">
        <v>0</v>
      </c>
      <c r="R25" s="75">
        <v>6.0894058979999999</v>
      </c>
      <c r="S25" s="64">
        <v>253.824992334</v>
      </c>
      <c r="T25" s="76">
        <v>2.6205054830000001</v>
      </c>
      <c r="U25" s="76">
        <v>-1.02229774718763</v>
      </c>
      <c r="V25" s="20">
        <v>2.3519524752763799</v>
      </c>
      <c r="W25" s="20">
        <v>0.74870968900000001</v>
      </c>
      <c r="X25" s="20">
        <v>0.12576336199999999</v>
      </c>
      <c r="Y25" s="64">
        <v>16.7973466682358</v>
      </c>
      <c r="Z25" s="64">
        <v>0</v>
      </c>
      <c r="AA25" s="77">
        <f t="shared" si="9"/>
        <v>-0.14765335899999954</v>
      </c>
      <c r="AB25" s="62">
        <f t="shared" si="10"/>
        <v>-12.87464877299999</v>
      </c>
      <c r="AC25" s="78">
        <f t="shared" si="11"/>
        <v>-0.30451296099999992</v>
      </c>
      <c r="AD25" s="78">
        <f t="shared" si="12"/>
        <v>5.4207405428512989E-2</v>
      </c>
      <c r="AE25" s="15">
        <f t="shared" si="13"/>
        <v>-0.24909892945267975</v>
      </c>
      <c r="AF25" s="15">
        <f t="shared" si="14"/>
        <v>-0.17385087799999999</v>
      </c>
      <c r="AG25" s="15">
        <f t="shared" si="15"/>
        <v>-3.6015761999999993E-2</v>
      </c>
      <c r="AH25" s="78">
        <f t="shared" si="16"/>
        <v>-1.1852349144160002</v>
      </c>
      <c r="AI25" s="79">
        <f t="shared" si="17"/>
        <v>0</v>
      </c>
    </row>
    <row r="26" spans="2:35" x14ac:dyDescent="0.25">
      <c r="B26" t="s">
        <v>207</v>
      </c>
      <c r="C26" s="19">
        <v>46064</v>
      </c>
      <c r="D26" s="80" t="s">
        <v>213</v>
      </c>
      <c r="E26" s="80" t="s">
        <v>224</v>
      </c>
      <c r="F26" t="s">
        <v>225</v>
      </c>
      <c r="G26" s="20">
        <v>8.8972800000000003</v>
      </c>
      <c r="H26" s="20">
        <v>106.59389</v>
      </c>
      <c r="I26" s="75">
        <v>5.8983749039999998</v>
      </c>
      <c r="J26" s="64">
        <v>235.09598315599999</v>
      </c>
      <c r="K26" s="76">
        <v>2.622222222</v>
      </c>
      <c r="L26" s="76">
        <v>8.0313552681133098E-3</v>
      </c>
      <c r="M26" s="20">
        <v>2.3284221572174602</v>
      </c>
      <c r="N26" s="20">
        <v>2.055207158</v>
      </c>
      <c r="O26" s="20">
        <v>0.263273176</v>
      </c>
      <c r="P26" s="64">
        <v>12.8100554231332</v>
      </c>
      <c r="Q26" s="64">
        <v>0</v>
      </c>
      <c r="R26" s="75">
        <v>5.8983749039999998</v>
      </c>
      <c r="S26" s="64">
        <v>235.09598315599999</v>
      </c>
      <c r="T26" s="76">
        <v>2.622222222</v>
      </c>
      <c r="U26" s="76">
        <v>5.7761609975956398E-2</v>
      </c>
      <c r="V26" s="20">
        <v>2.3284221572174602</v>
      </c>
      <c r="W26" s="20">
        <v>2.1831973219999998</v>
      </c>
      <c r="X26" s="20">
        <v>0.273179006</v>
      </c>
      <c r="Y26" s="64">
        <v>12.5127950298942</v>
      </c>
      <c r="Z26" s="64">
        <v>0</v>
      </c>
      <c r="AA26" s="77">
        <f t="shared" si="9"/>
        <v>0</v>
      </c>
      <c r="AB26" s="62">
        <f t="shared" si="10"/>
        <v>0</v>
      </c>
      <c r="AC26" s="78">
        <f t="shared" si="11"/>
        <v>0</v>
      </c>
      <c r="AD26" s="78">
        <f t="shared" si="12"/>
        <v>-4.9730254707843091E-2</v>
      </c>
      <c r="AE26" s="15">
        <f t="shared" si="13"/>
        <v>0</v>
      </c>
      <c r="AF26" s="15">
        <f t="shared" si="14"/>
        <v>-0.12799016399999985</v>
      </c>
      <c r="AG26" s="15">
        <f t="shared" si="15"/>
        <v>-9.9058300000000044E-3</v>
      </c>
      <c r="AH26" s="78">
        <f t="shared" si="16"/>
        <v>0.29726039323900011</v>
      </c>
      <c r="AI26" s="79">
        <f t="shared" si="17"/>
        <v>0</v>
      </c>
    </row>
    <row r="27" spans="2:35" x14ac:dyDescent="0.25">
      <c r="B27" t="s">
        <v>207</v>
      </c>
      <c r="C27" s="19">
        <v>46064</v>
      </c>
      <c r="D27" s="80" t="s">
        <v>213</v>
      </c>
      <c r="E27" s="80" t="s">
        <v>226</v>
      </c>
      <c r="F27" t="s">
        <v>227</v>
      </c>
      <c r="G27" s="20">
        <v>10.947279999999999</v>
      </c>
      <c r="H27" s="20">
        <v>110.808905</v>
      </c>
      <c r="I27" s="75">
        <v>6.3432183899999997</v>
      </c>
      <c r="J27" s="64">
        <v>279.22646852499997</v>
      </c>
      <c r="K27" s="76">
        <v>2.7055555560000002</v>
      </c>
      <c r="L27" s="76">
        <v>0.10280848096098499</v>
      </c>
      <c r="M27" s="20">
        <v>2.3379456651069699</v>
      </c>
      <c r="N27" s="20">
        <v>1.9010078770000001</v>
      </c>
      <c r="O27" s="20">
        <v>0.29307678799999998</v>
      </c>
      <c r="P27" s="64">
        <v>15.416916023646801</v>
      </c>
      <c r="Q27" s="64">
        <v>0</v>
      </c>
      <c r="R27" s="75">
        <v>6.3432183899999997</v>
      </c>
      <c r="S27" s="64">
        <v>279.22646852499997</v>
      </c>
      <c r="T27" s="76">
        <v>2.7055555560000002</v>
      </c>
      <c r="U27" s="76">
        <v>0.10280848096098499</v>
      </c>
      <c r="V27" s="20">
        <v>2.3379456651069699</v>
      </c>
      <c r="W27" s="20">
        <v>2.041182058</v>
      </c>
      <c r="X27" s="20">
        <v>0.30493302900000002</v>
      </c>
      <c r="Y27" s="64">
        <v>14.9390412190268</v>
      </c>
      <c r="Z27" s="64">
        <v>0</v>
      </c>
      <c r="AA27" s="77">
        <f t="shared" si="9"/>
        <v>0</v>
      </c>
      <c r="AB27" s="62">
        <f t="shared" si="10"/>
        <v>0</v>
      </c>
      <c r="AC27" s="78">
        <f t="shared" si="11"/>
        <v>0</v>
      </c>
      <c r="AD27" s="78">
        <f t="shared" si="12"/>
        <v>0</v>
      </c>
      <c r="AE27" s="15">
        <f t="shared" si="13"/>
        <v>0</v>
      </c>
      <c r="AF27" s="15">
        <f t="shared" si="14"/>
        <v>-0.1401741809999999</v>
      </c>
      <c r="AG27" s="15">
        <f t="shared" si="15"/>
        <v>-1.1856241000000045E-2</v>
      </c>
      <c r="AH27" s="78">
        <f t="shared" si="16"/>
        <v>0.47787480462000076</v>
      </c>
      <c r="AI27" s="79">
        <f t="shared" si="17"/>
        <v>0</v>
      </c>
    </row>
    <row r="28" spans="2:35" x14ac:dyDescent="0.25">
      <c r="B28" t="s">
        <v>207</v>
      </c>
      <c r="C28" s="19">
        <v>46064</v>
      </c>
      <c r="D28" s="80" t="s">
        <v>213</v>
      </c>
      <c r="E28" s="80" t="s">
        <v>228</v>
      </c>
      <c r="F28" t="s">
        <v>229</v>
      </c>
      <c r="G28" s="20">
        <v>10.447279999999999</v>
      </c>
      <c r="H28" s="20">
        <v>103.26506999999999</v>
      </c>
      <c r="I28" s="75">
        <v>6.407342528</v>
      </c>
      <c r="J28" s="64">
        <v>289.96155020999998</v>
      </c>
      <c r="K28" s="76">
        <v>0.86705756300000003</v>
      </c>
      <c r="L28" s="76">
        <v>-0.14059868259422201</v>
      </c>
      <c r="M28" s="20">
        <v>0.81162312483785404</v>
      </c>
      <c r="N28" s="20">
        <v>2.0461611359999998</v>
      </c>
      <c r="O28" s="20">
        <v>0.20397204399999999</v>
      </c>
      <c r="P28" s="64">
        <v>9.9685230264289402</v>
      </c>
      <c r="Q28" s="64">
        <v>0</v>
      </c>
      <c r="R28" s="75">
        <v>6.5295800379999998</v>
      </c>
      <c r="S28" s="64">
        <v>302.25794263199998</v>
      </c>
      <c r="T28" s="76">
        <v>0.89755861699999995</v>
      </c>
      <c r="U28" s="76">
        <v>-0.12674165620571701</v>
      </c>
      <c r="V28" s="20">
        <v>0.83823022538018799</v>
      </c>
      <c r="W28" s="20">
        <v>1.9991634579999999</v>
      </c>
      <c r="X28" s="20">
        <v>0.204349062</v>
      </c>
      <c r="Y28" s="64">
        <v>10.2217285526234</v>
      </c>
      <c r="Z28" s="64">
        <v>0</v>
      </c>
      <c r="AA28" s="77">
        <f t="shared" ref="AA28:AA50" si="18">I28-R28</f>
        <v>-0.12223750999999972</v>
      </c>
      <c r="AB28" s="62">
        <f t="shared" ref="AB28:AB50" si="19">J28-S28</f>
        <v>-12.296392421999997</v>
      </c>
      <c r="AC28" s="78">
        <f t="shared" ref="AC28:AC50" si="20">K28-T28</f>
        <v>-3.0501053999999916E-2</v>
      </c>
      <c r="AD28" s="78">
        <f t="shared" ref="AD28:AD50" si="21">L28-U28</f>
        <v>-1.3857026388505E-2</v>
      </c>
      <c r="AE28" s="15">
        <f t="shared" ref="AE28:AE50" si="22">M28-V28</f>
        <v>-2.660710054233395E-2</v>
      </c>
      <c r="AF28" s="15">
        <f t="shared" ref="AF28:AF50" si="23">N28-W28</f>
        <v>4.6997677999999876E-2</v>
      </c>
      <c r="AG28" s="15">
        <f t="shared" ref="AG28:AG50" si="24">O28-X28</f>
        <v>-3.7701800000000674E-4</v>
      </c>
      <c r="AH28" s="78">
        <f t="shared" ref="AH28:AH50" si="25">P28-Y28</f>
        <v>-0.25320552619445991</v>
      </c>
      <c r="AI28" s="79">
        <f t="shared" ref="AI28:AI50" si="26">Q28-Z28</f>
        <v>0</v>
      </c>
    </row>
    <row r="29" spans="2:35" x14ac:dyDescent="0.25">
      <c r="B29" t="s">
        <v>207</v>
      </c>
      <c r="C29" s="19">
        <v>46064</v>
      </c>
      <c r="D29" s="80" t="s">
        <v>213</v>
      </c>
      <c r="E29" s="80" t="s">
        <v>230</v>
      </c>
      <c r="F29" t="s">
        <v>231</v>
      </c>
      <c r="G29" s="20">
        <v>10.947279999999999</v>
      </c>
      <c r="H29" s="20">
        <v>111.60411000000001</v>
      </c>
      <c r="I29" s="75">
        <v>5.6169199660000002</v>
      </c>
      <c r="J29" s="64">
        <v>207.905278821</v>
      </c>
      <c r="K29" s="76">
        <v>2.4555555560000002</v>
      </c>
      <c r="L29" s="76">
        <v>0.11142073889573</v>
      </c>
      <c r="M29" s="20">
        <v>2.1541325942207701</v>
      </c>
      <c r="N29" s="20">
        <v>2.529519809</v>
      </c>
      <c r="O29" s="20">
        <v>0.33526317300000003</v>
      </c>
      <c r="P29" s="64">
        <v>13.254024412346499</v>
      </c>
      <c r="Q29" s="64">
        <v>0</v>
      </c>
      <c r="R29" s="75">
        <v>5.6169199660000002</v>
      </c>
      <c r="S29" s="64">
        <v>207.905278821</v>
      </c>
      <c r="T29" s="76">
        <v>2.4555555560000002</v>
      </c>
      <c r="U29" s="76">
        <v>0.11142073889573</v>
      </c>
      <c r="V29" s="20">
        <v>2.1541325942207701</v>
      </c>
      <c r="W29" s="20">
        <v>2.582711405</v>
      </c>
      <c r="X29" s="20">
        <v>0.33352487800000002</v>
      </c>
      <c r="Y29" s="64">
        <v>12.9137493780495</v>
      </c>
      <c r="Z29" s="64">
        <v>0</v>
      </c>
      <c r="AA29" s="77">
        <f t="shared" si="18"/>
        <v>0</v>
      </c>
      <c r="AB29" s="62">
        <f t="shared" si="19"/>
        <v>0</v>
      </c>
      <c r="AC29" s="78">
        <f t="shared" si="20"/>
        <v>0</v>
      </c>
      <c r="AD29" s="78">
        <f t="shared" si="21"/>
        <v>0</v>
      </c>
      <c r="AE29" s="15">
        <f t="shared" si="22"/>
        <v>0</v>
      </c>
      <c r="AF29" s="15">
        <f t="shared" si="23"/>
        <v>-5.3191596000000008E-2</v>
      </c>
      <c r="AG29" s="15">
        <f t="shared" si="24"/>
        <v>1.7382950000000008E-3</v>
      </c>
      <c r="AH29" s="78">
        <f t="shared" si="25"/>
        <v>0.34027503429699912</v>
      </c>
      <c r="AI29" s="79">
        <f t="shared" si="26"/>
        <v>0</v>
      </c>
    </row>
    <row r="30" spans="2:35" x14ac:dyDescent="0.25">
      <c r="B30" t="s">
        <v>207</v>
      </c>
      <c r="C30" s="19">
        <v>46064</v>
      </c>
      <c r="D30" s="80" t="s">
        <v>213</v>
      </c>
      <c r="E30" s="80" t="s">
        <v>232</v>
      </c>
      <c r="F30" t="s">
        <v>233</v>
      </c>
      <c r="G30" s="20">
        <v>6.5972799999999996</v>
      </c>
      <c r="H30" s="20">
        <v>100.73654500000001</v>
      </c>
      <c r="I30" s="75">
        <v>4.6577867739999999</v>
      </c>
      <c r="J30" s="64">
        <v>104.99839885599999</v>
      </c>
      <c r="K30" s="76">
        <v>0.38987161999999997</v>
      </c>
      <c r="L30" s="76">
        <v>7.7211413196662604E-3</v>
      </c>
      <c r="M30" s="20">
        <v>0.376581823408771</v>
      </c>
      <c r="N30" s="20">
        <v>1.810726321</v>
      </c>
      <c r="O30" s="20">
        <v>0.27908854999999999</v>
      </c>
      <c r="P30" s="64">
        <v>15.413071912815001</v>
      </c>
      <c r="Q30" s="64">
        <v>0</v>
      </c>
      <c r="R30" s="75">
        <v>4.841641546</v>
      </c>
      <c r="S30" s="64">
        <v>125.00846881</v>
      </c>
      <c r="T30" s="76">
        <v>0.43314187799999998</v>
      </c>
      <c r="U30" s="76">
        <v>-3.5493951078100498E-3</v>
      </c>
      <c r="V30" s="20">
        <v>0.41808946097963101</v>
      </c>
      <c r="W30" s="20">
        <v>2.112697072</v>
      </c>
      <c r="X30" s="20">
        <v>0.30279864899999998</v>
      </c>
      <c r="Y30" s="64">
        <v>14.3323268164211</v>
      </c>
      <c r="Z30" s="64">
        <v>0</v>
      </c>
      <c r="AA30" s="77">
        <f t="shared" si="18"/>
        <v>-0.18385477200000011</v>
      </c>
      <c r="AB30" s="62">
        <f t="shared" si="19"/>
        <v>-20.010069954000002</v>
      </c>
      <c r="AC30" s="78">
        <f t="shared" si="20"/>
        <v>-4.3270258000000006E-2</v>
      </c>
      <c r="AD30" s="78">
        <f t="shared" si="21"/>
        <v>1.1270536427476311E-2</v>
      </c>
      <c r="AE30" s="15">
        <f t="shared" si="22"/>
        <v>-4.1507637570860012E-2</v>
      </c>
      <c r="AF30" s="15">
        <f t="shared" si="23"/>
        <v>-0.30197075100000004</v>
      </c>
      <c r="AG30" s="15">
        <f t="shared" si="24"/>
        <v>-2.3710098999999984E-2</v>
      </c>
      <c r="AH30" s="78">
        <f t="shared" si="25"/>
        <v>1.0807450963939012</v>
      </c>
      <c r="AI30" s="79">
        <f t="shared" si="26"/>
        <v>0</v>
      </c>
    </row>
    <row r="31" spans="2:35" x14ac:dyDescent="0.25">
      <c r="B31" t="s">
        <v>207</v>
      </c>
      <c r="C31" s="19">
        <v>46064</v>
      </c>
      <c r="D31" s="80" t="s">
        <v>213</v>
      </c>
      <c r="E31" s="80" t="s">
        <v>234</v>
      </c>
      <c r="F31" t="s">
        <v>235</v>
      </c>
      <c r="G31" s="20">
        <v>8.6472800000000003</v>
      </c>
      <c r="H31" s="20">
        <v>102.27056</v>
      </c>
      <c r="I31" s="75">
        <v>5.6516376509999997</v>
      </c>
      <c r="J31" s="64">
        <v>213.97399448300001</v>
      </c>
      <c r="K31" s="76">
        <v>0.78888888899999998</v>
      </c>
      <c r="L31" s="76">
        <v>3.3116786492611003E-2</v>
      </c>
      <c r="M31" s="20">
        <v>0.75259635128622904</v>
      </c>
      <c r="N31" s="20">
        <v>1.092951507</v>
      </c>
      <c r="O31" s="20">
        <v>0.10650129</v>
      </c>
      <c r="P31" s="64">
        <v>9.74437468797964</v>
      </c>
      <c r="Q31" s="64">
        <v>0</v>
      </c>
      <c r="R31" s="75">
        <v>5.6516376509999997</v>
      </c>
      <c r="S31" s="64">
        <v>213.97399448300001</v>
      </c>
      <c r="T31" s="76">
        <v>0.78888888899999998</v>
      </c>
      <c r="U31" s="76">
        <v>-0.21528617521993301</v>
      </c>
      <c r="V31" s="20">
        <v>0.75259635128622904</v>
      </c>
      <c r="W31" s="20">
        <v>1.0161181239999999</v>
      </c>
      <c r="X31" s="20">
        <v>9.9766864999999996E-2</v>
      </c>
      <c r="Y31" s="64">
        <v>9.8184317987817007</v>
      </c>
      <c r="Z31" s="64">
        <v>0</v>
      </c>
      <c r="AA31" s="77">
        <f t="shared" si="18"/>
        <v>0</v>
      </c>
      <c r="AB31" s="62">
        <f t="shared" si="19"/>
        <v>0</v>
      </c>
      <c r="AC31" s="78">
        <f t="shared" si="20"/>
        <v>0</v>
      </c>
      <c r="AD31" s="78">
        <f t="shared" si="21"/>
        <v>0.248402961712544</v>
      </c>
      <c r="AE31" s="15">
        <f t="shared" si="22"/>
        <v>0</v>
      </c>
      <c r="AF31" s="15">
        <f t="shared" si="23"/>
        <v>7.6833383000000088E-2</v>
      </c>
      <c r="AG31" s="15">
        <f t="shared" si="24"/>
        <v>6.7344250000000022E-3</v>
      </c>
      <c r="AH31" s="78">
        <f t="shared" si="25"/>
        <v>-7.4057110802060677E-2</v>
      </c>
      <c r="AI31" s="79">
        <f t="shared" si="26"/>
        <v>0</v>
      </c>
    </row>
    <row r="32" spans="2:35" x14ac:dyDescent="0.25">
      <c r="B32" t="s">
        <v>207</v>
      </c>
      <c r="C32" s="19">
        <v>46064</v>
      </c>
      <c r="D32" s="80" t="s">
        <v>213</v>
      </c>
      <c r="E32" s="80" t="s">
        <v>236</v>
      </c>
      <c r="F32" t="s">
        <v>237</v>
      </c>
      <c r="G32" s="20">
        <v>11.09728</v>
      </c>
      <c r="H32" s="20">
        <v>111.56115</v>
      </c>
      <c r="I32" s="75">
        <v>6.3319646489999997</v>
      </c>
      <c r="J32" s="64">
        <v>277.64721975499998</v>
      </c>
      <c r="K32" s="76">
        <v>2.7944444439999998</v>
      </c>
      <c r="L32" s="76">
        <v>0.113529263547395</v>
      </c>
      <c r="M32" s="20">
        <v>2.40311128201887</v>
      </c>
      <c r="N32" s="20">
        <v>2.1869382800000001</v>
      </c>
      <c r="O32" s="20">
        <v>0.38773476499999998</v>
      </c>
      <c r="P32" s="64">
        <v>17.729570539137502</v>
      </c>
      <c r="Q32" s="64">
        <v>0</v>
      </c>
      <c r="R32" s="75">
        <v>6.3319646489999997</v>
      </c>
      <c r="S32" s="64">
        <v>277.64721975499998</v>
      </c>
      <c r="T32" s="76">
        <v>2.7944444439999998</v>
      </c>
      <c r="U32" s="76">
        <v>0.113529263547395</v>
      </c>
      <c r="V32" s="20">
        <v>2.40311128201887</v>
      </c>
      <c r="W32" s="20">
        <v>2.2914459479999998</v>
      </c>
      <c r="X32" s="20">
        <v>0.40466336000000003</v>
      </c>
      <c r="Y32" s="64">
        <v>17.659738400253101</v>
      </c>
      <c r="Z32" s="64">
        <v>0</v>
      </c>
      <c r="AA32" s="77">
        <f t="shared" si="18"/>
        <v>0</v>
      </c>
      <c r="AB32" s="62">
        <f t="shared" si="19"/>
        <v>0</v>
      </c>
      <c r="AC32" s="78">
        <f t="shared" si="20"/>
        <v>0</v>
      </c>
      <c r="AD32" s="78">
        <f t="shared" si="21"/>
        <v>0</v>
      </c>
      <c r="AE32" s="15">
        <f t="shared" si="22"/>
        <v>0</v>
      </c>
      <c r="AF32" s="15">
        <f t="shared" si="23"/>
        <v>-0.10450766799999966</v>
      </c>
      <c r="AG32" s="15">
        <f t="shared" si="24"/>
        <v>-1.6928595000000046E-2</v>
      </c>
      <c r="AH32" s="78">
        <f t="shared" si="25"/>
        <v>6.9832138884400763E-2</v>
      </c>
      <c r="AI32" s="79">
        <f t="shared" si="26"/>
        <v>0</v>
      </c>
    </row>
    <row r="33" spans="2:35" x14ac:dyDescent="0.25">
      <c r="B33" t="s">
        <v>207</v>
      </c>
      <c r="C33" s="19">
        <v>46064</v>
      </c>
      <c r="D33" s="80" t="s">
        <v>213</v>
      </c>
      <c r="E33" s="80" t="s">
        <v>238</v>
      </c>
      <c r="F33" t="s">
        <v>239</v>
      </c>
      <c r="G33" s="20">
        <v>8.9472799999999992</v>
      </c>
      <c r="H33" s="20">
        <v>104.34538499999999</v>
      </c>
      <c r="I33" s="75">
        <v>5.4567755079999998</v>
      </c>
      <c r="J33" s="64">
        <v>195.896738083</v>
      </c>
      <c r="K33" s="76">
        <v>1.3827335780000001</v>
      </c>
      <c r="L33" s="76">
        <v>-1.3005577870070599</v>
      </c>
      <c r="M33" s="20">
        <v>1.2857303828051501</v>
      </c>
      <c r="N33" s="20">
        <v>2.1869382800000001</v>
      </c>
      <c r="O33" s="20">
        <v>0.38773476499999998</v>
      </c>
      <c r="P33" s="64">
        <v>17.729570539137502</v>
      </c>
      <c r="Q33" s="64">
        <v>0</v>
      </c>
      <c r="R33" s="75">
        <v>5.772039822</v>
      </c>
      <c r="S33" s="64">
        <v>226.85099775699999</v>
      </c>
      <c r="T33" s="76">
        <v>1.549915766</v>
      </c>
      <c r="U33" s="76">
        <v>-1.2855880343917501</v>
      </c>
      <c r="V33" s="20">
        <v>1.42870156068714</v>
      </c>
      <c r="W33" s="20">
        <v>2.2914459479999998</v>
      </c>
      <c r="X33" s="20">
        <v>0.40466336000000003</v>
      </c>
      <c r="Y33" s="64">
        <v>17.659738400253101</v>
      </c>
      <c r="Z33" s="64">
        <v>0</v>
      </c>
      <c r="AA33" s="77">
        <f t="shared" si="18"/>
        <v>-0.31526431400000021</v>
      </c>
      <c r="AB33" s="62">
        <f t="shared" si="19"/>
        <v>-30.954259673999985</v>
      </c>
      <c r="AC33" s="78">
        <f t="shared" si="20"/>
        <v>-0.16718218799999995</v>
      </c>
      <c r="AD33" s="78">
        <f t="shared" si="21"/>
        <v>-1.4969752615309861E-2</v>
      </c>
      <c r="AE33" s="15">
        <f t="shared" si="22"/>
        <v>-0.14297117788198999</v>
      </c>
      <c r="AF33" s="15">
        <f t="shared" si="23"/>
        <v>-0.10450766799999966</v>
      </c>
      <c r="AG33" s="15">
        <f t="shared" si="24"/>
        <v>-1.6928595000000046E-2</v>
      </c>
      <c r="AH33" s="78">
        <f t="shared" si="25"/>
        <v>6.9832138884400763E-2</v>
      </c>
      <c r="AI33" s="79">
        <f t="shared" si="26"/>
        <v>0</v>
      </c>
    </row>
    <row r="34" spans="2:35" x14ac:dyDescent="0.25">
      <c r="B34" t="s">
        <v>207</v>
      </c>
      <c r="C34" s="19">
        <v>46064</v>
      </c>
      <c r="D34" s="81" t="s">
        <v>213</v>
      </c>
      <c r="E34" s="81" t="s">
        <v>240</v>
      </c>
      <c r="F34" t="s">
        <v>241</v>
      </c>
      <c r="G34" s="20">
        <v>10.197279999999999</v>
      </c>
      <c r="H34" s="20">
        <v>109.35919</v>
      </c>
      <c r="I34" s="75">
        <v>6.1163375059999998</v>
      </c>
      <c r="J34" s="64">
        <v>256.68143925200002</v>
      </c>
      <c r="K34" s="76">
        <v>2.6595339760000001</v>
      </c>
      <c r="L34" s="76">
        <v>-1.31976361748839</v>
      </c>
      <c r="M34" s="20">
        <v>2.3233671820356299</v>
      </c>
      <c r="N34" s="20">
        <v>2.1869382800000001</v>
      </c>
      <c r="O34" s="20">
        <v>0.38773476499999998</v>
      </c>
      <c r="P34" s="64">
        <v>17.729570539137502</v>
      </c>
      <c r="Q34" s="64">
        <v>0</v>
      </c>
      <c r="R34" s="75">
        <v>6.2307195010000003</v>
      </c>
      <c r="S34" s="64">
        <v>267.69535956999999</v>
      </c>
      <c r="T34" s="76">
        <v>2.7507122599999998</v>
      </c>
      <c r="U34" s="76">
        <v>-0.72872989732276605</v>
      </c>
      <c r="V34" s="20">
        <v>2.3927754677041699</v>
      </c>
      <c r="W34" s="20">
        <v>2.2914459479999998</v>
      </c>
      <c r="X34" s="20">
        <v>0.40466336000000003</v>
      </c>
      <c r="Y34" s="64">
        <v>17.659738400253101</v>
      </c>
      <c r="Z34" s="64">
        <v>0</v>
      </c>
      <c r="AA34" s="77">
        <f t="shared" si="18"/>
        <v>-0.11438199500000046</v>
      </c>
      <c r="AB34" s="62">
        <f t="shared" si="19"/>
        <v>-11.013920317999975</v>
      </c>
      <c r="AC34" s="78">
        <f t="shared" si="20"/>
        <v>-9.1178283999999721E-2</v>
      </c>
      <c r="AD34" s="78">
        <f t="shared" si="21"/>
        <v>-0.59103372016562394</v>
      </c>
      <c r="AE34" s="15">
        <f t="shared" si="22"/>
        <v>-6.9408285668540071E-2</v>
      </c>
      <c r="AF34" s="15">
        <f t="shared" si="23"/>
        <v>-0.10450766799999966</v>
      </c>
      <c r="AG34" s="15">
        <f t="shared" si="24"/>
        <v>-1.6928595000000046E-2</v>
      </c>
      <c r="AH34" s="78">
        <f t="shared" si="25"/>
        <v>6.9832138884400763E-2</v>
      </c>
      <c r="AI34" s="79">
        <f t="shared" si="26"/>
        <v>0</v>
      </c>
    </row>
    <row r="35" spans="2:35" x14ac:dyDescent="0.25">
      <c r="B35" t="s">
        <v>207</v>
      </c>
      <c r="C35" s="19">
        <v>46064</v>
      </c>
      <c r="D35" s="81" t="s">
        <v>19</v>
      </c>
      <c r="E35" s="81" t="s">
        <v>20</v>
      </c>
      <c r="F35" t="s">
        <v>21</v>
      </c>
      <c r="G35" s="20">
        <v>8.0654249999999994</v>
      </c>
      <c r="H35" s="20">
        <v>100.2329</v>
      </c>
      <c r="I35" s="75">
        <v>6.6653598059999997</v>
      </c>
      <c r="J35" s="64">
        <v>306.60933210299999</v>
      </c>
      <c r="K35" s="76">
        <v>0.53888888899999998</v>
      </c>
      <c r="L35" s="76">
        <v>0.51468538673429198</v>
      </c>
      <c r="M35" s="20">
        <v>0.51471985844967005</v>
      </c>
      <c r="N35" s="20">
        <v>4.8190885779999997</v>
      </c>
      <c r="O35" s="20">
        <v>2.866606553</v>
      </c>
      <c r="P35" s="64">
        <v>59.484413008853402</v>
      </c>
      <c r="Q35" s="64">
        <v>0</v>
      </c>
      <c r="R35" s="75">
        <v>6.6671569120000003</v>
      </c>
      <c r="S35" s="64">
        <v>306.78902005999998</v>
      </c>
      <c r="T35" s="76">
        <v>0.53888888899999998</v>
      </c>
      <c r="U35" s="76">
        <v>0.51469916963392204</v>
      </c>
      <c r="V35" s="20">
        <v>0.51471420361976905</v>
      </c>
      <c r="W35" s="20">
        <v>5.5152795450000003</v>
      </c>
      <c r="X35" s="20">
        <v>2.9086490980000002</v>
      </c>
      <c r="Y35" s="64">
        <v>52.738017615750799</v>
      </c>
      <c r="Z35" s="64">
        <v>0</v>
      </c>
      <c r="AA35" s="77">
        <f t="shared" si="18"/>
        <v>-1.7971060000006034E-3</v>
      </c>
      <c r="AB35" s="62">
        <f t="shared" si="19"/>
        <v>-0.17968795699999873</v>
      </c>
      <c r="AC35" s="78">
        <f t="shared" si="20"/>
        <v>0</v>
      </c>
      <c r="AD35" s="78">
        <f t="shared" si="21"/>
        <v>-1.3782899630054857E-5</v>
      </c>
      <c r="AE35" s="15">
        <f t="shared" si="22"/>
        <v>5.6548299010028558E-6</v>
      </c>
      <c r="AF35" s="15">
        <f t="shared" si="23"/>
        <v>-0.6961909670000006</v>
      </c>
      <c r="AG35" s="15">
        <f t="shared" si="24"/>
        <v>-4.2042545000000153E-2</v>
      </c>
      <c r="AH35" s="78">
        <f t="shared" si="25"/>
        <v>6.7463953931026026</v>
      </c>
      <c r="AI35" s="79">
        <f t="shared" si="26"/>
        <v>0</v>
      </c>
    </row>
    <row r="36" spans="2:35" x14ac:dyDescent="0.25">
      <c r="B36" t="s">
        <v>207</v>
      </c>
      <c r="C36" s="19">
        <v>46064</v>
      </c>
      <c r="D36" s="81" t="s">
        <v>19</v>
      </c>
      <c r="E36" s="81" t="s">
        <v>242</v>
      </c>
      <c r="F36" t="s">
        <v>243</v>
      </c>
      <c r="G36" s="20">
        <v>8.4501369999999998</v>
      </c>
      <c r="H36" s="20">
        <v>101.768925</v>
      </c>
      <c r="I36" s="75">
        <v>7.1939635930000003</v>
      </c>
      <c r="J36" s="64">
        <v>368.30959625000003</v>
      </c>
      <c r="K36" s="76">
        <v>1.955555556</v>
      </c>
      <c r="L36" s="76">
        <v>1.75528171885475</v>
      </c>
      <c r="M36" s="20">
        <v>1.75898397177724</v>
      </c>
      <c r="N36" s="20">
        <v>4.3554645059999997</v>
      </c>
      <c r="O36" s="20">
        <v>2.7400401630000002</v>
      </c>
      <c r="P36" s="64">
        <v>62.910400468776103</v>
      </c>
      <c r="Q36" s="64">
        <v>0</v>
      </c>
      <c r="R36" s="75">
        <v>7.207145766</v>
      </c>
      <c r="S36" s="64">
        <v>369.628021752</v>
      </c>
      <c r="T36" s="76">
        <v>1.955555556</v>
      </c>
      <c r="U36" s="76">
        <v>1.7551800522605601</v>
      </c>
      <c r="V36" s="20">
        <v>1.75873432386163</v>
      </c>
      <c r="W36" s="20">
        <v>4.9540065770000004</v>
      </c>
      <c r="X36" s="20">
        <v>2.7020863409999998</v>
      </c>
      <c r="Y36" s="64">
        <v>54.543454858235201</v>
      </c>
      <c r="Z36" s="64">
        <v>0</v>
      </c>
      <c r="AA36" s="77">
        <f t="shared" si="18"/>
        <v>-1.3182172999999686E-2</v>
      </c>
      <c r="AB36" s="62">
        <f t="shared" si="19"/>
        <v>-1.3184255019999682</v>
      </c>
      <c r="AC36" s="78">
        <f t="shared" si="20"/>
        <v>0</v>
      </c>
      <c r="AD36" s="78">
        <f t="shared" si="21"/>
        <v>1.0166659418997526E-4</v>
      </c>
      <c r="AE36" s="15">
        <f t="shared" si="22"/>
        <v>2.4964791560999622E-4</v>
      </c>
      <c r="AF36" s="15">
        <f t="shared" si="23"/>
        <v>-0.59854207100000067</v>
      </c>
      <c r="AG36" s="15">
        <f t="shared" si="24"/>
        <v>3.7953822000000415E-2</v>
      </c>
      <c r="AH36" s="78">
        <f t="shared" si="25"/>
        <v>8.3669456105409026</v>
      </c>
      <c r="AI36" s="79">
        <f t="shared" si="26"/>
        <v>0</v>
      </c>
    </row>
    <row r="37" spans="2:35" x14ac:dyDescent="0.25">
      <c r="B37" t="s">
        <v>207</v>
      </c>
      <c r="C37" s="19">
        <v>46064</v>
      </c>
      <c r="D37" s="81" t="s">
        <v>19</v>
      </c>
      <c r="E37" s="81" t="s">
        <v>22</v>
      </c>
      <c r="F37" t="s">
        <v>23</v>
      </c>
      <c r="G37" s="20">
        <v>3.1720000000000002</v>
      </c>
      <c r="H37" s="20">
        <v>90.542349999999999</v>
      </c>
      <c r="I37" s="75">
        <v>8.2458371879999994</v>
      </c>
      <c r="J37" s="64">
        <v>473.033666401</v>
      </c>
      <c r="K37" s="76">
        <v>2.0388888889999999</v>
      </c>
      <c r="L37" s="76">
        <v>1.89930030422227</v>
      </c>
      <c r="M37" s="20">
        <v>1.89930030422227</v>
      </c>
      <c r="N37" s="20">
        <v>2.3572232450000001</v>
      </c>
      <c r="O37" s="20">
        <v>1.320368912</v>
      </c>
      <c r="P37" s="64">
        <v>56.013740522909202</v>
      </c>
      <c r="Q37" s="64">
        <v>0</v>
      </c>
      <c r="R37" s="75">
        <v>8.2458371879999994</v>
      </c>
      <c r="S37" s="64">
        <v>473.033666401</v>
      </c>
      <c r="T37" s="76">
        <v>2.0388888889999999</v>
      </c>
      <c r="U37" s="76">
        <v>1.89930030422227</v>
      </c>
      <c r="V37" s="20">
        <v>1.89930030422227</v>
      </c>
      <c r="W37" s="20">
        <v>2.6826547449999998</v>
      </c>
      <c r="X37" s="20">
        <v>1.329766263</v>
      </c>
      <c r="Y37" s="64">
        <v>49.569042213816502</v>
      </c>
      <c r="Z37" s="64">
        <v>0</v>
      </c>
      <c r="AA37" s="77">
        <f t="shared" si="18"/>
        <v>0</v>
      </c>
      <c r="AB37" s="62">
        <f t="shared" si="19"/>
        <v>0</v>
      </c>
      <c r="AC37" s="78">
        <f t="shared" si="20"/>
        <v>0</v>
      </c>
      <c r="AD37" s="78">
        <f t="shared" si="21"/>
        <v>0</v>
      </c>
      <c r="AE37" s="15">
        <f t="shared" si="22"/>
        <v>0</v>
      </c>
      <c r="AF37" s="15">
        <f t="shared" si="23"/>
        <v>-0.32543149999999965</v>
      </c>
      <c r="AG37" s="15">
        <f t="shared" si="24"/>
        <v>-9.3973510000000537E-3</v>
      </c>
      <c r="AH37" s="78">
        <f t="shared" si="25"/>
        <v>6.4446983090927006</v>
      </c>
      <c r="AI37" s="79">
        <f t="shared" si="26"/>
        <v>0</v>
      </c>
    </row>
    <row r="38" spans="2:35" x14ac:dyDescent="0.25">
      <c r="B38" t="s">
        <v>207</v>
      </c>
      <c r="C38" s="19">
        <v>46064</v>
      </c>
      <c r="D38" s="81" t="s">
        <v>19</v>
      </c>
      <c r="E38" s="81" t="s">
        <v>24</v>
      </c>
      <c r="F38" t="s">
        <v>25</v>
      </c>
      <c r="G38" s="20">
        <v>4.5546049999999996</v>
      </c>
      <c r="H38" s="20">
        <v>90.827889999999996</v>
      </c>
      <c r="I38" s="75">
        <v>6.5573446740000003</v>
      </c>
      <c r="J38" s="64">
        <v>273.67911182</v>
      </c>
      <c r="K38" s="76">
        <v>5.9555555560000002</v>
      </c>
      <c r="L38" s="76">
        <v>6.6899967333822303</v>
      </c>
      <c r="M38" s="20">
        <v>5.01311392899252</v>
      </c>
      <c r="N38" s="20">
        <v>2.5073604829999998</v>
      </c>
      <c r="O38" s="20">
        <v>1.007107601</v>
      </c>
      <c r="P38" s="64">
        <v>40.166047436267299</v>
      </c>
      <c r="Q38" s="64">
        <v>0</v>
      </c>
      <c r="R38" s="75">
        <v>6.3907137949999999</v>
      </c>
      <c r="S38" s="64">
        <v>249.33539517599999</v>
      </c>
      <c r="T38" s="76">
        <v>6.7888888889999999</v>
      </c>
      <c r="U38" s="76">
        <v>6.7258108649226598</v>
      </c>
      <c r="V38" s="20">
        <v>5.6003758405045003</v>
      </c>
      <c r="W38" s="20">
        <v>3.1879079830000001</v>
      </c>
      <c r="X38" s="20">
        <v>1.051651632</v>
      </c>
      <c r="Y38" s="64">
        <v>32.988769989852003</v>
      </c>
      <c r="Z38" s="64">
        <v>0</v>
      </c>
      <c r="AA38" s="77">
        <f t="shared" si="18"/>
        <v>0.1666308790000004</v>
      </c>
      <c r="AB38" s="62">
        <f t="shared" si="19"/>
        <v>24.343716644000011</v>
      </c>
      <c r="AC38" s="78">
        <f t="shared" si="20"/>
        <v>-0.83333333299999968</v>
      </c>
      <c r="AD38" s="78">
        <f t="shared" si="21"/>
        <v>-3.581413154042945E-2</v>
      </c>
      <c r="AE38" s="15">
        <f t="shared" si="22"/>
        <v>-0.58726191151198037</v>
      </c>
      <c r="AF38" s="15">
        <f t="shared" si="23"/>
        <v>-0.6805475000000003</v>
      </c>
      <c r="AG38" s="15">
        <f t="shared" si="24"/>
        <v>-4.4544031000000039E-2</v>
      </c>
      <c r="AH38" s="78">
        <f t="shared" si="25"/>
        <v>7.177277446415296</v>
      </c>
      <c r="AI38" s="79">
        <f t="shared" si="26"/>
        <v>0</v>
      </c>
    </row>
    <row r="39" spans="2:35" x14ac:dyDescent="0.25">
      <c r="B39" t="s">
        <v>207</v>
      </c>
      <c r="C39" s="19">
        <v>46064</v>
      </c>
      <c r="D39" s="81" t="s">
        <v>19</v>
      </c>
      <c r="E39" s="81" t="s">
        <v>48</v>
      </c>
      <c r="F39" t="s">
        <v>49</v>
      </c>
      <c r="G39" s="20">
        <v>4.5881670000000003</v>
      </c>
      <c r="H39" s="20">
        <v>83.885130000000004</v>
      </c>
      <c r="I39" s="75">
        <v>6.8985848790000004</v>
      </c>
      <c r="J39" s="64">
        <v>279.77198890300002</v>
      </c>
      <c r="K39" s="76">
        <v>9.7055555560000002</v>
      </c>
      <c r="L39" s="76">
        <v>9.4179545516589194</v>
      </c>
      <c r="M39" s="20">
        <v>7.3936318188932999</v>
      </c>
      <c r="N39" s="20">
        <v>2.7958739110000002</v>
      </c>
      <c r="O39" s="20">
        <v>0.83493604899999996</v>
      </c>
      <c r="P39" s="64">
        <v>29.863151042507798</v>
      </c>
      <c r="Q39" s="64">
        <v>0</v>
      </c>
      <c r="R39" s="75">
        <v>6.7847755459999997</v>
      </c>
      <c r="S39" s="64">
        <v>264.62213014100001</v>
      </c>
      <c r="T39" s="76">
        <v>10.455555556</v>
      </c>
      <c r="U39" s="76">
        <v>9.3042031370756693</v>
      </c>
      <c r="V39" s="20">
        <v>7.81746951932959</v>
      </c>
      <c r="W39" s="20">
        <v>3.4754308900000002</v>
      </c>
      <c r="X39" s="20">
        <v>0.92369675200000001</v>
      </c>
      <c r="Y39" s="64">
        <v>26.5779059125529</v>
      </c>
      <c r="Z39" s="64">
        <v>0</v>
      </c>
      <c r="AA39" s="77">
        <f t="shared" si="18"/>
        <v>0.11380933300000073</v>
      </c>
      <c r="AB39" s="62">
        <f t="shared" si="19"/>
        <v>15.149858762000008</v>
      </c>
      <c r="AC39" s="78">
        <f t="shared" si="20"/>
        <v>-0.75</v>
      </c>
      <c r="AD39" s="78">
        <f t="shared" si="21"/>
        <v>0.11375141458325011</v>
      </c>
      <c r="AE39" s="15">
        <f t="shared" si="22"/>
        <v>-0.4238377004362901</v>
      </c>
      <c r="AF39" s="15">
        <f t="shared" si="23"/>
        <v>-0.67955697900000001</v>
      </c>
      <c r="AG39" s="15">
        <f t="shared" si="24"/>
        <v>-8.8760703000000052E-2</v>
      </c>
      <c r="AH39" s="78">
        <f t="shared" si="25"/>
        <v>3.2852451299548981</v>
      </c>
      <c r="AI39" s="79">
        <f t="shared" si="26"/>
        <v>0</v>
      </c>
    </row>
    <row r="40" spans="2:35" x14ac:dyDescent="0.25">
      <c r="B40" t="s">
        <v>207</v>
      </c>
      <c r="C40" s="19">
        <v>46064</v>
      </c>
      <c r="D40" s="81" t="s">
        <v>19</v>
      </c>
      <c r="E40" s="81" t="s">
        <v>244</v>
      </c>
      <c r="F40" t="s">
        <v>245</v>
      </c>
      <c r="G40" s="20">
        <v>8.3986009999999993</v>
      </c>
      <c r="H40" s="20">
        <v>101</v>
      </c>
      <c r="I40" s="75">
        <v>5.5159533679999999</v>
      </c>
      <c r="J40" s="64">
        <v>191.66420393999999</v>
      </c>
      <c r="K40" s="76">
        <v>0.53888888899999998</v>
      </c>
      <c r="L40" s="76">
        <v>0.51733169801980905</v>
      </c>
      <c r="M40" s="20">
        <v>0.51731989702969405</v>
      </c>
      <c r="N40" s="20">
        <v>4.2851117959999998</v>
      </c>
      <c r="O40" s="20">
        <v>2.1949263700000001</v>
      </c>
      <c r="P40" s="64">
        <v>51.222149490916102</v>
      </c>
      <c r="Q40" s="64">
        <v>0</v>
      </c>
      <c r="R40" s="75">
        <v>5.5159865029999997</v>
      </c>
      <c r="S40" s="64">
        <v>191.667518124</v>
      </c>
      <c r="T40" s="76">
        <v>0.53888888899999998</v>
      </c>
      <c r="U40" s="76">
        <v>0.51732246831682804</v>
      </c>
      <c r="V40" s="20">
        <v>0.51731984554455501</v>
      </c>
      <c r="W40" s="20">
        <v>5.0835903050000004</v>
      </c>
      <c r="X40" s="20">
        <v>2.2778049199999999</v>
      </c>
      <c r="Y40" s="64">
        <v>44.807012039496001</v>
      </c>
      <c r="Z40" s="64">
        <v>0</v>
      </c>
      <c r="AA40" s="77">
        <f t="shared" si="18"/>
        <v>-3.3134999999795411E-5</v>
      </c>
      <c r="AB40" s="62">
        <f t="shared" si="19"/>
        <v>-3.3141840000041611E-3</v>
      </c>
      <c r="AC40" s="78">
        <f t="shared" si="20"/>
        <v>0</v>
      </c>
      <c r="AD40" s="78">
        <f t="shared" si="21"/>
        <v>9.229702981006227E-6</v>
      </c>
      <c r="AE40" s="15">
        <f t="shared" si="22"/>
        <v>5.148513904096319E-8</v>
      </c>
      <c r="AF40" s="15">
        <f t="shared" si="23"/>
        <v>-0.79847850900000061</v>
      </c>
      <c r="AG40" s="15">
        <f t="shared" si="24"/>
        <v>-8.2878549999999773E-2</v>
      </c>
      <c r="AH40" s="78">
        <f t="shared" si="25"/>
        <v>6.4151374514201009</v>
      </c>
      <c r="AI40" s="79">
        <f t="shared" si="26"/>
        <v>0</v>
      </c>
    </row>
    <row r="41" spans="2:35" x14ac:dyDescent="0.25">
      <c r="B41" t="s">
        <v>207</v>
      </c>
      <c r="C41" s="19">
        <v>46064</v>
      </c>
      <c r="D41" s="81" t="s">
        <v>19</v>
      </c>
      <c r="E41" s="81" t="s">
        <v>50</v>
      </c>
      <c r="F41" t="s">
        <v>51</v>
      </c>
      <c r="G41" s="20">
        <v>4.2181550000000003</v>
      </c>
      <c r="H41" s="20">
        <v>84.069519999999997</v>
      </c>
      <c r="I41" s="75">
        <v>6.6234357179999996</v>
      </c>
      <c r="J41" s="64">
        <v>253.597412152</v>
      </c>
      <c r="K41" s="76">
        <v>9.4555555560000002</v>
      </c>
      <c r="L41" s="76">
        <v>8.3818240558528299</v>
      </c>
      <c r="M41" s="20">
        <v>7.35915396685981</v>
      </c>
      <c r="N41" s="20">
        <v>3.0054153920000002</v>
      </c>
      <c r="O41" s="20">
        <v>1.386469247</v>
      </c>
      <c r="P41" s="64">
        <v>46.132366616960503</v>
      </c>
      <c r="Q41" s="64">
        <v>0</v>
      </c>
      <c r="R41" s="75">
        <v>6.5134227600000001</v>
      </c>
      <c r="S41" s="64">
        <v>238.74619174200001</v>
      </c>
      <c r="T41" s="76">
        <v>10.122222222</v>
      </c>
      <c r="U41" s="76">
        <v>8.3899979933274196</v>
      </c>
      <c r="V41" s="20">
        <v>7.7554969732192998</v>
      </c>
      <c r="W41" s="20">
        <v>3.627066063</v>
      </c>
      <c r="X41" s="20">
        <v>1.490647652</v>
      </c>
      <c r="Y41" s="64">
        <v>41.097890860225</v>
      </c>
      <c r="Z41" s="64">
        <v>0</v>
      </c>
      <c r="AA41" s="77">
        <f t="shared" si="18"/>
        <v>0.11001295799999955</v>
      </c>
      <c r="AB41" s="62">
        <f t="shared" si="19"/>
        <v>14.851220409999996</v>
      </c>
      <c r="AC41" s="78">
        <f t="shared" si="20"/>
        <v>-0.66666666599999935</v>
      </c>
      <c r="AD41" s="78">
        <f t="shared" si="21"/>
        <v>-8.1739374745897209E-3</v>
      </c>
      <c r="AE41" s="15">
        <f t="shared" si="22"/>
        <v>-0.39634300635948971</v>
      </c>
      <c r="AF41" s="15">
        <f t="shared" si="23"/>
        <v>-0.62165067099999982</v>
      </c>
      <c r="AG41" s="15">
        <f t="shared" si="24"/>
        <v>-0.10417840500000008</v>
      </c>
      <c r="AH41" s="78">
        <f t="shared" si="25"/>
        <v>5.0344757567355032</v>
      </c>
      <c r="AI41" s="79">
        <f t="shared" si="26"/>
        <v>0</v>
      </c>
    </row>
    <row r="42" spans="2:35" x14ac:dyDescent="0.25">
      <c r="B42" t="s">
        <v>207</v>
      </c>
      <c r="C42" s="19">
        <v>46064</v>
      </c>
      <c r="D42" s="81" t="s">
        <v>19</v>
      </c>
      <c r="E42" s="81" t="s">
        <v>58</v>
      </c>
      <c r="F42" t="s">
        <v>59</v>
      </c>
      <c r="G42" s="20">
        <v>3.9752869999999998</v>
      </c>
      <c r="H42" s="20">
        <v>77.083254999999994</v>
      </c>
      <c r="I42" s="75">
        <v>6.9281767509999996</v>
      </c>
      <c r="J42" s="64">
        <v>274.14095235000002</v>
      </c>
      <c r="K42" s="76">
        <v>11.288888889000001</v>
      </c>
      <c r="L42" s="76">
        <v>10.355337567153899</v>
      </c>
      <c r="M42" s="20">
        <v>8.4517206506133995</v>
      </c>
      <c r="N42" s="20">
        <v>2.8604631500000002</v>
      </c>
      <c r="O42" s="20">
        <v>1.195165673</v>
      </c>
      <c r="P42" s="64">
        <v>41.782243305599003</v>
      </c>
      <c r="Q42" s="64">
        <v>0</v>
      </c>
      <c r="R42" s="75">
        <v>6.8368378070000002</v>
      </c>
      <c r="S42" s="64">
        <v>262.959615595</v>
      </c>
      <c r="T42" s="76">
        <v>11.705555556</v>
      </c>
      <c r="U42" s="76">
        <v>10.324933285445701</v>
      </c>
      <c r="V42" s="20">
        <v>8.6872113911121307</v>
      </c>
      <c r="W42" s="20">
        <v>3.3175181070000002</v>
      </c>
      <c r="X42" s="20">
        <v>1.278044371</v>
      </c>
      <c r="Y42" s="64">
        <v>38.524111392287899</v>
      </c>
      <c r="Z42" s="64">
        <v>0</v>
      </c>
      <c r="AA42" s="77">
        <f t="shared" si="18"/>
        <v>9.1338943999999422E-2</v>
      </c>
      <c r="AB42" s="62">
        <f t="shared" si="19"/>
        <v>11.181336755000018</v>
      </c>
      <c r="AC42" s="78">
        <f t="shared" si="20"/>
        <v>-0.41666666699999944</v>
      </c>
      <c r="AD42" s="78">
        <f t="shared" si="21"/>
        <v>3.0404281708198866E-2</v>
      </c>
      <c r="AE42" s="15">
        <f t="shared" si="22"/>
        <v>-0.2354907404987312</v>
      </c>
      <c r="AF42" s="15">
        <f t="shared" si="23"/>
        <v>-0.45705495699999998</v>
      </c>
      <c r="AG42" s="15">
        <f t="shared" si="24"/>
        <v>-8.2878698000000028E-2</v>
      </c>
      <c r="AH42" s="78">
        <f t="shared" si="25"/>
        <v>3.2581319133111037</v>
      </c>
      <c r="AI42" s="79">
        <f t="shared" si="26"/>
        <v>0</v>
      </c>
    </row>
    <row r="43" spans="2:35" x14ac:dyDescent="0.25">
      <c r="B43" t="s">
        <v>207</v>
      </c>
      <c r="C43" s="19">
        <v>46064</v>
      </c>
      <c r="D43" s="81" t="s">
        <v>19</v>
      </c>
      <c r="E43" s="81" t="s">
        <v>60</v>
      </c>
      <c r="F43" t="s">
        <v>61</v>
      </c>
      <c r="G43" s="20">
        <v>4.0458939999999997</v>
      </c>
      <c r="H43" s="20">
        <v>79.018730000000005</v>
      </c>
      <c r="I43" s="75">
        <v>6.7235140879999999</v>
      </c>
      <c r="J43" s="64">
        <v>254.08301151200001</v>
      </c>
      <c r="K43" s="76">
        <v>11.205555556</v>
      </c>
      <c r="L43" s="76">
        <v>10.200804780081899</v>
      </c>
      <c r="M43" s="20">
        <v>8.4210181079852706</v>
      </c>
      <c r="N43" s="20">
        <v>3.2199752460000002</v>
      </c>
      <c r="O43" s="20">
        <v>1.30736052</v>
      </c>
      <c r="P43" s="64">
        <v>40.601570512818803</v>
      </c>
      <c r="Q43" s="64">
        <v>0</v>
      </c>
      <c r="R43" s="75">
        <v>6.6198279759999998</v>
      </c>
      <c r="S43" s="64">
        <v>240.498243562</v>
      </c>
      <c r="T43" s="76">
        <v>11.872222222</v>
      </c>
      <c r="U43" s="76">
        <v>10.278787009105301</v>
      </c>
      <c r="V43" s="20">
        <v>8.7854607711361492</v>
      </c>
      <c r="W43" s="20">
        <v>3.8245909980000001</v>
      </c>
      <c r="X43" s="20">
        <v>1.389419693</v>
      </c>
      <c r="Y43" s="64">
        <v>36.328582421664699</v>
      </c>
      <c r="Z43" s="64">
        <v>0</v>
      </c>
      <c r="AA43" s="77">
        <f t="shared" si="18"/>
        <v>0.10368611200000011</v>
      </c>
      <c r="AB43" s="62">
        <f t="shared" si="19"/>
        <v>13.584767950000014</v>
      </c>
      <c r="AC43" s="78">
        <f t="shared" si="20"/>
        <v>-0.66666666599999935</v>
      </c>
      <c r="AD43" s="78">
        <f t="shared" si="21"/>
        <v>-7.7982229023401572E-2</v>
      </c>
      <c r="AE43" s="15">
        <f t="shared" si="22"/>
        <v>-0.36444266315087859</v>
      </c>
      <c r="AF43" s="15">
        <f t="shared" si="23"/>
        <v>-0.60461575199999995</v>
      </c>
      <c r="AG43" s="15">
        <f t="shared" si="24"/>
        <v>-8.2059172999999985E-2</v>
      </c>
      <c r="AH43" s="78">
        <f t="shared" si="25"/>
        <v>4.2729880911541045</v>
      </c>
      <c r="AI43" s="79">
        <f t="shared" si="26"/>
        <v>0</v>
      </c>
    </row>
    <row r="44" spans="2:35" x14ac:dyDescent="0.25">
      <c r="B44" t="s">
        <v>207</v>
      </c>
      <c r="C44" s="19">
        <v>46064</v>
      </c>
      <c r="D44" s="37" t="s">
        <v>19</v>
      </c>
      <c r="E44" s="37" t="s">
        <v>62</v>
      </c>
      <c r="F44" t="s">
        <v>63</v>
      </c>
      <c r="G44" s="20">
        <v>7.8073100000000002</v>
      </c>
      <c r="H44" s="20">
        <v>99.951430000000002</v>
      </c>
      <c r="I44" s="75">
        <v>3.9665356709999999</v>
      </c>
      <c r="J44" s="64">
        <v>28.268167132999999</v>
      </c>
      <c r="K44" s="76">
        <v>0.12222222200000001</v>
      </c>
      <c r="L44" s="76">
        <v>0.12010556227159599</v>
      </c>
      <c r="M44" s="20">
        <v>0.12010556227159599</v>
      </c>
      <c r="N44" s="20">
        <v>4.5252481580000001</v>
      </c>
      <c r="O44" s="20">
        <v>3.2372822879999998</v>
      </c>
      <c r="P44" s="64">
        <v>71.538226744028194</v>
      </c>
      <c r="Q44" s="64">
        <v>0</v>
      </c>
      <c r="R44" s="75">
        <v>3.9667071370000002</v>
      </c>
      <c r="S44" s="64">
        <v>28.285313652999999</v>
      </c>
      <c r="T44" s="76">
        <v>0.12222222200000001</v>
      </c>
      <c r="U44" s="76">
        <v>0.120105474228826</v>
      </c>
      <c r="V44" s="20">
        <v>0.120105474228826</v>
      </c>
      <c r="W44" s="20">
        <v>5.1480622560000002</v>
      </c>
      <c r="X44" s="20">
        <v>3.3622752629999999</v>
      </c>
      <c r="Y44" s="64">
        <v>65.311472468719899</v>
      </c>
      <c r="Z44" s="64">
        <v>0</v>
      </c>
      <c r="AA44" s="77">
        <f t="shared" si="18"/>
        <v>-1.7146600000028656E-4</v>
      </c>
      <c r="AB44" s="62">
        <f t="shared" si="19"/>
        <v>-1.714652000000072E-2</v>
      </c>
      <c r="AC44" s="78">
        <f t="shared" si="20"/>
        <v>0</v>
      </c>
      <c r="AD44" s="78">
        <f t="shared" si="21"/>
        <v>8.8042769991192316E-8</v>
      </c>
      <c r="AE44" s="15">
        <f t="shared" si="22"/>
        <v>8.8042769991192316E-8</v>
      </c>
      <c r="AF44" s="15">
        <f t="shared" si="23"/>
        <v>-0.62281409800000009</v>
      </c>
      <c r="AG44" s="15">
        <f t="shared" si="24"/>
        <v>-0.12499297500000006</v>
      </c>
      <c r="AH44" s="78">
        <f t="shared" si="25"/>
        <v>6.226754275308295</v>
      </c>
      <c r="AI44" s="79">
        <f t="shared" si="26"/>
        <v>0</v>
      </c>
    </row>
    <row r="45" spans="2:35" x14ac:dyDescent="0.25">
      <c r="B45" t="s">
        <v>207</v>
      </c>
      <c r="C45" s="19">
        <v>46064</v>
      </c>
      <c r="D45" s="37" t="s">
        <v>64</v>
      </c>
      <c r="E45" s="37" t="s">
        <v>65</v>
      </c>
      <c r="F45" t="s">
        <v>66</v>
      </c>
      <c r="G45" s="20">
        <v>3.0527199999999999</v>
      </c>
      <c r="H45" s="20">
        <v>4.9385450000000004</v>
      </c>
      <c r="I45" s="75">
        <v>5.9650535759999999</v>
      </c>
      <c r="J45" s="64">
        <v>241.62388972700001</v>
      </c>
      <c r="K45" s="76">
        <v>1.59292597</v>
      </c>
      <c r="L45" s="76">
        <v>-34.075825167129203</v>
      </c>
      <c r="M45" s="20">
        <v>1.34381304615023</v>
      </c>
      <c r="N45" s="20">
        <v>0.39204516700000003</v>
      </c>
      <c r="O45" s="20">
        <v>0.134698542</v>
      </c>
      <c r="P45" s="64">
        <v>34.357914173700301</v>
      </c>
      <c r="Q45" s="64">
        <v>0</v>
      </c>
      <c r="R45" s="75">
        <v>5.9134532709999998</v>
      </c>
      <c r="S45" s="64">
        <v>236.46555694400001</v>
      </c>
      <c r="T45" s="76">
        <v>1.5917624610000001</v>
      </c>
      <c r="U45" s="76">
        <v>-35.161525024070897</v>
      </c>
      <c r="V45" s="20">
        <v>1.3440627350768399</v>
      </c>
      <c r="W45" s="20">
        <v>0.46476308799999999</v>
      </c>
      <c r="X45" s="20">
        <v>0.16033714299999999</v>
      </c>
      <c r="Y45" s="64">
        <v>34.498682692288199</v>
      </c>
      <c r="Z45" s="64">
        <v>0</v>
      </c>
      <c r="AA45" s="77">
        <f t="shared" si="18"/>
        <v>5.1600305000000013E-2</v>
      </c>
      <c r="AB45" s="62">
        <f t="shared" si="19"/>
        <v>5.1583327829999917</v>
      </c>
      <c r="AC45" s="78">
        <f t="shared" si="20"/>
        <v>1.1635089999999515E-3</v>
      </c>
      <c r="AD45" s="78">
        <f t="shared" si="21"/>
        <v>1.0856998569416945</v>
      </c>
      <c r="AE45" s="15">
        <f t="shared" si="22"/>
        <v>-2.4968892660992559E-4</v>
      </c>
      <c r="AF45" s="15">
        <f t="shared" si="23"/>
        <v>-7.2717920999999963E-2</v>
      </c>
      <c r="AG45" s="15">
        <f t="shared" si="24"/>
        <v>-2.5638600999999983E-2</v>
      </c>
      <c r="AH45" s="78">
        <f t="shared" si="25"/>
        <v>-0.14076851858789752</v>
      </c>
      <c r="AI45" s="79">
        <f t="shared" si="26"/>
        <v>0</v>
      </c>
    </row>
    <row r="46" spans="2:35" x14ac:dyDescent="0.25">
      <c r="B46" t="s">
        <v>207</v>
      </c>
      <c r="C46" s="19">
        <v>46064</v>
      </c>
      <c r="D46" s="37" t="s">
        <v>64</v>
      </c>
      <c r="E46" s="37" t="s">
        <v>67</v>
      </c>
      <c r="F46" t="s">
        <v>68</v>
      </c>
      <c r="G46" s="20">
        <v>2.5527199999999999</v>
      </c>
      <c r="H46" s="20">
        <v>4.2927949999999999</v>
      </c>
      <c r="I46" s="75">
        <v>-2.7272648190000002</v>
      </c>
      <c r="J46" s="64">
        <v>-627.12548833400001</v>
      </c>
      <c r="K46" s="76">
        <v>1.4418754220000001</v>
      </c>
      <c r="L46" s="76">
        <v>-46.936240141912201</v>
      </c>
      <c r="M46" s="20">
        <v>1.3952573789337801</v>
      </c>
      <c r="N46" s="20">
        <v>0.21600888900000001</v>
      </c>
      <c r="O46" s="20">
        <v>6.1656493E-2</v>
      </c>
      <c r="P46" s="64">
        <v>28.543498040953299</v>
      </c>
      <c r="Q46" s="64">
        <v>0</v>
      </c>
      <c r="R46" s="75">
        <v>-2.760362464</v>
      </c>
      <c r="S46" s="64">
        <v>-630.43451368800004</v>
      </c>
      <c r="T46" s="76">
        <v>1.441233218</v>
      </c>
      <c r="U46" s="76">
        <v>-48.271233124339702</v>
      </c>
      <c r="V46" s="20">
        <v>1.3954569924722799</v>
      </c>
      <c r="W46" s="20">
        <v>0.24470278000000001</v>
      </c>
      <c r="X46" s="20">
        <v>6.9869101000000003E-2</v>
      </c>
      <c r="Y46" s="64">
        <v>28.552638838022201</v>
      </c>
      <c r="Z46" s="64">
        <v>0</v>
      </c>
      <c r="AA46" s="77">
        <f t="shared" si="18"/>
        <v>3.3097644999999787E-2</v>
      </c>
      <c r="AB46" s="62">
        <f t="shared" si="19"/>
        <v>3.3090253540000276</v>
      </c>
      <c r="AC46" s="78">
        <f t="shared" si="20"/>
        <v>6.4220400000003508E-4</v>
      </c>
      <c r="AD46" s="78">
        <f t="shared" si="21"/>
        <v>1.3349929824275009</v>
      </c>
      <c r="AE46" s="15">
        <f t="shared" si="22"/>
        <v>-1.996135384998432E-4</v>
      </c>
      <c r="AF46" s="15">
        <f t="shared" si="23"/>
        <v>-2.8693890999999999E-2</v>
      </c>
      <c r="AG46" s="15">
        <f t="shared" si="24"/>
        <v>-8.2126080000000032E-3</v>
      </c>
      <c r="AH46" s="78">
        <f t="shared" si="25"/>
        <v>-9.140797068901918E-3</v>
      </c>
      <c r="AI46" s="79">
        <f t="shared" si="26"/>
        <v>0</v>
      </c>
    </row>
    <row r="47" spans="2:35" x14ac:dyDescent="0.25">
      <c r="B47" t="s">
        <v>207</v>
      </c>
      <c r="C47" s="19">
        <v>46064</v>
      </c>
      <c r="D47" s="37" t="s">
        <v>64</v>
      </c>
      <c r="E47" s="37" t="s">
        <v>249</v>
      </c>
      <c r="F47" t="s">
        <v>250</v>
      </c>
      <c r="G47" s="20">
        <v>0.5</v>
      </c>
      <c r="H47" s="20">
        <v>1.11069</v>
      </c>
      <c r="I47" s="75">
        <v>5.5389020469999997</v>
      </c>
      <c r="J47" s="64">
        <v>182.12703248599999</v>
      </c>
      <c r="K47" s="76">
        <v>2.6371429719999999</v>
      </c>
      <c r="L47" s="76">
        <v>-93.685904797918397</v>
      </c>
      <c r="M47" s="20">
        <v>2.4452057729879701</v>
      </c>
      <c r="N47" s="20">
        <v>0.20986496399999999</v>
      </c>
      <c r="O47" s="20">
        <v>5.8386938999999999E-2</v>
      </c>
      <c r="P47" s="64">
        <v>27.821194108417298</v>
      </c>
      <c r="Q47" s="64">
        <v>0</v>
      </c>
      <c r="R47" s="75">
        <v>5.5235654890000001</v>
      </c>
      <c r="S47" s="64">
        <v>180.59474691200001</v>
      </c>
      <c r="T47" s="76">
        <v>2.6360932789999998</v>
      </c>
      <c r="U47" s="76">
        <v>-93.676180392368707</v>
      </c>
      <c r="V47" s="20">
        <v>2.4454009669664698</v>
      </c>
      <c r="W47" s="20">
        <v>0.23767852</v>
      </c>
      <c r="X47" s="20">
        <v>6.6746207000000002E-2</v>
      </c>
      <c r="Y47" s="64">
        <v>28.082557481424899</v>
      </c>
      <c r="Z47" s="64">
        <v>0</v>
      </c>
      <c r="AA47" s="77">
        <f t="shared" si="18"/>
        <v>1.5336557999999556E-2</v>
      </c>
      <c r="AB47" s="62">
        <f t="shared" si="19"/>
        <v>1.5322855739999852</v>
      </c>
      <c r="AC47" s="78">
        <f t="shared" si="20"/>
        <v>1.0496930000001292E-3</v>
      </c>
      <c r="AD47" s="78">
        <f t="shared" si="21"/>
        <v>-9.7244055496901183E-3</v>
      </c>
      <c r="AE47" s="15">
        <f t="shared" si="22"/>
        <v>-1.9519397849965259E-4</v>
      </c>
      <c r="AF47" s="15">
        <f t="shared" si="23"/>
        <v>-2.7813556000000017E-2</v>
      </c>
      <c r="AG47" s="15">
        <f t="shared" si="24"/>
        <v>-8.359268000000003E-3</v>
      </c>
      <c r="AH47" s="78">
        <f t="shared" si="25"/>
        <v>-0.26136337300760104</v>
      </c>
      <c r="AI47" s="79">
        <f t="shared" si="26"/>
        <v>0</v>
      </c>
    </row>
    <row r="48" spans="2:35" x14ac:dyDescent="0.25">
      <c r="B48" t="s">
        <v>207</v>
      </c>
      <c r="C48" s="19">
        <v>46064</v>
      </c>
      <c r="D48" s="37" t="s">
        <v>64</v>
      </c>
      <c r="E48" s="37" t="s">
        <v>251</v>
      </c>
      <c r="F48" t="s">
        <v>252</v>
      </c>
      <c r="G48" s="20">
        <v>2.5527199999999999</v>
      </c>
      <c r="H48" s="20">
        <v>4.9183349999999999</v>
      </c>
      <c r="I48" s="75">
        <v>19.982223406999999</v>
      </c>
      <c r="J48" s="64">
        <v>1633.230041412</v>
      </c>
      <c r="K48" s="76">
        <v>2.7447086729999999</v>
      </c>
      <c r="L48" s="76">
        <v>-47.903954976633301</v>
      </c>
      <c r="M48" s="20">
        <v>1.7176918408363899</v>
      </c>
      <c r="N48" s="20">
        <v>0.24461043199999999</v>
      </c>
      <c r="O48" s="20">
        <v>6.6793565999999999E-2</v>
      </c>
      <c r="P48" s="64">
        <v>27.3060987031003</v>
      </c>
      <c r="Q48" s="64">
        <v>0</v>
      </c>
      <c r="R48" s="75">
        <v>19.961235567999999</v>
      </c>
      <c r="S48" s="64">
        <v>1631.131240377</v>
      </c>
      <c r="T48" s="76">
        <v>2.7432276710000001</v>
      </c>
      <c r="U48" s="76">
        <v>-47.893032784468701</v>
      </c>
      <c r="V48" s="20">
        <v>1.7178421762649401</v>
      </c>
      <c r="W48" s="20">
        <v>0.283600719</v>
      </c>
      <c r="X48" s="20">
        <v>7.9235761000000002E-2</v>
      </c>
      <c r="Y48" s="64">
        <v>27.939196092094502</v>
      </c>
      <c r="Z48" s="64">
        <v>0</v>
      </c>
      <c r="AA48" s="77">
        <f t="shared" si="18"/>
        <v>2.0987839000000008E-2</v>
      </c>
      <c r="AB48" s="62">
        <f t="shared" si="19"/>
        <v>2.0988010349999513</v>
      </c>
      <c r="AC48" s="78">
        <f t="shared" si="20"/>
        <v>1.481001999999787E-3</v>
      </c>
      <c r="AD48" s="78">
        <f t="shared" si="21"/>
        <v>-1.0922192164599664E-2</v>
      </c>
      <c r="AE48" s="15">
        <f t="shared" si="22"/>
        <v>-1.5033542855014126E-4</v>
      </c>
      <c r="AF48" s="15">
        <f t="shared" si="23"/>
        <v>-3.8990287000000012E-2</v>
      </c>
      <c r="AG48" s="15">
        <f t="shared" si="24"/>
        <v>-1.2442195000000003E-2</v>
      </c>
      <c r="AH48" s="78">
        <f t="shared" si="25"/>
        <v>-0.63309738899420154</v>
      </c>
      <c r="AI48" s="79">
        <f t="shared" si="26"/>
        <v>0</v>
      </c>
    </row>
    <row r="49" spans="2:35" x14ac:dyDescent="0.25">
      <c r="B49" t="s">
        <v>207</v>
      </c>
      <c r="C49" s="19">
        <v>46064</v>
      </c>
      <c r="D49" s="37" t="s">
        <v>64</v>
      </c>
      <c r="E49" s="37" t="s">
        <v>69</v>
      </c>
      <c r="F49" t="s">
        <v>70</v>
      </c>
      <c r="G49" s="20">
        <v>0.18562200000000001</v>
      </c>
      <c r="H49" s="20">
        <v>0.23147000000000001</v>
      </c>
      <c r="I49" s="75">
        <v>-15.234517782999999</v>
      </c>
      <c r="J49" s="64">
        <v>-1876.1711272909999</v>
      </c>
      <c r="K49" s="76">
        <v>3.9275994129999998</v>
      </c>
      <c r="L49" s="76">
        <v>-80.008890136950797</v>
      </c>
      <c r="M49" s="20">
        <v>1.2435905300903001</v>
      </c>
      <c r="N49" s="20">
        <v>0.402532997</v>
      </c>
      <c r="O49" s="20">
        <v>0.13337803500000001</v>
      </c>
      <c r="P49" s="64">
        <v>33.134683614521201</v>
      </c>
      <c r="Q49" s="64">
        <v>0</v>
      </c>
      <c r="R49" s="75">
        <v>-15.319687338</v>
      </c>
      <c r="S49" s="64">
        <v>-1884.6789740209999</v>
      </c>
      <c r="T49" s="76">
        <v>3.9256389629999999</v>
      </c>
      <c r="U49" s="76">
        <v>-79.930667473106595</v>
      </c>
      <c r="V49" s="20">
        <v>1.2432479370976901</v>
      </c>
      <c r="W49" s="20">
        <v>0.46196942699999999</v>
      </c>
      <c r="X49" s="20">
        <v>0.15438052799999999</v>
      </c>
      <c r="Y49" s="64">
        <v>33.417910142352298</v>
      </c>
      <c r="Z49" s="64">
        <v>0</v>
      </c>
      <c r="AA49" s="77">
        <f t="shared" si="18"/>
        <v>8.516955500000023E-2</v>
      </c>
      <c r="AB49" s="62">
        <f t="shared" si="19"/>
        <v>8.5078467299999829</v>
      </c>
      <c r="AC49" s="78">
        <f t="shared" si="20"/>
        <v>1.9604499999998914E-3</v>
      </c>
      <c r="AD49" s="78">
        <f t="shared" si="21"/>
        <v>-7.8222663844201179E-2</v>
      </c>
      <c r="AE49" s="15">
        <f t="shared" si="22"/>
        <v>3.4259299260996912E-4</v>
      </c>
      <c r="AF49" s="15">
        <f t="shared" si="23"/>
        <v>-5.9436429999999985E-2</v>
      </c>
      <c r="AG49" s="15">
        <f t="shared" si="24"/>
        <v>-2.1002492999999983E-2</v>
      </c>
      <c r="AH49" s="78">
        <f t="shared" si="25"/>
        <v>-0.28322652783109703</v>
      </c>
      <c r="AI49" s="79">
        <f t="shared" si="26"/>
        <v>0</v>
      </c>
    </row>
    <row r="50" spans="2:35" x14ac:dyDescent="0.25">
      <c r="B50" t="s">
        <v>207</v>
      </c>
      <c r="C50" s="19">
        <v>46064</v>
      </c>
      <c r="D50" s="37" t="s">
        <v>64</v>
      </c>
      <c r="E50" s="37" t="s">
        <v>253</v>
      </c>
      <c r="F50" t="s">
        <v>254</v>
      </c>
      <c r="G50" s="20">
        <v>2.3027199999999999</v>
      </c>
      <c r="H50" s="20">
        <v>4.1796550000000003</v>
      </c>
      <c r="I50" s="75">
        <v>18.716872493</v>
      </c>
      <c r="J50" s="64">
        <v>1509.6676189049999</v>
      </c>
      <c r="K50" s="76">
        <v>2.3553802930000001</v>
      </c>
      <c r="L50" s="76">
        <v>-37.010467275409098</v>
      </c>
      <c r="M50" s="20">
        <v>1.60680321701194</v>
      </c>
      <c r="N50" s="20">
        <v>0.31022377699999998</v>
      </c>
      <c r="O50" s="20">
        <v>8.8479671999999995E-2</v>
      </c>
      <c r="P50" s="64">
        <v>28.5212412973748</v>
      </c>
      <c r="Q50" s="64">
        <v>0</v>
      </c>
      <c r="R50" s="75">
        <v>18.689589743999999</v>
      </c>
      <c r="S50" s="64">
        <v>1506.939890957</v>
      </c>
      <c r="T50" s="76">
        <v>2.3539564550000001</v>
      </c>
      <c r="U50" s="76">
        <v>-36.982263177223999</v>
      </c>
      <c r="V50" s="20">
        <v>1.6069868685334201</v>
      </c>
      <c r="W50" s="20">
        <v>0.36423546600000001</v>
      </c>
      <c r="X50" s="20">
        <v>0.105883029</v>
      </c>
      <c r="Y50" s="64">
        <v>29.069939334243699</v>
      </c>
      <c r="Z50" s="64">
        <v>0</v>
      </c>
      <c r="AA50" s="77">
        <f t="shared" si="18"/>
        <v>2.7282749000001161E-2</v>
      </c>
      <c r="AB50" s="62">
        <f t="shared" si="19"/>
        <v>2.7277279479999379</v>
      </c>
      <c r="AC50" s="78">
        <f t="shared" si="20"/>
        <v>1.4238380000000106E-3</v>
      </c>
      <c r="AD50" s="78">
        <f t="shared" si="21"/>
        <v>-2.8204098185099724E-2</v>
      </c>
      <c r="AE50" s="15">
        <f t="shared" si="22"/>
        <v>-1.8365152148014374E-4</v>
      </c>
      <c r="AF50" s="15">
        <f t="shared" si="23"/>
        <v>-5.4011689000000029E-2</v>
      </c>
      <c r="AG50" s="15">
        <f t="shared" si="24"/>
        <v>-1.7403357000000008E-2</v>
      </c>
      <c r="AH50" s="78">
        <f t="shared" si="25"/>
        <v>-0.54869803686889895</v>
      </c>
      <c r="AI50" s="79">
        <f t="shared" si="26"/>
        <v>0</v>
      </c>
    </row>
    <row r="51" spans="2:35" x14ac:dyDescent="0.25">
      <c r="B51" t="s">
        <v>207</v>
      </c>
      <c r="C51" s="83">
        <v>46064</v>
      </c>
      <c r="D51" t="s">
        <v>64</v>
      </c>
      <c r="E51" t="s">
        <v>71</v>
      </c>
      <c r="F51" t="s">
        <v>72</v>
      </c>
      <c r="G51">
        <v>0.364537</v>
      </c>
      <c r="H51">
        <v>0.66863499999999998</v>
      </c>
      <c r="I51">
        <v>-1.6103604</v>
      </c>
      <c r="J51">
        <v>-524.20816078899998</v>
      </c>
      <c r="K51">
        <v>2.504946957</v>
      </c>
      <c r="L51">
        <v>-77.759436463840501</v>
      </c>
      <c r="M51">
        <v>1.9631363898091001</v>
      </c>
      <c r="N51">
        <v>0.290967743</v>
      </c>
      <c r="O51">
        <v>8.2498743999999999E-2</v>
      </c>
      <c r="P51">
        <v>28.353226769882902</v>
      </c>
      <c r="Q51">
        <v>0</v>
      </c>
      <c r="R51">
        <v>-1.6429232410000001</v>
      </c>
      <c r="S51">
        <v>-527.45621460200005</v>
      </c>
      <c r="T51">
        <v>2.503606698</v>
      </c>
      <c r="U51">
        <v>-77.736622222886893</v>
      </c>
      <c r="V51">
        <v>1.96309167183891</v>
      </c>
      <c r="W51">
        <v>0.34018810700000002</v>
      </c>
      <c r="X51">
        <v>9.8331482999999997E-2</v>
      </c>
      <c r="Y51">
        <v>28.905032532486501</v>
      </c>
      <c r="Z51">
        <v>0</v>
      </c>
      <c r="AA51" s="77">
        <f t="shared" ref="AA51:AA114" si="27">I51-R51</f>
        <v>3.2562841000000065E-2</v>
      </c>
      <c r="AB51" s="62">
        <f t="shared" ref="AB51:AB114" si="28">J51-S51</f>
        <v>3.2480538130000696</v>
      </c>
      <c r="AC51" s="78">
        <f t="shared" ref="AC51:AC114" si="29">K51-T51</f>
        <v>1.3402590000000103E-3</v>
      </c>
      <c r="AD51" s="78">
        <f t="shared" ref="AD51:AD114" si="30">L51-U51</f>
        <v>-2.2814240953607623E-2</v>
      </c>
      <c r="AE51" s="15">
        <f t="shared" ref="AE51:AE114" si="31">M51-V51</f>
        <v>4.4717970190122358E-5</v>
      </c>
      <c r="AF51" s="15">
        <f t="shared" ref="AF51:AF114" si="32">N51-W51</f>
        <v>-4.9220364000000016E-2</v>
      </c>
      <c r="AG51" s="15">
        <f t="shared" ref="AG51:AG114" si="33">O51-X51</f>
        <v>-1.5832738999999998E-2</v>
      </c>
      <c r="AH51" s="78">
        <f t="shared" ref="AH51:AH114" si="34">P51-Y51</f>
        <v>-0.5518057626035997</v>
      </c>
      <c r="AI51" s="79">
        <f t="shared" ref="AI51:AI114" si="35">Q51-Z51</f>
        <v>0</v>
      </c>
    </row>
    <row r="52" spans="2:35" x14ac:dyDescent="0.25">
      <c r="B52" t="s">
        <v>207</v>
      </c>
      <c r="C52" s="83">
        <v>46064</v>
      </c>
      <c r="D52" t="s">
        <v>64</v>
      </c>
      <c r="E52" t="s">
        <v>73</v>
      </c>
      <c r="F52" t="s">
        <v>74</v>
      </c>
      <c r="G52">
        <v>0.49917099999999998</v>
      </c>
      <c r="H52">
        <v>1.0838350000000001</v>
      </c>
      <c r="I52">
        <v>-5.509006394</v>
      </c>
      <c r="J52">
        <v>-913.81265445400004</v>
      </c>
      <c r="K52">
        <v>3.1149416159999999</v>
      </c>
      <c r="L52">
        <v>-33.231460139227899</v>
      </c>
      <c r="M52">
        <v>2.1300383360935999</v>
      </c>
      <c r="N52">
        <v>0.72893720799999995</v>
      </c>
      <c r="O52">
        <v>0.24679854300000001</v>
      </c>
      <c r="P52">
        <v>33.857311753524897</v>
      </c>
      <c r="Q52">
        <v>0</v>
      </c>
      <c r="R52">
        <v>-5.6063045130000004</v>
      </c>
      <c r="S52">
        <v>-923.50968647599996</v>
      </c>
      <c r="T52">
        <v>3.1125013400000001</v>
      </c>
      <c r="U52">
        <v>-33.1839997785641</v>
      </c>
      <c r="V52">
        <v>2.1290176087688599</v>
      </c>
      <c r="W52">
        <v>0.84123169499999995</v>
      </c>
      <c r="X52">
        <v>0.28613472600000001</v>
      </c>
      <c r="Y52">
        <v>34.013783325175403</v>
      </c>
      <c r="Z52">
        <v>0</v>
      </c>
      <c r="AA52" s="77">
        <f t="shared" si="27"/>
        <v>9.7298119000000405E-2</v>
      </c>
      <c r="AB52" s="62">
        <f t="shared" si="28"/>
        <v>9.6970320219999167</v>
      </c>
      <c r="AC52" s="78">
        <f t="shared" si="29"/>
        <v>2.4402759999997414E-3</v>
      </c>
      <c r="AD52" s="78">
        <f t="shared" si="30"/>
        <v>-4.746036066379844E-2</v>
      </c>
      <c r="AE52" s="15">
        <f t="shared" si="31"/>
        <v>1.0207273247400117E-3</v>
      </c>
      <c r="AF52" s="15">
        <f t="shared" si="32"/>
        <v>-0.112294487</v>
      </c>
      <c r="AG52" s="15">
        <f t="shared" si="33"/>
        <v>-3.9336182999999997E-2</v>
      </c>
      <c r="AH52" s="78">
        <f t="shared" si="34"/>
        <v>-0.15647157165050629</v>
      </c>
      <c r="AI52" s="79">
        <f t="shared" si="35"/>
        <v>0</v>
      </c>
    </row>
    <row r="53" spans="2:35" x14ac:dyDescent="0.25">
      <c r="B53" t="s">
        <v>207</v>
      </c>
      <c r="C53" s="83">
        <v>46064</v>
      </c>
      <c r="D53" t="s">
        <v>64</v>
      </c>
      <c r="E53" t="s">
        <v>255</v>
      </c>
      <c r="F53" t="s">
        <v>256</v>
      </c>
      <c r="G53">
        <v>1.0221199999999999</v>
      </c>
      <c r="H53">
        <v>1.8454550000000001</v>
      </c>
      <c r="I53">
        <v>4.2602317039999997</v>
      </c>
      <c r="J53">
        <v>67.224567621000006</v>
      </c>
      <c r="K53">
        <v>4.2406158400000002</v>
      </c>
      <c r="L53">
        <v>-25.910474327469402</v>
      </c>
      <c r="M53">
        <v>1.68225147727796</v>
      </c>
      <c r="N53">
        <v>0.69623270699999995</v>
      </c>
      <c r="O53">
        <v>0.25810880600000002</v>
      </c>
      <c r="P53">
        <v>37.072203503935697</v>
      </c>
      <c r="Q53">
        <v>0</v>
      </c>
      <c r="R53">
        <v>4.1505565400000002</v>
      </c>
      <c r="S53">
        <v>56.305893435999998</v>
      </c>
      <c r="T53">
        <v>4.2379617080000003</v>
      </c>
      <c r="U53">
        <v>-25.920885418501101</v>
      </c>
      <c r="V53">
        <v>1.6805443643979401</v>
      </c>
      <c r="W53">
        <v>0.80357152799999998</v>
      </c>
      <c r="X53">
        <v>0.30055187900000002</v>
      </c>
      <c r="Y53">
        <v>37.402006981013898</v>
      </c>
      <c r="Z53">
        <v>0</v>
      </c>
      <c r="AA53" s="77">
        <f t="shared" si="27"/>
        <v>0.10967516399999955</v>
      </c>
      <c r="AB53" s="62">
        <f t="shared" si="28"/>
        <v>10.918674185000008</v>
      </c>
      <c r="AC53" s="78">
        <f t="shared" si="29"/>
        <v>2.6541319999999757E-3</v>
      </c>
      <c r="AD53" s="78">
        <f t="shared" si="30"/>
        <v>1.0411091031699016E-2</v>
      </c>
      <c r="AE53" s="15">
        <f t="shared" si="31"/>
        <v>1.7071128800199009E-3</v>
      </c>
      <c r="AF53" s="15">
        <f t="shared" si="32"/>
        <v>-0.10733882100000003</v>
      </c>
      <c r="AG53" s="15">
        <f t="shared" si="33"/>
        <v>-4.2443072999999998E-2</v>
      </c>
      <c r="AH53" s="78">
        <f t="shared" si="34"/>
        <v>-0.32980347707820101</v>
      </c>
      <c r="AI53" s="79">
        <f t="shared" si="35"/>
        <v>0</v>
      </c>
    </row>
    <row r="54" spans="2:35" x14ac:dyDescent="0.25">
      <c r="B54" t="s">
        <v>207</v>
      </c>
      <c r="C54" s="83">
        <v>46064</v>
      </c>
      <c r="D54" t="s">
        <v>64</v>
      </c>
      <c r="E54" t="s">
        <v>75</v>
      </c>
      <c r="F54" t="s">
        <v>76</v>
      </c>
      <c r="G54">
        <v>0.5</v>
      </c>
      <c r="H54">
        <v>0.67</v>
      </c>
      <c r="I54">
        <v>16.480902897</v>
      </c>
      <c r="J54">
        <v>1292.6760399360001</v>
      </c>
      <c r="K54">
        <v>1.8602321610000001</v>
      </c>
      <c r="L54">
        <v>-34.370576119402998</v>
      </c>
      <c r="M54">
        <v>1.2516001492537201</v>
      </c>
      <c r="N54">
        <v>1.5452529209999999</v>
      </c>
      <c r="O54">
        <v>0.52377336100000005</v>
      </c>
      <c r="P54">
        <v>33.895639599311899</v>
      </c>
      <c r="Q54">
        <v>0</v>
      </c>
      <c r="R54">
        <v>16.343463723999999</v>
      </c>
      <c r="S54">
        <v>1278.962068089</v>
      </c>
      <c r="T54">
        <v>1.857190836</v>
      </c>
      <c r="U54">
        <v>-34.378837014925402</v>
      </c>
      <c r="V54">
        <v>1.25061402985075</v>
      </c>
      <c r="W54">
        <v>1.7591467190000001</v>
      </c>
      <c r="X54">
        <v>0.60486402100000003</v>
      </c>
      <c r="Y54">
        <v>34.383943901156798</v>
      </c>
      <c r="Z54">
        <v>0</v>
      </c>
      <c r="AA54" s="77">
        <f t="shared" si="27"/>
        <v>0.13743917300000064</v>
      </c>
      <c r="AB54" s="62">
        <f t="shared" si="28"/>
        <v>13.713971847000039</v>
      </c>
      <c r="AC54" s="78">
        <f t="shared" si="29"/>
        <v>3.0413250000000946E-3</v>
      </c>
      <c r="AD54" s="78">
        <f t="shared" si="30"/>
        <v>8.2608955224046099E-3</v>
      </c>
      <c r="AE54" s="15">
        <f t="shared" si="31"/>
        <v>9.8611940297010925E-4</v>
      </c>
      <c r="AF54" s="15">
        <f t="shared" si="32"/>
        <v>-0.21389379800000019</v>
      </c>
      <c r="AG54" s="15">
        <f t="shared" si="33"/>
        <v>-8.1090659999999981E-2</v>
      </c>
      <c r="AH54" s="78">
        <f t="shared" si="34"/>
        <v>-0.4883043018448987</v>
      </c>
      <c r="AI54" s="79">
        <f t="shared" si="35"/>
        <v>0</v>
      </c>
    </row>
    <row r="55" spans="2:35" x14ac:dyDescent="0.25">
      <c r="B55" t="s">
        <v>207</v>
      </c>
      <c r="C55" s="83">
        <v>46064</v>
      </c>
      <c r="D55" t="s">
        <v>64</v>
      </c>
      <c r="E55" t="s">
        <v>77</v>
      </c>
      <c r="F55" t="s">
        <v>78</v>
      </c>
      <c r="G55">
        <v>0.2</v>
      </c>
      <c r="H55">
        <v>0.76687000000000005</v>
      </c>
      <c r="I55">
        <v>8.8244952740000002</v>
      </c>
      <c r="J55">
        <v>495.063975427</v>
      </c>
      <c r="K55">
        <v>5.6358401300000001</v>
      </c>
      <c r="L55">
        <v>-11.4313043931827</v>
      </c>
      <c r="M55">
        <v>3.6163930001173599</v>
      </c>
      <c r="N55">
        <v>0.792334329</v>
      </c>
      <c r="O55">
        <v>-0.71643158200000001</v>
      </c>
      <c r="P55">
        <v>-90.420363699778605</v>
      </c>
      <c r="Q55">
        <v>0</v>
      </c>
      <c r="R55">
        <v>8.8010863570000009</v>
      </c>
      <c r="S55">
        <v>492.72306951000002</v>
      </c>
      <c r="T55">
        <v>5.6299580469999997</v>
      </c>
      <c r="U55">
        <v>-11.538650097148199</v>
      </c>
      <c r="V55">
        <v>3.61662524287037</v>
      </c>
      <c r="W55">
        <v>0.93145550499999996</v>
      </c>
      <c r="X55">
        <v>-0.68485685500000004</v>
      </c>
      <c r="Y55">
        <v>-73.525450364910398</v>
      </c>
      <c r="Z55">
        <v>0</v>
      </c>
      <c r="AA55" s="77">
        <f t="shared" si="27"/>
        <v>2.3408916999999363E-2</v>
      </c>
      <c r="AB55" s="62">
        <f t="shared" si="28"/>
        <v>2.3409059169999864</v>
      </c>
      <c r="AC55" s="78">
        <f t="shared" si="29"/>
        <v>5.882083000000371E-3</v>
      </c>
      <c r="AD55" s="78">
        <f t="shared" si="30"/>
        <v>0.10734570396549969</v>
      </c>
      <c r="AE55" s="15">
        <f t="shared" si="31"/>
        <v>-2.3224275301014785E-4</v>
      </c>
      <c r="AF55" s="15">
        <f t="shared" si="32"/>
        <v>-0.13912117599999996</v>
      </c>
      <c r="AG55" s="15">
        <f t="shared" si="33"/>
        <v>-3.1574726999999969E-2</v>
      </c>
      <c r="AH55" s="78">
        <f t="shared" si="34"/>
        <v>-16.894913334868207</v>
      </c>
      <c r="AI55" s="79">
        <f t="shared" si="35"/>
        <v>0</v>
      </c>
    </row>
    <row r="56" spans="2:35" x14ac:dyDescent="0.25">
      <c r="B56" t="s">
        <v>207</v>
      </c>
      <c r="C56" s="83">
        <v>46064</v>
      </c>
      <c r="D56" t="s">
        <v>64</v>
      </c>
      <c r="E56" t="s">
        <v>79</v>
      </c>
      <c r="F56" t="s">
        <v>80</v>
      </c>
      <c r="G56">
        <v>0.46700399999999997</v>
      </c>
      <c r="H56">
        <v>0.64187000000000005</v>
      </c>
      <c r="I56">
        <v>14.532668615</v>
      </c>
      <c r="J56">
        <v>1093.5895947179999</v>
      </c>
      <c r="K56">
        <v>2.6192334650000002</v>
      </c>
      <c r="L56">
        <v>-56.419947341361997</v>
      </c>
      <c r="M56">
        <v>1.4662406717871199</v>
      </c>
      <c r="N56">
        <v>0.38456993299999997</v>
      </c>
      <c r="O56">
        <v>0.113692822</v>
      </c>
      <c r="P56">
        <v>29.563627378014498</v>
      </c>
      <c r="Q56">
        <v>0</v>
      </c>
      <c r="R56">
        <v>14.460859716</v>
      </c>
      <c r="S56">
        <v>1086.4691115820001</v>
      </c>
      <c r="T56">
        <v>2.6094565869999999</v>
      </c>
      <c r="U56">
        <v>-52.943477028058702</v>
      </c>
      <c r="V56">
        <v>1.46507517098477</v>
      </c>
      <c r="W56">
        <v>0.45029977799999998</v>
      </c>
      <c r="X56">
        <v>0.135167536</v>
      </c>
      <c r="Y56">
        <v>30.017233541696299</v>
      </c>
      <c r="Z56">
        <v>0</v>
      </c>
      <c r="AA56" s="77">
        <f t="shared" si="27"/>
        <v>7.1808899000000537E-2</v>
      </c>
      <c r="AB56" s="62">
        <f t="shared" si="28"/>
        <v>7.1204831359998479</v>
      </c>
      <c r="AC56" s="78">
        <f t="shared" si="29"/>
        <v>9.7768780000002664E-3</v>
      </c>
      <c r="AD56" s="78">
        <f t="shared" si="30"/>
        <v>-3.4764703133032953</v>
      </c>
      <c r="AE56" s="15">
        <f t="shared" si="31"/>
        <v>1.1655008023498947E-3</v>
      </c>
      <c r="AF56" s="15">
        <f t="shared" si="32"/>
        <v>-6.5729845000000009E-2</v>
      </c>
      <c r="AG56" s="15">
        <f t="shared" si="33"/>
        <v>-2.1474714000000006E-2</v>
      </c>
      <c r="AH56" s="78">
        <f t="shared" si="34"/>
        <v>-0.45360616368180118</v>
      </c>
      <c r="AI56" s="79">
        <f t="shared" si="35"/>
        <v>0</v>
      </c>
    </row>
    <row r="57" spans="2:35" x14ac:dyDescent="0.25">
      <c r="B57" t="s">
        <v>207</v>
      </c>
      <c r="C57" s="83">
        <v>46064</v>
      </c>
      <c r="D57" t="s">
        <v>64</v>
      </c>
      <c r="E57" t="s">
        <v>81</v>
      </c>
      <c r="F57" t="s">
        <v>82</v>
      </c>
      <c r="G57">
        <v>0.58272000000000002</v>
      </c>
      <c r="H57">
        <v>0.75007999999999997</v>
      </c>
      <c r="I57">
        <v>10.443815625999999</v>
      </c>
      <c r="J57">
        <v>688.58173408499999</v>
      </c>
      <c r="K57">
        <v>1.8309909069999999</v>
      </c>
      <c r="L57">
        <v>-37.276735014931702</v>
      </c>
      <c r="M57">
        <v>1.31649357401877</v>
      </c>
      <c r="N57">
        <v>0.53384297199999997</v>
      </c>
      <c r="O57">
        <v>0.16719012599999999</v>
      </c>
      <c r="P57">
        <v>31.318221793505199</v>
      </c>
      <c r="Q57">
        <v>0</v>
      </c>
      <c r="R57">
        <v>10.390713763000001</v>
      </c>
      <c r="S57">
        <v>683.27391847700005</v>
      </c>
      <c r="T57">
        <v>1.83040661</v>
      </c>
      <c r="U57">
        <v>-34.813444965870303</v>
      </c>
      <c r="V57">
        <v>1.31650077325086</v>
      </c>
      <c r="W57">
        <v>0.61992540500000004</v>
      </c>
      <c r="X57">
        <v>0.19513808199999999</v>
      </c>
      <c r="Y57">
        <v>31.477671414353502</v>
      </c>
      <c r="Z57">
        <v>0</v>
      </c>
      <c r="AA57" s="77">
        <f t="shared" si="27"/>
        <v>5.3101862999998417E-2</v>
      </c>
      <c r="AB57" s="62">
        <f t="shared" si="28"/>
        <v>5.3078156079999417</v>
      </c>
      <c r="AC57" s="78">
        <f t="shared" si="29"/>
        <v>5.8429699999984486E-4</v>
      </c>
      <c r="AD57" s="78">
        <f t="shared" si="30"/>
        <v>-2.4632900490613991</v>
      </c>
      <c r="AE57" s="15">
        <f t="shared" si="31"/>
        <v>-7.1992320900271523E-6</v>
      </c>
      <c r="AF57" s="15">
        <f t="shared" si="32"/>
        <v>-8.6082433000000069E-2</v>
      </c>
      <c r="AG57" s="15">
        <f t="shared" si="33"/>
        <v>-2.7947955999999996E-2</v>
      </c>
      <c r="AH57" s="78">
        <f t="shared" si="34"/>
        <v>-0.15944962084830294</v>
      </c>
      <c r="AI57" s="79">
        <f t="shared" si="35"/>
        <v>0</v>
      </c>
    </row>
    <row r="58" spans="2:35" x14ac:dyDescent="0.25">
      <c r="B58" t="s">
        <v>207</v>
      </c>
      <c r="C58" s="83">
        <v>46064</v>
      </c>
      <c r="D58" t="s">
        <v>64</v>
      </c>
      <c r="E58" t="s">
        <v>83</v>
      </c>
      <c r="F58" t="s">
        <v>84</v>
      </c>
      <c r="G58">
        <v>0.5</v>
      </c>
      <c r="H58">
        <v>0.76250499999999999</v>
      </c>
      <c r="I58">
        <v>6.3229057839999996</v>
      </c>
      <c r="J58">
        <v>276.24352726400002</v>
      </c>
      <c r="K58">
        <v>1.8309909069999999</v>
      </c>
      <c r="L58">
        <v>-50.988047029199798</v>
      </c>
      <c r="M58">
        <v>1.42349387872865</v>
      </c>
      <c r="N58">
        <v>0.53384297199999997</v>
      </c>
      <c r="O58">
        <v>0.16719012599999999</v>
      </c>
      <c r="P58">
        <v>31.318221793505199</v>
      </c>
      <c r="Q58">
        <v>0</v>
      </c>
      <c r="R58">
        <v>6.2707268540000003</v>
      </c>
      <c r="S58">
        <v>271.02806679899999</v>
      </c>
      <c r="T58">
        <v>1.83040661</v>
      </c>
      <c r="U58">
        <v>-51.478216142845</v>
      </c>
      <c r="V58">
        <v>1.42348653451454</v>
      </c>
      <c r="W58">
        <v>0.61992540500000004</v>
      </c>
      <c r="X58">
        <v>0.19513808199999999</v>
      </c>
      <c r="Y58">
        <v>31.477671414353502</v>
      </c>
      <c r="Z58">
        <v>0</v>
      </c>
      <c r="AA58" s="77">
        <f t="shared" si="27"/>
        <v>5.2178929999999291E-2</v>
      </c>
      <c r="AB58" s="62">
        <f t="shared" si="28"/>
        <v>5.2154604650000351</v>
      </c>
      <c r="AC58" s="78">
        <f t="shared" si="29"/>
        <v>5.8429699999984486E-4</v>
      </c>
      <c r="AD58" s="78">
        <f t="shared" si="30"/>
        <v>0.49016911364520155</v>
      </c>
      <c r="AE58" s="15">
        <f t="shared" si="31"/>
        <v>7.3442141099722136E-6</v>
      </c>
      <c r="AF58" s="15">
        <f t="shared" si="32"/>
        <v>-8.6082433000000069E-2</v>
      </c>
      <c r="AG58" s="15">
        <f t="shared" si="33"/>
        <v>-2.7947955999999996E-2</v>
      </c>
      <c r="AH58" s="78">
        <f t="shared" si="34"/>
        <v>-0.15944962084830294</v>
      </c>
      <c r="AI58" s="79">
        <f t="shared" si="35"/>
        <v>0</v>
      </c>
    </row>
    <row r="59" spans="2:35" x14ac:dyDescent="0.25">
      <c r="B59" t="s">
        <v>207</v>
      </c>
      <c r="C59" s="83">
        <v>46064</v>
      </c>
      <c r="D59" t="s">
        <v>64</v>
      </c>
      <c r="E59" t="s">
        <v>85</v>
      </c>
      <c r="F59" t="s">
        <v>86</v>
      </c>
      <c r="G59">
        <v>1.038638</v>
      </c>
      <c r="H59">
        <v>2.0506150000000001</v>
      </c>
      <c r="I59">
        <v>-2.0822406230000001</v>
      </c>
      <c r="J59">
        <v>-572.99220236099995</v>
      </c>
      <c r="K59">
        <v>2.4136846689999998</v>
      </c>
      <c r="L59">
        <v>-63.597415604586899</v>
      </c>
      <c r="M59">
        <v>2.0982018077503599</v>
      </c>
      <c r="N59">
        <v>0.68483338400000004</v>
      </c>
      <c r="O59">
        <v>0.33454160799999999</v>
      </c>
      <c r="P59">
        <v>48.850072998193703</v>
      </c>
      <c r="Q59">
        <v>0</v>
      </c>
      <c r="R59">
        <v>-2.2347638089999999</v>
      </c>
      <c r="S59">
        <v>-588.05834026000002</v>
      </c>
      <c r="T59">
        <v>2.4051447210000001</v>
      </c>
      <c r="U59">
        <v>-67.149445605342805</v>
      </c>
      <c r="V59">
        <v>2.0925563306617798</v>
      </c>
      <c r="W59">
        <v>0.79497538999999995</v>
      </c>
      <c r="X59">
        <v>0.380727015</v>
      </c>
      <c r="Y59">
        <v>47.8916730994654</v>
      </c>
      <c r="Z59">
        <v>0</v>
      </c>
      <c r="AA59" s="77">
        <f t="shared" si="27"/>
        <v>0.15252318599999981</v>
      </c>
      <c r="AB59" s="62">
        <f t="shared" si="28"/>
        <v>15.066137899000069</v>
      </c>
      <c r="AC59" s="78">
        <f t="shared" si="29"/>
        <v>8.5399479999996863E-3</v>
      </c>
      <c r="AD59" s="78">
        <f t="shared" si="30"/>
        <v>3.5520300007559058</v>
      </c>
      <c r="AE59" s="15">
        <f t="shared" si="31"/>
        <v>5.6454770885800976E-3</v>
      </c>
      <c r="AF59" s="15">
        <f t="shared" si="32"/>
        <v>-0.1101420059999999</v>
      </c>
      <c r="AG59" s="15">
        <f t="shared" si="33"/>
        <v>-4.6185407000000012E-2</v>
      </c>
      <c r="AH59" s="78">
        <f t="shared" si="34"/>
        <v>0.95839989872830245</v>
      </c>
      <c r="AI59" s="79">
        <f t="shared" si="35"/>
        <v>0</v>
      </c>
    </row>
    <row r="60" spans="2:35" x14ac:dyDescent="0.25">
      <c r="B60" t="s">
        <v>207</v>
      </c>
      <c r="C60" s="83">
        <v>46064</v>
      </c>
      <c r="D60" t="s">
        <v>64</v>
      </c>
      <c r="E60" t="s">
        <v>87</v>
      </c>
      <c r="F60" t="s">
        <v>88</v>
      </c>
      <c r="G60">
        <v>6.8758100000000004</v>
      </c>
      <c r="H60">
        <v>101.057985</v>
      </c>
      <c r="I60">
        <v>6.0597098459999996</v>
      </c>
      <c r="J60">
        <v>254.878225316</v>
      </c>
      <c r="K60">
        <v>1.955555556</v>
      </c>
      <c r="L60">
        <v>0.88407329811692403</v>
      </c>
      <c r="M60">
        <v>1.79126965375374</v>
      </c>
      <c r="N60">
        <v>0.49870111099999997</v>
      </c>
      <c r="O60">
        <v>0.16573591100000001</v>
      </c>
      <c r="P60">
        <v>33.233515495416697</v>
      </c>
      <c r="Q60">
        <v>0</v>
      </c>
      <c r="R60">
        <v>6.0596756640000002</v>
      </c>
      <c r="S60">
        <v>254.87480710400001</v>
      </c>
      <c r="T60">
        <v>1.955555556</v>
      </c>
      <c r="U60">
        <v>0.88415087239271095</v>
      </c>
      <c r="V60">
        <v>1.79127035731022</v>
      </c>
      <c r="W60">
        <v>0.59008501000000002</v>
      </c>
      <c r="X60">
        <v>0.197370509</v>
      </c>
      <c r="Y60">
        <v>33.447809324964901</v>
      </c>
      <c r="Z60">
        <v>0</v>
      </c>
      <c r="AA60" s="77">
        <f t="shared" si="27"/>
        <v>3.4181999999383095E-5</v>
      </c>
      <c r="AB60" s="62">
        <f t="shared" si="28"/>
        <v>3.4182119999854876E-3</v>
      </c>
      <c r="AC60" s="78">
        <f t="shared" si="29"/>
        <v>0</v>
      </c>
      <c r="AD60" s="78">
        <f t="shared" si="30"/>
        <v>-7.7574275786918001E-5</v>
      </c>
      <c r="AE60" s="15">
        <f t="shared" si="31"/>
        <v>-7.0355647996400705E-7</v>
      </c>
      <c r="AF60" s="15">
        <f t="shared" si="32"/>
        <v>-9.1383899000000046E-2</v>
      </c>
      <c r="AG60" s="15">
        <f t="shared" si="33"/>
        <v>-3.1634597999999986E-2</v>
      </c>
      <c r="AH60" s="78">
        <f t="shared" si="34"/>
        <v>-0.21429382954820397</v>
      </c>
      <c r="AI60" s="79">
        <f t="shared" si="35"/>
        <v>0</v>
      </c>
    </row>
    <row r="61" spans="2:35" x14ac:dyDescent="0.25">
      <c r="B61" t="s">
        <v>207</v>
      </c>
      <c r="C61" s="83">
        <v>46064</v>
      </c>
      <c r="D61" t="s">
        <v>64</v>
      </c>
      <c r="E61" t="s">
        <v>89</v>
      </c>
      <c r="F61" t="s">
        <v>90</v>
      </c>
      <c r="G61">
        <v>7.2179039999999999</v>
      </c>
      <c r="H61">
        <v>101.45632999999999</v>
      </c>
      <c r="I61">
        <v>5.6087224420000004</v>
      </c>
      <c r="J61">
        <v>213.485904017</v>
      </c>
      <c r="K61">
        <v>1.205555556</v>
      </c>
      <c r="L61">
        <v>-0.222830186150038</v>
      </c>
      <c r="M61">
        <v>1.1324193660464501</v>
      </c>
      <c r="N61">
        <v>0.44193169599999998</v>
      </c>
      <c r="O61">
        <v>0.14846652099999999</v>
      </c>
      <c r="P61">
        <v>33.594902185970398</v>
      </c>
      <c r="Q61">
        <v>0</v>
      </c>
      <c r="R61">
        <v>5.6086917100000004</v>
      </c>
      <c r="S61">
        <v>213.48283212600001</v>
      </c>
      <c r="T61">
        <v>1.205555556</v>
      </c>
      <c r="U61">
        <v>-0.22286379765561001</v>
      </c>
      <c r="V61">
        <v>1.13241972777844</v>
      </c>
      <c r="W61">
        <v>0.52865928600000001</v>
      </c>
      <c r="X61">
        <v>0.18021583699999999</v>
      </c>
      <c r="Y61">
        <v>34.089221881179597</v>
      </c>
      <c r="Z61">
        <v>0</v>
      </c>
      <c r="AA61" s="77">
        <f t="shared" si="27"/>
        <v>3.0731999999922266E-5</v>
      </c>
      <c r="AB61" s="62">
        <f t="shared" si="28"/>
        <v>3.0718909999905009E-3</v>
      </c>
      <c r="AC61" s="78">
        <f t="shared" si="29"/>
        <v>0</v>
      </c>
      <c r="AD61" s="78">
        <f t="shared" si="30"/>
        <v>3.3611505572017641E-5</v>
      </c>
      <c r="AE61" s="15">
        <f t="shared" si="31"/>
        <v>-3.6173198991740207E-7</v>
      </c>
      <c r="AF61" s="15">
        <f t="shared" si="32"/>
        <v>-8.6727590000000021E-2</v>
      </c>
      <c r="AG61" s="15">
        <f t="shared" si="33"/>
        <v>-3.1749316E-2</v>
      </c>
      <c r="AH61" s="78">
        <f t="shared" si="34"/>
        <v>-0.49431969520919949</v>
      </c>
      <c r="AI61" s="79">
        <f t="shared" si="35"/>
        <v>0</v>
      </c>
    </row>
    <row r="62" spans="2:35" x14ac:dyDescent="0.25">
      <c r="B62" t="s">
        <v>207</v>
      </c>
      <c r="C62" s="83">
        <v>46064</v>
      </c>
      <c r="D62" t="s">
        <v>64</v>
      </c>
      <c r="E62" t="s">
        <v>257</v>
      </c>
      <c r="F62" t="s">
        <v>258</v>
      </c>
      <c r="G62">
        <v>7.1742379999999999</v>
      </c>
      <c r="H62">
        <v>101.86067</v>
      </c>
      <c r="I62">
        <v>6.4804226710000004</v>
      </c>
      <c r="J62">
        <v>287.18393386600002</v>
      </c>
      <c r="K62">
        <v>3.5388888889999999</v>
      </c>
      <c r="L62">
        <v>3.26222580314856</v>
      </c>
      <c r="M62">
        <v>3.0581234091627301</v>
      </c>
      <c r="N62">
        <v>0.31018375199999998</v>
      </c>
      <c r="O62">
        <v>9.9547220000000006E-2</v>
      </c>
      <c r="P62">
        <v>32.092983387472898</v>
      </c>
      <c r="Q62">
        <v>0</v>
      </c>
      <c r="R62">
        <v>6.4801844759999998</v>
      </c>
      <c r="S62">
        <v>287.16008435700002</v>
      </c>
      <c r="T62">
        <v>3.5388888889999999</v>
      </c>
      <c r="U62">
        <v>3.26583607097814</v>
      </c>
      <c r="V62">
        <v>3.05813266690667</v>
      </c>
      <c r="W62">
        <v>0.37455407400000001</v>
      </c>
      <c r="X62">
        <v>0.12169911999999999</v>
      </c>
      <c r="Y62">
        <v>32.491735759360601</v>
      </c>
      <c r="Z62">
        <v>0</v>
      </c>
      <c r="AA62" s="77">
        <f t="shared" si="27"/>
        <v>2.3819500000055172E-4</v>
      </c>
      <c r="AB62" s="62">
        <f t="shared" si="28"/>
        <v>2.384950900000149E-2</v>
      </c>
      <c r="AC62" s="78">
        <f t="shared" si="29"/>
        <v>0</v>
      </c>
      <c r="AD62" s="78">
        <f t="shared" si="30"/>
        <v>-3.6102678295799606E-3</v>
      </c>
      <c r="AE62" s="15">
        <f t="shared" si="31"/>
        <v>-9.257743939894425E-6</v>
      </c>
      <c r="AF62" s="15">
        <f t="shared" si="32"/>
        <v>-6.4370322000000035E-2</v>
      </c>
      <c r="AG62" s="15">
        <f t="shared" si="33"/>
        <v>-2.2151899999999988E-2</v>
      </c>
      <c r="AH62" s="78">
        <f t="shared" si="34"/>
        <v>-0.39875237188770285</v>
      </c>
      <c r="AI62" s="79">
        <f t="shared" si="35"/>
        <v>0</v>
      </c>
    </row>
    <row r="63" spans="2:35" x14ac:dyDescent="0.25">
      <c r="B63" t="s">
        <v>207</v>
      </c>
      <c r="C63" s="83">
        <v>46064</v>
      </c>
      <c r="D63" t="s">
        <v>64</v>
      </c>
      <c r="E63" t="s">
        <v>259</v>
      </c>
      <c r="F63" t="s">
        <v>260</v>
      </c>
      <c r="G63">
        <v>7.1742379999999999</v>
      </c>
      <c r="H63">
        <v>98.999309999999994</v>
      </c>
      <c r="I63">
        <v>7.4151966930000004</v>
      </c>
      <c r="J63">
        <v>380.67250495299999</v>
      </c>
      <c r="K63">
        <v>3.5388888889999999</v>
      </c>
      <c r="L63">
        <v>3.2437273088065099</v>
      </c>
      <c r="M63">
        <v>3.0378131524350902</v>
      </c>
      <c r="N63">
        <v>0.31018375199999998</v>
      </c>
      <c r="O63">
        <v>9.9547220000000006E-2</v>
      </c>
      <c r="P63">
        <v>32.092983387472898</v>
      </c>
      <c r="Q63">
        <v>0</v>
      </c>
      <c r="R63">
        <v>7.4149556580000002</v>
      </c>
      <c r="S63">
        <v>380.64837115799997</v>
      </c>
      <c r="T63">
        <v>3.5388888889999999</v>
      </c>
      <c r="U63">
        <v>3.2473310884691999</v>
      </c>
      <c r="V63">
        <v>3.0378224333078601</v>
      </c>
      <c r="W63">
        <v>0.37455407400000001</v>
      </c>
      <c r="X63">
        <v>0.12169911999999999</v>
      </c>
      <c r="Y63">
        <v>32.491735759360601</v>
      </c>
      <c r="Z63">
        <v>0</v>
      </c>
      <c r="AA63" s="77">
        <f t="shared" si="27"/>
        <v>2.4103500000016709E-4</v>
      </c>
      <c r="AB63" s="62">
        <f t="shared" si="28"/>
        <v>2.413379500001156E-2</v>
      </c>
      <c r="AC63" s="78">
        <f t="shared" si="29"/>
        <v>0</v>
      </c>
      <c r="AD63" s="78">
        <f t="shared" si="30"/>
        <v>-3.6037796626899876E-3</v>
      </c>
      <c r="AE63" s="15">
        <f t="shared" si="31"/>
        <v>-9.280872769856785E-6</v>
      </c>
      <c r="AF63" s="15">
        <f t="shared" si="32"/>
        <v>-6.4370322000000035E-2</v>
      </c>
      <c r="AG63" s="15">
        <f t="shared" si="33"/>
        <v>-2.2151899999999988E-2</v>
      </c>
      <c r="AH63" s="78">
        <f t="shared" si="34"/>
        <v>-0.39875237188770285</v>
      </c>
      <c r="AI63" s="79">
        <f t="shared" si="35"/>
        <v>0</v>
      </c>
    </row>
    <row r="64" spans="2:35" x14ac:dyDescent="0.25">
      <c r="B64" t="s">
        <v>207</v>
      </c>
      <c r="C64" s="83">
        <v>46064</v>
      </c>
      <c r="D64" t="s">
        <v>64</v>
      </c>
      <c r="E64" t="s">
        <v>261</v>
      </c>
      <c r="F64" t="s">
        <v>262</v>
      </c>
      <c r="G64">
        <v>7.1742379999999999</v>
      </c>
      <c r="H64">
        <v>92.528935000000004</v>
      </c>
      <c r="I64">
        <v>9.6579503570000007</v>
      </c>
      <c r="J64">
        <v>604.97510468899998</v>
      </c>
      <c r="K64">
        <v>3.5388888889999999</v>
      </c>
      <c r="L64">
        <v>3.1997834309883699</v>
      </c>
      <c r="M64">
        <v>2.9894935178925399</v>
      </c>
      <c r="N64">
        <v>0.31018375199999998</v>
      </c>
      <c r="O64">
        <v>9.9547220000000006E-2</v>
      </c>
      <c r="P64">
        <v>32.092983387472898</v>
      </c>
      <c r="Q64">
        <v>0</v>
      </c>
      <c r="R64">
        <v>9.6577023989999997</v>
      </c>
      <c r="S64">
        <v>604.95027792400003</v>
      </c>
      <c r="T64">
        <v>3.5388888889999999</v>
      </c>
      <c r="U64">
        <v>3.2033711616803999</v>
      </c>
      <c r="V64">
        <v>2.98950285659292</v>
      </c>
      <c r="W64">
        <v>0.37455407400000001</v>
      </c>
      <c r="X64">
        <v>0.12169911999999999</v>
      </c>
      <c r="Y64">
        <v>32.491735759360601</v>
      </c>
      <c r="Z64">
        <v>0</v>
      </c>
      <c r="AA64" s="77">
        <f t="shared" si="27"/>
        <v>2.4795800000099177E-4</v>
      </c>
      <c r="AB64" s="62">
        <f t="shared" si="28"/>
        <v>2.4826764999943407E-2</v>
      </c>
      <c r="AC64" s="78">
        <f t="shared" si="29"/>
        <v>0</v>
      </c>
      <c r="AD64" s="78">
        <f t="shared" si="30"/>
        <v>-3.5877306920300001E-3</v>
      </c>
      <c r="AE64" s="15">
        <f t="shared" si="31"/>
        <v>-9.3387003801126411E-6</v>
      </c>
      <c r="AF64" s="15">
        <f t="shared" si="32"/>
        <v>-6.4370322000000035E-2</v>
      </c>
      <c r="AG64" s="15">
        <f t="shared" si="33"/>
        <v>-2.2151899999999988E-2</v>
      </c>
      <c r="AH64" s="78">
        <f t="shared" si="34"/>
        <v>-0.39875237188770285</v>
      </c>
      <c r="AI64" s="79">
        <f t="shared" si="35"/>
        <v>0</v>
      </c>
    </row>
    <row r="65" spans="2:35" x14ac:dyDescent="0.25">
      <c r="B65" t="s">
        <v>207</v>
      </c>
      <c r="C65" s="83">
        <v>46064</v>
      </c>
      <c r="D65" t="s">
        <v>64</v>
      </c>
      <c r="E65" t="s">
        <v>91</v>
      </c>
      <c r="F65" t="s">
        <v>92</v>
      </c>
      <c r="G65">
        <v>0.36008000000000001</v>
      </c>
      <c r="H65">
        <v>0.5464</v>
      </c>
      <c r="I65">
        <v>-24.327346466000002</v>
      </c>
      <c r="J65">
        <v>-2787.5721687710002</v>
      </c>
      <c r="K65">
        <v>3.0561195900000002</v>
      </c>
      <c r="L65">
        <v>-61.693594802342602</v>
      </c>
      <c r="M65">
        <v>1.65125951683748</v>
      </c>
      <c r="N65">
        <v>0.40440231399999998</v>
      </c>
      <c r="O65">
        <v>0.15872641300000001</v>
      </c>
      <c r="P65">
        <v>39.249630258050402</v>
      </c>
      <c r="Q65">
        <v>0</v>
      </c>
      <c r="R65">
        <v>-24.442986762</v>
      </c>
      <c r="S65">
        <v>-2799.1095282450001</v>
      </c>
      <c r="T65">
        <v>3.0547745040000001</v>
      </c>
      <c r="U65">
        <v>-61.589584553440702</v>
      </c>
      <c r="V65">
        <v>1.65031826500732</v>
      </c>
      <c r="W65">
        <v>0.46886512200000002</v>
      </c>
      <c r="X65">
        <v>0.18481570999999999</v>
      </c>
      <c r="Y65">
        <v>39.417670739006297</v>
      </c>
      <c r="Z65">
        <v>0</v>
      </c>
      <c r="AA65" s="77">
        <f t="shared" si="27"/>
        <v>0.1156402959999987</v>
      </c>
      <c r="AB65" s="62">
        <f t="shared" si="28"/>
        <v>11.537359473999913</v>
      </c>
      <c r="AC65" s="78">
        <f t="shared" si="29"/>
        <v>1.3450860000001619E-3</v>
      </c>
      <c r="AD65" s="78">
        <f t="shared" si="30"/>
        <v>-0.10401024890190058</v>
      </c>
      <c r="AE65" s="15">
        <f t="shared" si="31"/>
        <v>9.4125183015991709E-4</v>
      </c>
      <c r="AF65" s="15">
        <f t="shared" si="32"/>
        <v>-6.4462808000000038E-2</v>
      </c>
      <c r="AG65" s="15">
        <f t="shared" si="33"/>
        <v>-2.6089296999999984E-2</v>
      </c>
      <c r="AH65" s="78">
        <f t="shared" si="34"/>
        <v>-0.16804048095589508</v>
      </c>
      <c r="AI65" s="79">
        <f t="shared" si="35"/>
        <v>0</v>
      </c>
    </row>
    <row r="66" spans="2:35" x14ac:dyDescent="0.25">
      <c r="B66" t="s">
        <v>207</v>
      </c>
      <c r="C66" s="83">
        <v>46064</v>
      </c>
      <c r="D66" t="s">
        <v>64</v>
      </c>
      <c r="E66" t="s">
        <v>95</v>
      </c>
      <c r="F66" t="s">
        <v>96</v>
      </c>
      <c r="G66">
        <v>2</v>
      </c>
      <c r="H66">
        <v>2.0968650000000002</v>
      </c>
      <c r="I66">
        <v>-32.401104897000003</v>
      </c>
      <c r="J66">
        <v>-3592.077360066</v>
      </c>
      <c r="K66">
        <v>0.86658120999999999</v>
      </c>
      <c r="L66">
        <v>-85.046935019660296</v>
      </c>
      <c r="M66">
        <v>0.96491428871195895</v>
      </c>
      <c r="N66">
        <v>0.34567584299999998</v>
      </c>
      <c r="O66">
        <v>0.100765778</v>
      </c>
      <c r="P66">
        <v>29.1503673283875</v>
      </c>
      <c r="Q66">
        <v>0</v>
      </c>
      <c r="R66">
        <v>-32.483883906999999</v>
      </c>
      <c r="S66">
        <v>-3600.3554285559999</v>
      </c>
      <c r="T66">
        <v>0.86603893600000004</v>
      </c>
      <c r="U66">
        <v>-85.026343231443207</v>
      </c>
      <c r="V66">
        <v>0.96524296986215397</v>
      </c>
      <c r="W66">
        <v>0.40032662400000002</v>
      </c>
      <c r="X66">
        <v>0.116056431</v>
      </c>
      <c r="Y66">
        <v>28.990435320134999</v>
      </c>
      <c r="Z66">
        <v>0</v>
      </c>
      <c r="AA66" s="77">
        <f t="shared" si="27"/>
        <v>8.2779009999995878E-2</v>
      </c>
      <c r="AB66" s="62">
        <f t="shared" si="28"/>
        <v>8.278068489999896</v>
      </c>
      <c r="AC66" s="78">
        <f t="shared" si="29"/>
        <v>5.4227399999995374E-4</v>
      </c>
      <c r="AD66" s="78">
        <f t="shared" si="30"/>
        <v>-2.0591788217089402E-2</v>
      </c>
      <c r="AE66" s="15">
        <f t="shared" si="31"/>
        <v>-3.2868115019502042E-4</v>
      </c>
      <c r="AF66" s="15">
        <f t="shared" si="32"/>
        <v>-5.4650781000000037E-2</v>
      </c>
      <c r="AG66" s="15">
        <f t="shared" si="33"/>
        <v>-1.5290653000000001E-2</v>
      </c>
      <c r="AH66" s="78">
        <f t="shared" si="34"/>
        <v>0.15993200825250042</v>
      </c>
      <c r="AI66" s="79">
        <f t="shared" si="35"/>
        <v>0</v>
      </c>
    </row>
    <row r="67" spans="2:35" x14ac:dyDescent="0.25">
      <c r="B67" t="s">
        <v>207</v>
      </c>
      <c r="C67" s="83">
        <v>46064</v>
      </c>
      <c r="D67" t="s">
        <v>64</v>
      </c>
      <c r="E67" t="s">
        <v>263</v>
      </c>
      <c r="F67" t="s">
        <v>264</v>
      </c>
      <c r="G67">
        <v>0.21289</v>
      </c>
      <c r="H67">
        <v>0.424765</v>
      </c>
      <c r="I67">
        <v>-58.522199958999998</v>
      </c>
      <c r="J67">
        <v>-6204.3156168420001</v>
      </c>
      <c r="K67">
        <v>3.5620902230000002</v>
      </c>
      <c r="L67">
        <v>-87.053194589949797</v>
      </c>
      <c r="M67">
        <v>1.8419940437653699</v>
      </c>
      <c r="N67">
        <v>0.41508846399999999</v>
      </c>
      <c r="O67">
        <v>0.115416135</v>
      </c>
      <c r="P67">
        <v>27.805189739023898</v>
      </c>
      <c r="Q67">
        <v>0</v>
      </c>
      <c r="R67">
        <v>-58.631884972999998</v>
      </c>
      <c r="S67">
        <v>-6215.2722741799998</v>
      </c>
      <c r="T67">
        <v>3.559417523</v>
      </c>
      <c r="U67">
        <v>-86.922541169823305</v>
      </c>
      <c r="V67">
        <v>1.84140501218321</v>
      </c>
      <c r="W67">
        <v>0.47432656699999998</v>
      </c>
      <c r="X67">
        <v>0.132425986</v>
      </c>
      <c r="Y67">
        <v>27.918736839381001</v>
      </c>
      <c r="Z67">
        <v>0</v>
      </c>
      <c r="AA67" s="77">
        <f t="shared" si="27"/>
        <v>0.10968501400000008</v>
      </c>
      <c r="AB67" s="62">
        <f t="shared" si="28"/>
        <v>10.956657337999786</v>
      </c>
      <c r="AC67" s="78">
        <f t="shared" si="29"/>
        <v>2.6727000000001944E-3</v>
      </c>
      <c r="AD67" s="78">
        <f t="shared" si="30"/>
        <v>-0.13065342012649239</v>
      </c>
      <c r="AE67" s="15">
        <f t="shared" si="31"/>
        <v>5.89031582159949E-4</v>
      </c>
      <c r="AF67" s="15">
        <f t="shared" si="32"/>
        <v>-5.9238102999999986E-2</v>
      </c>
      <c r="AG67" s="15">
        <f t="shared" si="33"/>
        <v>-1.7009850999999993E-2</v>
      </c>
      <c r="AH67" s="78">
        <f t="shared" si="34"/>
        <v>-0.11354710035710269</v>
      </c>
      <c r="AI67" s="79">
        <f t="shared" si="35"/>
        <v>0</v>
      </c>
    </row>
    <row r="68" spans="2:35" x14ac:dyDescent="0.25">
      <c r="B68" t="s">
        <v>207</v>
      </c>
      <c r="C68" s="83">
        <v>46064</v>
      </c>
      <c r="D68" t="s">
        <v>64</v>
      </c>
      <c r="E68" t="s">
        <v>97</v>
      </c>
      <c r="F68" t="s">
        <v>98</v>
      </c>
      <c r="G68">
        <v>0.5</v>
      </c>
      <c r="H68">
        <v>1.1447449999999999</v>
      </c>
      <c r="I68">
        <v>15.430216803</v>
      </c>
      <c r="J68">
        <v>1173.2098567539999</v>
      </c>
      <c r="K68">
        <v>3.4973779839999999</v>
      </c>
      <c r="L68">
        <v>-31.973348824410699</v>
      </c>
      <c r="M68">
        <v>2.1920569209736702</v>
      </c>
      <c r="N68">
        <v>0.90517236499999998</v>
      </c>
      <c r="O68">
        <v>0.36906268599999997</v>
      </c>
      <c r="P68">
        <v>40.772641794030001</v>
      </c>
      <c r="Q68">
        <v>0</v>
      </c>
      <c r="R68">
        <v>15.405939233</v>
      </c>
      <c r="S68">
        <v>1170.786645297</v>
      </c>
      <c r="T68">
        <v>3.494707403</v>
      </c>
      <c r="U68">
        <v>-31.9753754766345</v>
      </c>
      <c r="V68">
        <v>2.1918992439364402</v>
      </c>
      <c r="W68">
        <v>1.0388519000000001</v>
      </c>
      <c r="X68">
        <v>0.41918523000000002</v>
      </c>
      <c r="Y68">
        <v>40.350817089519701</v>
      </c>
      <c r="Z68">
        <v>0</v>
      </c>
      <c r="AA68" s="77">
        <f t="shared" si="27"/>
        <v>2.4277570000000637E-2</v>
      </c>
      <c r="AB68" s="62">
        <f t="shared" si="28"/>
        <v>2.4232114569999794</v>
      </c>
      <c r="AC68" s="78">
        <f t="shared" si="29"/>
        <v>2.6705809999998387E-3</v>
      </c>
      <c r="AD68" s="78">
        <f t="shared" si="30"/>
        <v>2.0266522238010509E-3</v>
      </c>
      <c r="AE68" s="15">
        <f t="shared" si="31"/>
        <v>1.5767703723001958E-4</v>
      </c>
      <c r="AF68" s="15">
        <f t="shared" si="32"/>
        <v>-0.13367953500000007</v>
      </c>
      <c r="AG68" s="15">
        <f t="shared" si="33"/>
        <v>-5.0122544000000047E-2</v>
      </c>
      <c r="AH68" s="78">
        <f t="shared" si="34"/>
        <v>0.42182470451029985</v>
      </c>
      <c r="AI68" s="79">
        <f t="shared" si="35"/>
        <v>0</v>
      </c>
    </row>
    <row r="69" spans="2:35" x14ac:dyDescent="0.25">
      <c r="B69" t="s">
        <v>207</v>
      </c>
      <c r="C69" s="83">
        <v>46064</v>
      </c>
      <c r="D69" t="s">
        <v>64</v>
      </c>
      <c r="E69" t="s">
        <v>99</v>
      </c>
      <c r="F69" t="s">
        <v>100</v>
      </c>
      <c r="G69">
        <v>2.9533900000000002</v>
      </c>
      <c r="H69">
        <v>4.9457149999999999</v>
      </c>
      <c r="I69">
        <v>4.529257973</v>
      </c>
      <c r="J69">
        <v>95.706205010000005</v>
      </c>
      <c r="K69">
        <v>1.631485179</v>
      </c>
      <c r="L69">
        <v>-57.434655575584102</v>
      </c>
      <c r="M69">
        <v>1.49453367207776</v>
      </c>
      <c r="N69">
        <v>0.27239080700000001</v>
      </c>
      <c r="O69">
        <v>7.1263815999999994E-2</v>
      </c>
      <c r="P69">
        <v>26.162342549247601</v>
      </c>
      <c r="Q69">
        <v>0</v>
      </c>
      <c r="R69">
        <v>4.4935600280000001</v>
      </c>
      <c r="S69">
        <v>92.136139198999999</v>
      </c>
      <c r="T69">
        <v>1.6305788000000001</v>
      </c>
      <c r="U69">
        <v>-57.400508157061203</v>
      </c>
      <c r="V69">
        <v>1.4948206679924101</v>
      </c>
      <c r="W69">
        <v>0.31727650099999999</v>
      </c>
      <c r="X69">
        <v>8.4043329999999999E-2</v>
      </c>
      <c r="Y69">
        <v>26.4889866520559</v>
      </c>
      <c r="Z69">
        <v>0</v>
      </c>
      <c r="AA69" s="77">
        <f t="shared" si="27"/>
        <v>3.5697944999999898E-2</v>
      </c>
      <c r="AB69" s="62">
        <f t="shared" si="28"/>
        <v>3.5700658110000063</v>
      </c>
      <c r="AC69" s="78">
        <f t="shared" si="29"/>
        <v>9.0637899999990168E-4</v>
      </c>
      <c r="AD69" s="78">
        <f t="shared" si="30"/>
        <v>-3.4147418522898931E-2</v>
      </c>
      <c r="AE69" s="15">
        <f t="shared" si="31"/>
        <v>-2.8699591465009E-4</v>
      </c>
      <c r="AF69" s="15">
        <f t="shared" si="32"/>
        <v>-4.4885693999999976E-2</v>
      </c>
      <c r="AG69" s="15">
        <f t="shared" si="33"/>
        <v>-1.2779514000000006E-2</v>
      </c>
      <c r="AH69" s="78">
        <f t="shared" si="34"/>
        <v>-0.3266441028082987</v>
      </c>
      <c r="AI69" s="79">
        <f t="shared" si="35"/>
        <v>0</v>
      </c>
    </row>
    <row r="70" spans="2:35" x14ac:dyDescent="0.25">
      <c r="B70" t="s">
        <v>207</v>
      </c>
      <c r="C70" s="83">
        <v>46064</v>
      </c>
      <c r="D70" t="s">
        <v>64</v>
      </c>
      <c r="E70" t="s">
        <v>101</v>
      </c>
      <c r="F70" t="s">
        <v>102</v>
      </c>
      <c r="G70">
        <v>0.13741999999999999</v>
      </c>
      <c r="H70">
        <v>0.20155999999999999</v>
      </c>
      <c r="I70">
        <v>-15.033336972000001</v>
      </c>
      <c r="J70">
        <v>-1857.788318094</v>
      </c>
      <c r="K70">
        <v>1.732373186</v>
      </c>
      <c r="L70">
        <v>-64.835144870013906</v>
      </c>
      <c r="M70">
        <v>1.4404594165509099</v>
      </c>
      <c r="N70">
        <v>0.27239080700000001</v>
      </c>
      <c r="O70">
        <v>7.1263815999999994E-2</v>
      </c>
      <c r="P70">
        <v>26.162342549247601</v>
      </c>
      <c r="Q70">
        <v>0</v>
      </c>
      <c r="R70">
        <v>-15.115930185</v>
      </c>
      <c r="S70">
        <v>-1866.0396811400001</v>
      </c>
      <c r="T70">
        <v>1.731409389</v>
      </c>
      <c r="U70">
        <v>-64.7525332407224</v>
      </c>
      <c r="V70">
        <v>1.44041476483429</v>
      </c>
      <c r="W70">
        <v>0.31727650099999999</v>
      </c>
      <c r="X70">
        <v>8.4043329999999999E-2</v>
      </c>
      <c r="Y70">
        <v>26.4889866520559</v>
      </c>
      <c r="Z70">
        <v>0</v>
      </c>
      <c r="AA70" s="77">
        <f t="shared" si="27"/>
        <v>8.259321299999911E-2</v>
      </c>
      <c r="AB70" s="62">
        <f t="shared" si="28"/>
        <v>8.2513630460000513</v>
      </c>
      <c r="AC70" s="78">
        <f t="shared" si="29"/>
        <v>9.6379700000004398E-4</v>
      </c>
      <c r="AD70" s="78">
        <f t="shared" si="30"/>
        <v>-8.2611629291506006E-2</v>
      </c>
      <c r="AE70" s="15">
        <f t="shared" si="31"/>
        <v>4.4651716619936721E-5</v>
      </c>
      <c r="AF70" s="15">
        <f t="shared" si="32"/>
        <v>-4.4885693999999976E-2</v>
      </c>
      <c r="AG70" s="15">
        <f t="shared" si="33"/>
        <v>-1.2779514000000006E-2</v>
      </c>
      <c r="AH70" s="78">
        <f t="shared" si="34"/>
        <v>-0.3266441028082987</v>
      </c>
      <c r="AI70" s="79">
        <f t="shared" si="35"/>
        <v>0</v>
      </c>
    </row>
    <row r="71" spans="2:35" x14ac:dyDescent="0.25">
      <c r="B71" t="s">
        <v>207</v>
      </c>
      <c r="C71" s="83">
        <v>46064</v>
      </c>
      <c r="D71" t="s">
        <v>64</v>
      </c>
      <c r="E71" t="s">
        <v>265</v>
      </c>
      <c r="F71" t="s">
        <v>266</v>
      </c>
      <c r="G71">
        <v>2.5527199999999999</v>
      </c>
      <c r="H71">
        <v>5.0134850000000002</v>
      </c>
      <c r="I71">
        <v>14.848904327</v>
      </c>
      <c r="J71">
        <v>1120.5287215190001</v>
      </c>
      <c r="K71">
        <v>2.4584956820000001</v>
      </c>
      <c r="L71">
        <v>-49.7099715666847</v>
      </c>
      <c r="M71">
        <v>1.77859857963074</v>
      </c>
      <c r="N71">
        <v>0.24498196899999999</v>
      </c>
      <c r="O71">
        <v>6.6397278000000004E-2</v>
      </c>
      <c r="P71">
        <v>27.102924460534499</v>
      </c>
      <c r="Q71">
        <v>0</v>
      </c>
      <c r="R71">
        <v>14.826246349</v>
      </c>
      <c r="S71">
        <v>1118.264827666</v>
      </c>
      <c r="T71">
        <v>2.4571346329999999</v>
      </c>
      <c r="U71">
        <v>-49.702358858159499</v>
      </c>
      <c r="V71">
        <v>1.7787430300479701</v>
      </c>
      <c r="W71">
        <v>0.27817714500000001</v>
      </c>
      <c r="X71">
        <v>7.5455468999999997E-2</v>
      </c>
      <c r="Y71">
        <v>27.124970672914198</v>
      </c>
      <c r="Z71">
        <v>0</v>
      </c>
      <c r="AA71" s="77">
        <f t="shared" si="27"/>
        <v>2.2657977999999801E-2</v>
      </c>
      <c r="AB71" s="62">
        <f t="shared" si="28"/>
        <v>2.2638938530001269</v>
      </c>
      <c r="AC71" s="78">
        <f t="shared" si="29"/>
        <v>1.3610490000002251E-3</v>
      </c>
      <c r="AD71" s="78">
        <f t="shared" si="30"/>
        <v>-7.6127085252011284E-3</v>
      </c>
      <c r="AE71" s="15">
        <f t="shared" si="31"/>
        <v>-1.4445041723010199E-4</v>
      </c>
      <c r="AF71" s="15">
        <f t="shared" si="32"/>
        <v>-3.3195176000000021E-2</v>
      </c>
      <c r="AG71" s="15">
        <f t="shared" si="33"/>
        <v>-9.0581909999999932E-3</v>
      </c>
      <c r="AH71" s="78">
        <f t="shared" si="34"/>
        <v>-2.204621237969917E-2</v>
      </c>
      <c r="AI71" s="79">
        <f t="shared" si="35"/>
        <v>0</v>
      </c>
    </row>
    <row r="72" spans="2:35" x14ac:dyDescent="0.25">
      <c r="B72" t="s">
        <v>207</v>
      </c>
      <c r="C72" s="83">
        <v>46064</v>
      </c>
      <c r="D72" t="s">
        <v>26</v>
      </c>
      <c r="E72" t="s">
        <v>29</v>
      </c>
      <c r="F72" t="s">
        <v>30</v>
      </c>
      <c r="G72">
        <v>10.411759999999999</v>
      </c>
      <c r="H72">
        <v>104.9</v>
      </c>
      <c r="I72">
        <v>5.448751465</v>
      </c>
      <c r="J72">
        <v>198.09229731100001</v>
      </c>
      <c r="K72">
        <v>1.0388888890000001</v>
      </c>
      <c r="L72">
        <v>4.34677836034238E-2</v>
      </c>
      <c r="M72">
        <v>0.97725832411821101</v>
      </c>
      <c r="N72">
        <v>1.5209793570000001</v>
      </c>
      <c r="O72">
        <v>3.9414957E-2</v>
      </c>
      <c r="P72">
        <v>2.5914195888721698</v>
      </c>
      <c r="Q72">
        <v>0</v>
      </c>
      <c r="R72">
        <v>5.448751465</v>
      </c>
      <c r="S72">
        <v>198.09229731100001</v>
      </c>
      <c r="T72">
        <v>1.0388888890000001</v>
      </c>
      <c r="U72">
        <v>4.34677836034238E-2</v>
      </c>
      <c r="V72">
        <v>0.97725832411821101</v>
      </c>
      <c r="W72">
        <v>1.440387294</v>
      </c>
      <c r="X72">
        <v>3.6716946E-2</v>
      </c>
      <c r="Y72">
        <v>2.5491023249751099</v>
      </c>
      <c r="Z72">
        <v>0</v>
      </c>
      <c r="AA72" s="77">
        <f t="shared" si="27"/>
        <v>0</v>
      </c>
      <c r="AB72" s="62">
        <f t="shared" si="28"/>
        <v>0</v>
      </c>
      <c r="AC72" s="78">
        <f t="shared" si="29"/>
        <v>0</v>
      </c>
      <c r="AD72" s="78">
        <f t="shared" si="30"/>
        <v>0</v>
      </c>
      <c r="AE72" s="15">
        <f t="shared" si="31"/>
        <v>0</v>
      </c>
      <c r="AF72" s="15">
        <f t="shared" si="32"/>
        <v>8.0592063000000103E-2</v>
      </c>
      <c r="AG72" s="15">
        <f t="shared" si="33"/>
        <v>2.6980110000000002E-3</v>
      </c>
      <c r="AH72" s="78">
        <f t="shared" si="34"/>
        <v>4.231726389705992E-2</v>
      </c>
      <c r="AI72" s="79">
        <f t="shared" si="35"/>
        <v>0</v>
      </c>
    </row>
    <row r="73" spans="2:35" x14ac:dyDescent="0.25">
      <c r="B73" t="s">
        <v>207</v>
      </c>
      <c r="C73" s="83">
        <v>46064</v>
      </c>
      <c r="D73" t="s">
        <v>26</v>
      </c>
      <c r="E73" t="s">
        <v>140</v>
      </c>
      <c r="F73" t="s">
        <v>141</v>
      </c>
      <c r="G73">
        <v>14.81176</v>
      </c>
      <c r="H73">
        <v>123.34375</v>
      </c>
      <c r="I73">
        <v>5.3211295779999999</v>
      </c>
      <c r="J73">
        <v>177.156523139</v>
      </c>
      <c r="K73">
        <v>2.7055555560000002</v>
      </c>
      <c r="L73">
        <v>0.23765488563465501</v>
      </c>
      <c r="M73">
        <v>2.2737385445148202</v>
      </c>
      <c r="N73">
        <v>2.495957728</v>
      </c>
      <c r="O73">
        <v>0.21293618</v>
      </c>
      <c r="P73">
        <v>8.5312414393582205</v>
      </c>
      <c r="Q73">
        <v>0</v>
      </c>
      <c r="R73">
        <v>5.3211295779999999</v>
      </c>
      <c r="S73">
        <v>177.156523139</v>
      </c>
      <c r="T73">
        <v>2.7055555560000002</v>
      </c>
      <c r="U73">
        <v>0.23765488563465501</v>
      </c>
      <c r="V73">
        <v>2.2737385445148202</v>
      </c>
      <c r="W73">
        <v>2.3639098170000001</v>
      </c>
      <c r="X73">
        <v>0.19850356499999999</v>
      </c>
      <c r="Y73">
        <v>8.3972562562440594</v>
      </c>
      <c r="Z73">
        <v>0</v>
      </c>
      <c r="AA73" s="77">
        <f t="shared" si="27"/>
        <v>0</v>
      </c>
      <c r="AB73" s="62">
        <f t="shared" si="28"/>
        <v>0</v>
      </c>
      <c r="AC73" s="78">
        <f t="shared" si="29"/>
        <v>0</v>
      </c>
      <c r="AD73" s="78">
        <f t="shared" si="30"/>
        <v>0</v>
      </c>
      <c r="AE73" s="15">
        <f t="shared" si="31"/>
        <v>0</v>
      </c>
      <c r="AF73" s="15">
        <f t="shared" si="32"/>
        <v>0.13204791099999991</v>
      </c>
      <c r="AG73" s="15">
        <f t="shared" si="33"/>
        <v>1.443261500000001E-2</v>
      </c>
      <c r="AH73" s="78">
        <f t="shared" si="34"/>
        <v>0.13398518311416119</v>
      </c>
      <c r="AI73" s="79">
        <f t="shared" si="35"/>
        <v>0</v>
      </c>
    </row>
    <row r="74" spans="2:35" x14ac:dyDescent="0.25">
      <c r="B74" t="s">
        <v>207</v>
      </c>
      <c r="C74" s="83">
        <v>46064</v>
      </c>
      <c r="D74" t="s">
        <v>26</v>
      </c>
      <c r="E74" t="s">
        <v>144</v>
      </c>
      <c r="F74" t="s">
        <v>145</v>
      </c>
      <c r="G74">
        <v>12.161759999999999</v>
      </c>
      <c r="H74">
        <v>119.7</v>
      </c>
      <c r="I74">
        <v>5.3816885230000002</v>
      </c>
      <c r="J74">
        <v>179.34227448600001</v>
      </c>
      <c r="K74">
        <v>3.2888888889999999</v>
      </c>
      <c r="L74">
        <v>0.236860561403507</v>
      </c>
      <c r="M74">
        <v>2.75337077109441</v>
      </c>
      <c r="N74">
        <v>1.4407231819999999</v>
      </c>
      <c r="O74">
        <v>6.6811604999999996E-2</v>
      </c>
      <c r="P74">
        <v>4.6373658614455504</v>
      </c>
      <c r="Q74">
        <v>0</v>
      </c>
      <c r="R74">
        <v>5.3816885230000002</v>
      </c>
      <c r="S74">
        <v>179.34227448600001</v>
      </c>
      <c r="T74">
        <v>3.2888888889999999</v>
      </c>
      <c r="U74">
        <v>0.236860561403507</v>
      </c>
      <c r="V74">
        <v>2.75337077109441</v>
      </c>
      <c r="W74">
        <v>1.3626116210000001</v>
      </c>
      <c r="X74">
        <v>6.1684586999999999E-2</v>
      </c>
      <c r="Y74">
        <v>4.5269382742186401</v>
      </c>
      <c r="Z74">
        <v>0</v>
      </c>
      <c r="AA74" s="77">
        <f t="shared" si="27"/>
        <v>0</v>
      </c>
      <c r="AB74" s="62">
        <f t="shared" si="28"/>
        <v>0</v>
      </c>
      <c r="AC74" s="78">
        <f t="shared" si="29"/>
        <v>0</v>
      </c>
      <c r="AD74" s="78">
        <f t="shared" si="30"/>
        <v>0</v>
      </c>
      <c r="AE74" s="15">
        <f t="shared" si="31"/>
        <v>0</v>
      </c>
      <c r="AF74" s="15">
        <f t="shared" si="32"/>
        <v>7.8111560999999829E-2</v>
      </c>
      <c r="AG74" s="15">
        <f t="shared" si="33"/>
        <v>5.1270179999999971E-3</v>
      </c>
      <c r="AH74" s="78">
        <f t="shared" si="34"/>
        <v>0.11042758722691026</v>
      </c>
      <c r="AI74" s="79">
        <f t="shared" si="35"/>
        <v>0</v>
      </c>
    </row>
    <row r="75" spans="2:35" x14ac:dyDescent="0.25">
      <c r="B75" t="s">
        <v>207</v>
      </c>
      <c r="C75" s="83">
        <v>46064</v>
      </c>
      <c r="D75" t="s">
        <v>26</v>
      </c>
      <c r="E75" t="s">
        <v>146</v>
      </c>
      <c r="F75" t="s">
        <v>147</v>
      </c>
      <c r="G75">
        <v>8.7886699999999998</v>
      </c>
      <c r="H75">
        <v>110.3</v>
      </c>
      <c r="I75">
        <v>5.4109122210000002</v>
      </c>
      <c r="J75">
        <v>177.245432902</v>
      </c>
      <c r="K75">
        <v>3.875</v>
      </c>
      <c r="L75">
        <v>0.13212931640978301</v>
      </c>
      <c r="M75">
        <v>3.3105539392565602</v>
      </c>
      <c r="N75">
        <v>1.112719016</v>
      </c>
      <c r="O75">
        <v>4.6504445999999998E-2</v>
      </c>
      <c r="P75">
        <v>4.1793521393365003</v>
      </c>
      <c r="Q75">
        <v>0</v>
      </c>
      <c r="R75">
        <v>5.4109122210000002</v>
      </c>
      <c r="S75">
        <v>177.245432902</v>
      </c>
      <c r="T75">
        <v>3.875</v>
      </c>
      <c r="U75">
        <v>0.13212931640978301</v>
      </c>
      <c r="V75">
        <v>3.3105539392565602</v>
      </c>
      <c r="W75">
        <v>1.054430234</v>
      </c>
      <c r="X75">
        <v>4.2081741999999998E-2</v>
      </c>
      <c r="Y75">
        <v>3.9909460714496201</v>
      </c>
      <c r="Z75">
        <v>0</v>
      </c>
      <c r="AA75" s="77">
        <f t="shared" si="27"/>
        <v>0</v>
      </c>
      <c r="AB75" s="62">
        <f t="shared" si="28"/>
        <v>0</v>
      </c>
      <c r="AC75" s="78">
        <f t="shared" si="29"/>
        <v>0</v>
      </c>
      <c r="AD75" s="78">
        <f t="shared" si="30"/>
        <v>0</v>
      </c>
      <c r="AE75" s="15">
        <f t="shared" si="31"/>
        <v>0</v>
      </c>
      <c r="AF75" s="15">
        <f t="shared" si="32"/>
        <v>5.8288781999999983E-2</v>
      </c>
      <c r="AG75" s="15">
        <f t="shared" si="33"/>
        <v>4.4227039999999995E-3</v>
      </c>
      <c r="AH75" s="78">
        <f t="shared" si="34"/>
        <v>0.18840606788688019</v>
      </c>
      <c r="AI75" s="79">
        <f t="shared" si="35"/>
        <v>0</v>
      </c>
    </row>
    <row r="76" spans="2:35" x14ac:dyDescent="0.25">
      <c r="B76" t="s">
        <v>207</v>
      </c>
      <c r="C76" s="83">
        <v>46064</v>
      </c>
      <c r="D76" t="s">
        <v>26</v>
      </c>
      <c r="E76" t="s">
        <v>148</v>
      </c>
      <c r="F76" t="s">
        <v>149</v>
      </c>
      <c r="G76">
        <v>8.8117599999999996</v>
      </c>
      <c r="H76">
        <v>111</v>
      </c>
      <c r="I76">
        <v>5.4128345309999997</v>
      </c>
      <c r="J76">
        <v>177.46545138499999</v>
      </c>
      <c r="K76">
        <v>3.875</v>
      </c>
      <c r="L76">
        <v>0.143172774774775</v>
      </c>
      <c r="M76">
        <v>3.3014205180180198</v>
      </c>
      <c r="N76">
        <v>1.4869947779999999</v>
      </c>
      <c r="O76">
        <v>7.8647536000000004E-2</v>
      </c>
      <c r="P76">
        <v>5.2890257022812497</v>
      </c>
      <c r="Q76">
        <v>0</v>
      </c>
      <c r="R76">
        <v>5.4128345309999997</v>
      </c>
      <c r="S76">
        <v>177.46545138499999</v>
      </c>
      <c r="T76">
        <v>3.875</v>
      </c>
      <c r="U76">
        <v>0.143172774774775</v>
      </c>
      <c r="V76">
        <v>3.3014205180180198</v>
      </c>
      <c r="W76">
        <v>1.401940687</v>
      </c>
      <c r="X76">
        <v>7.4598658999999998E-2</v>
      </c>
      <c r="Y76">
        <v>5.3210995081135</v>
      </c>
      <c r="Z76">
        <v>0</v>
      </c>
      <c r="AA76" s="77">
        <f t="shared" si="27"/>
        <v>0</v>
      </c>
      <c r="AB76" s="62">
        <f t="shared" si="28"/>
        <v>0</v>
      </c>
      <c r="AC76" s="78">
        <f t="shared" si="29"/>
        <v>0</v>
      </c>
      <c r="AD76" s="78">
        <f t="shared" si="30"/>
        <v>0</v>
      </c>
      <c r="AE76" s="15">
        <f t="shared" si="31"/>
        <v>0</v>
      </c>
      <c r="AF76" s="15">
        <f t="shared" si="32"/>
        <v>8.5054090999999943E-2</v>
      </c>
      <c r="AG76" s="15">
        <f t="shared" si="33"/>
        <v>4.0488770000000063E-3</v>
      </c>
      <c r="AH76" s="78">
        <f t="shared" si="34"/>
        <v>-3.2073805832250279E-2</v>
      </c>
      <c r="AI76" s="79">
        <f t="shared" si="35"/>
        <v>0</v>
      </c>
    </row>
    <row r="77" spans="2:35" x14ac:dyDescent="0.25">
      <c r="B77" t="s">
        <v>207</v>
      </c>
      <c r="C77" s="83">
        <v>46064</v>
      </c>
      <c r="D77" t="s">
        <v>26</v>
      </c>
      <c r="E77" t="s">
        <v>150</v>
      </c>
      <c r="F77" t="s">
        <v>151</v>
      </c>
      <c r="G77">
        <v>16.06176</v>
      </c>
      <c r="H77">
        <v>121.56</v>
      </c>
      <c r="I77">
        <v>4.7617816470000003</v>
      </c>
      <c r="J77">
        <v>124.590044604</v>
      </c>
      <c r="K77">
        <v>2.0388888889999999</v>
      </c>
      <c r="L77">
        <v>-2.48520455330701</v>
      </c>
      <c r="M77">
        <v>1.7674843904244799</v>
      </c>
      <c r="N77">
        <v>3.1378679150000002</v>
      </c>
      <c r="O77">
        <v>0.29577041700000001</v>
      </c>
      <c r="P77">
        <v>9.4258402524250293</v>
      </c>
      <c r="Q77">
        <v>0</v>
      </c>
      <c r="R77">
        <v>5.4696543249999996</v>
      </c>
      <c r="S77">
        <v>194.55780828300001</v>
      </c>
      <c r="T77">
        <v>2.2055555560000002</v>
      </c>
      <c r="U77">
        <v>-2.2945562216189499</v>
      </c>
      <c r="V77">
        <v>1.88320706975978</v>
      </c>
      <c r="W77">
        <v>2.9756239459999998</v>
      </c>
      <c r="X77">
        <v>0.27202277200000002</v>
      </c>
      <c r="Y77">
        <v>9.1417053006872102</v>
      </c>
      <c r="Z77">
        <v>0</v>
      </c>
      <c r="AA77" s="77">
        <f t="shared" si="27"/>
        <v>-0.70787267799999931</v>
      </c>
      <c r="AB77" s="62">
        <f t="shared" si="28"/>
        <v>-69.967763679000015</v>
      </c>
      <c r="AC77" s="78">
        <f t="shared" si="29"/>
        <v>-0.16666666700000032</v>
      </c>
      <c r="AD77" s="78">
        <f t="shared" si="30"/>
        <v>-0.19064833168806006</v>
      </c>
      <c r="AE77" s="15">
        <f t="shared" si="31"/>
        <v>-0.11572267933530012</v>
      </c>
      <c r="AF77" s="15">
        <f t="shared" si="32"/>
        <v>0.16224396900000038</v>
      </c>
      <c r="AG77" s="15">
        <f t="shared" si="33"/>
        <v>2.3747644999999984E-2</v>
      </c>
      <c r="AH77" s="78">
        <f t="shared" si="34"/>
        <v>0.28413495173781911</v>
      </c>
      <c r="AI77" s="79">
        <f t="shared" si="35"/>
        <v>0</v>
      </c>
    </row>
    <row r="78" spans="2:35" x14ac:dyDescent="0.25">
      <c r="B78" t="s">
        <v>207</v>
      </c>
      <c r="C78" s="83">
        <v>46064</v>
      </c>
      <c r="D78" t="s">
        <v>26</v>
      </c>
      <c r="E78" t="s">
        <v>152</v>
      </c>
      <c r="F78" t="s">
        <v>153</v>
      </c>
      <c r="G78">
        <v>15.06176</v>
      </c>
      <c r="H78">
        <v>120.22</v>
      </c>
      <c r="I78">
        <v>4.4689547129999996</v>
      </c>
      <c r="J78">
        <v>95.299409965999999</v>
      </c>
      <c r="K78">
        <v>2.0388888889999999</v>
      </c>
      <c r="L78">
        <v>-2.35857711279322</v>
      </c>
      <c r="M78">
        <v>1.7828398427882199</v>
      </c>
      <c r="N78">
        <v>3.3249905979999999</v>
      </c>
      <c r="O78">
        <v>0.36526584699999998</v>
      </c>
      <c r="P78">
        <v>10.9854700707939</v>
      </c>
      <c r="Q78">
        <v>0</v>
      </c>
      <c r="R78">
        <v>5.1360477299999996</v>
      </c>
      <c r="S78">
        <v>161.182315835</v>
      </c>
      <c r="T78">
        <v>2.2055555560000002</v>
      </c>
      <c r="U78">
        <v>-1.5698583513558499</v>
      </c>
      <c r="V78">
        <v>1.90101266594577</v>
      </c>
      <c r="W78">
        <v>3.1355164310000001</v>
      </c>
      <c r="X78">
        <v>0.34163924800000001</v>
      </c>
      <c r="Y78">
        <v>10.895788796458101</v>
      </c>
      <c r="Z78">
        <v>0</v>
      </c>
      <c r="AA78" s="77">
        <f t="shared" si="27"/>
        <v>-0.66709301700000001</v>
      </c>
      <c r="AB78" s="62">
        <f t="shared" si="28"/>
        <v>-65.882905868999998</v>
      </c>
      <c r="AC78" s="78">
        <f t="shared" si="29"/>
        <v>-0.16666666700000032</v>
      </c>
      <c r="AD78" s="78">
        <f t="shared" si="30"/>
        <v>-0.78871876143737008</v>
      </c>
      <c r="AE78" s="15">
        <f t="shared" si="31"/>
        <v>-0.11817282315755007</v>
      </c>
      <c r="AF78" s="15">
        <f t="shared" si="32"/>
        <v>0.18947416699999975</v>
      </c>
      <c r="AG78" s="15">
        <f t="shared" si="33"/>
        <v>2.362659899999997E-2</v>
      </c>
      <c r="AH78" s="78">
        <f t="shared" si="34"/>
        <v>8.9681274335799088E-2</v>
      </c>
      <c r="AI78" s="79">
        <f t="shared" si="35"/>
        <v>0</v>
      </c>
    </row>
    <row r="79" spans="2:35" x14ac:dyDescent="0.25">
      <c r="B79" t="s">
        <v>207</v>
      </c>
      <c r="C79" s="83">
        <v>46064</v>
      </c>
      <c r="D79" t="s">
        <v>107</v>
      </c>
      <c r="E79" t="s">
        <v>108</v>
      </c>
      <c r="F79" t="s">
        <v>109</v>
      </c>
      <c r="G79">
        <v>6.55</v>
      </c>
      <c r="H79">
        <v>102.02217</v>
      </c>
      <c r="I79">
        <v>5.6019891030000002</v>
      </c>
      <c r="J79">
        <v>208.24161600100001</v>
      </c>
      <c r="K79">
        <v>2.122222222</v>
      </c>
      <c r="L79">
        <v>1.6728720551621299</v>
      </c>
      <c r="M79">
        <v>1.9347375888985801</v>
      </c>
      <c r="N79">
        <v>1.8715068109999999</v>
      </c>
      <c r="O79">
        <v>1.182482507</v>
      </c>
      <c r="P79">
        <v>63.183446624389497</v>
      </c>
      <c r="Q79">
        <v>0</v>
      </c>
      <c r="R79">
        <v>5.6019891030000002</v>
      </c>
      <c r="S79">
        <v>208.24161600100001</v>
      </c>
      <c r="T79">
        <v>2.122222222</v>
      </c>
      <c r="U79">
        <v>1.6728720551621299</v>
      </c>
      <c r="V79">
        <v>1.9347375888985801</v>
      </c>
      <c r="W79">
        <v>1.8714326830000001</v>
      </c>
      <c r="X79">
        <v>1.1824640740000001</v>
      </c>
      <c r="Y79">
        <v>63.184964372026002</v>
      </c>
      <c r="Z79">
        <v>0</v>
      </c>
      <c r="AA79" s="77">
        <f t="shared" si="27"/>
        <v>0</v>
      </c>
      <c r="AB79" s="62">
        <f t="shared" si="28"/>
        <v>0</v>
      </c>
      <c r="AC79" s="78">
        <f t="shared" si="29"/>
        <v>0</v>
      </c>
      <c r="AD79" s="78">
        <f t="shared" si="30"/>
        <v>0</v>
      </c>
      <c r="AE79" s="15">
        <f t="shared" si="31"/>
        <v>0</v>
      </c>
      <c r="AF79" s="15">
        <f t="shared" si="32"/>
        <v>7.41279999998401E-5</v>
      </c>
      <c r="AG79" s="15">
        <f t="shared" si="33"/>
        <v>1.8432999999928867E-5</v>
      </c>
      <c r="AH79" s="78">
        <f t="shared" si="34"/>
        <v>-1.5177476365053622E-3</v>
      </c>
      <c r="AI79" s="79">
        <f t="shared" si="35"/>
        <v>0</v>
      </c>
    </row>
    <row r="80" spans="2:35" x14ac:dyDescent="0.25">
      <c r="B80" t="s">
        <v>207</v>
      </c>
      <c r="C80" s="83">
        <v>46064</v>
      </c>
      <c r="D80" t="s">
        <v>107</v>
      </c>
      <c r="E80" t="s">
        <v>267</v>
      </c>
      <c r="F80" t="s">
        <v>268</v>
      </c>
      <c r="G80">
        <v>7.673</v>
      </c>
      <c r="H80">
        <v>103.12712500000001</v>
      </c>
      <c r="I80">
        <v>7.017973435</v>
      </c>
      <c r="J80">
        <v>321.81602434799998</v>
      </c>
      <c r="K80">
        <v>5.8722222220000004</v>
      </c>
      <c r="L80">
        <v>4.6275300344114099</v>
      </c>
      <c r="M80">
        <v>4.6275300344114099</v>
      </c>
      <c r="N80">
        <v>0</v>
      </c>
      <c r="O80">
        <v>0</v>
      </c>
      <c r="P80" t="s">
        <v>248</v>
      </c>
      <c r="Q80">
        <v>0</v>
      </c>
      <c r="R80">
        <v>7.017973435</v>
      </c>
      <c r="S80">
        <v>321.81602434799998</v>
      </c>
      <c r="T80">
        <v>5.8722222220000004</v>
      </c>
      <c r="U80">
        <v>4.6275300344114099</v>
      </c>
      <c r="V80">
        <v>4.6275300344114099</v>
      </c>
      <c r="W80">
        <v>0</v>
      </c>
      <c r="X80">
        <v>0</v>
      </c>
      <c r="Y80" t="s">
        <v>248</v>
      </c>
      <c r="Z80">
        <v>0</v>
      </c>
      <c r="AA80" s="77">
        <f t="shared" si="27"/>
        <v>0</v>
      </c>
      <c r="AB80" s="62">
        <f t="shared" si="28"/>
        <v>0</v>
      </c>
      <c r="AC80" s="78">
        <f t="shared" si="29"/>
        <v>0</v>
      </c>
      <c r="AD80" s="78">
        <f t="shared" si="30"/>
        <v>0</v>
      </c>
      <c r="AE80" s="15">
        <f t="shared" si="31"/>
        <v>0</v>
      </c>
      <c r="AF80" s="15">
        <f t="shared" si="32"/>
        <v>0</v>
      </c>
      <c r="AG80" s="15">
        <f t="shared" si="33"/>
        <v>0</v>
      </c>
      <c r="AH80" s="78" t="e">
        <f t="shared" si="34"/>
        <v>#VALUE!</v>
      </c>
      <c r="AI80" s="79">
        <f t="shared" si="35"/>
        <v>0</v>
      </c>
    </row>
    <row r="81" spans="2:35" x14ac:dyDescent="0.25">
      <c r="B81" t="s">
        <v>207</v>
      </c>
      <c r="C81" s="83">
        <v>46064</v>
      </c>
      <c r="D81" t="s">
        <v>107</v>
      </c>
      <c r="E81" t="s">
        <v>269</v>
      </c>
      <c r="F81" t="s">
        <v>270</v>
      </c>
      <c r="G81">
        <v>8.6560000000000006</v>
      </c>
      <c r="H81">
        <v>101.18446</v>
      </c>
      <c r="I81">
        <v>8.4206283630000005</v>
      </c>
      <c r="J81">
        <v>462.59050508600001</v>
      </c>
      <c r="K81">
        <v>5.8722222220000004</v>
      </c>
      <c r="L81">
        <v>4.4710649817175403</v>
      </c>
      <c r="M81">
        <v>4.4710649817175403</v>
      </c>
      <c r="N81">
        <v>0</v>
      </c>
      <c r="O81">
        <v>0</v>
      </c>
      <c r="P81" t="s">
        <v>248</v>
      </c>
      <c r="Q81">
        <v>0</v>
      </c>
      <c r="R81">
        <v>8.4206283630000005</v>
      </c>
      <c r="S81">
        <v>462.59050508600001</v>
      </c>
      <c r="T81">
        <v>5.8722222220000004</v>
      </c>
      <c r="U81">
        <v>4.4710649817175403</v>
      </c>
      <c r="V81">
        <v>4.4710649817175403</v>
      </c>
      <c r="W81">
        <v>0</v>
      </c>
      <c r="X81">
        <v>0</v>
      </c>
      <c r="Y81" t="s">
        <v>248</v>
      </c>
      <c r="Z81">
        <v>0</v>
      </c>
      <c r="AA81" s="77">
        <f t="shared" si="27"/>
        <v>0</v>
      </c>
      <c r="AB81" s="62">
        <f t="shared" si="28"/>
        <v>0</v>
      </c>
      <c r="AC81" s="78">
        <f t="shared" si="29"/>
        <v>0</v>
      </c>
      <c r="AD81" s="78">
        <f t="shared" si="30"/>
        <v>0</v>
      </c>
      <c r="AE81" s="15">
        <f t="shared" si="31"/>
        <v>0</v>
      </c>
      <c r="AF81" s="15">
        <f t="shared" si="32"/>
        <v>0</v>
      </c>
      <c r="AG81" s="15">
        <f t="shared" si="33"/>
        <v>0</v>
      </c>
      <c r="AH81" s="78" t="e">
        <f t="shared" si="34"/>
        <v>#VALUE!</v>
      </c>
      <c r="AI81" s="79">
        <f t="shared" si="35"/>
        <v>0</v>
      </c>
    </row>
    <row r="82" spans="2:35" x14ac:dyDescent="0.25">
      <c r="B82" t="s">
        <v>207</v>
      </c>
      <c r="C82" s="83">
        <v>46064</v>
      </c>
      <c r="D82" t="s">
        <v>107</v>
      </c>
      <c r="E82" t="s">
        <v>271</v>
      </c>
      <c r="F82" t="s">
        <v>272</v>
      </c>
      <c r="G82">
        <v>7.3230000000000004</v>
      </c>
      <c r="H82">
        <v>101.495255</v>
      </c>
      <c r="I82">
        <v>6.758245853</v>
      </c>
      <c r="J82">
        <v>316.33428004199999</v>
      </c>
      <c r="K82">
        <v>3.372222222</v>
      </c>
      <c r="L82">
        <v>2.9183970432903399</v>
      </c>
      <c r="M82">
        <v>2.9183970432903399</v>
      </c>
      <c r="N82">
        <v>0</v>
      </c>
      <c r="O82">
        <v>0</v>
      </c>
      <c r="P82" t="s">
        <v>248</v>
      </c>
      <c r="Q82">
        <v>0</v>
      </c>
      <c r="R82">
        <v>6.758245853</v>
      </c>
      <c r="S82">
        <v>316.33428004199999</v>
      </c>
      <c r="T82">
        <v>3.372222222</v>
      </c>
      <c r="U82">
        <v>2.9183970432903399</v>
      </c>
      <c r="V82">
        <v>2.9183970432903399</v>
      </c>
      <c r="W82">
        <v>0</v>
      </c>
      <c r="X82">
        <v>0</v>
      </c>
      <c r="Y82" t="s">
        <v>248</v>
      </c>
      <c r="Z82">
        <v>0</v>
      </c>
      <c r="AA82" s="77">
        <f t="shared" si="27"/>
        <v>0</v>
      </c>
      <c r="AB82" s="62">
        <f t="shared" si="28"/>
        <v>0</v>
      </c>
      <c r="AC82" s="78">
        <f t="shared" si="29"/>
        <v>0</v>
      </c>
      <c r="AD82" s="78">
        <f t="shared" si="30"/>
        <v>0</v>
      </c>
      <c r="AE82" s="15">
        <f t="shared" si="31"/>
        <v>0</v>
      </c>
      <c r="AF82" s="15">
        <f t="shared" si="32"/>
        <v>0</v>
      </c>
      <c r="AG82" s="15">
        <f t="shared" si="33"/>
        <v>0</v>
      </c>
      <c r="AH82" s="78" t="e">
        <f t="shared" si="34"/>
        <v>#VALUE!</v>
      </c>
      <c r="AI82" s="79">
        <f t="shared" si="35"/>
        <v>0</v>
      </c>
    </row>
    <row r="83" spans="2:35" x14ac:dyDescent="0.25">
      <c r="B83" t="s">
        <v>207</v>
      </c>
      <c r="C83" s="83">
        <v>46064</v>
      </c>
      <c r="D83" t="s">
        <v>107</v>
      </c>
      <c r="E83" t="s">
        <v>273</v>
      </c>
      <c r="F83" t="s">
        <v>274</v>
      </c>
      <c r="G83">
        <v>8.3140000000000001</v>
      </c>
      <c r="H83">
        <v>100.613125</v>
      </c>
      <c r="I83">
        <v>8.0507372000000004</v>
      </c>
      <c r="J83">
        <v>445.68570620000003</v>
      </c>
      <c r="K83">
        <v>3.372222222</v>
      </c>
      <c r="L83">
        <v>2.85623391679764</v>
      </c>
      <c r="M83">
        <v>2.85623391679764</v>
      </c>
      <c r="N83">
        <v>0</v>
      </c>
      <c r="O83">
        <v>0</v>
      </c>
      <c r="P83" t="s">
        <v>248</v>
      </c>
      <c r="Q83">
        <v>0</v>
      </c>
      <c r="R83">
        <v>8.0507372000000004</v>
      </c>
      <c r="S83">
        <v>445.68570620000003</v>
      </c>
      <c r="T83">
        <v>3.372222222</v>
      </c>
      <c r="U83">
        <v>2.85623391679764</v>
      </c>
      <c r="V83">
        <v>2.85623391679764</v>
      </c>
      <c r="W83">
        <v>0</v>
      </c>
      <c r="X83">
        <v>0</v>
      </c>
      <c r="Y83" t="s">
        <v>248</v>
      </c>
      <c r="Z83">
        <v>0</v>
      </c>
      <c r="AA83" s="77">
        <f t="shared" si="27"/>
        <v>0</v>
      </c>
      <c r="AB83" s="62">
        <f t="shared" si="28"/>
        <v>0</v>
      </c>
      <c r="AC83" s="78">
        <f t="shared" si="29"/>
        <v>0</v>
      </c>
      <c r="AD83" s="78">
        <f t="shared" si="30"/>
        <v>0</v>
      </c>
      <c r="AE83" s="15">
        <f t="shared" si="31"/>
        <v>0</v>
      </c>
      <c r="AF83" s="15">
        <f t="shared" si="32"/>
        <v>0</v>
      </c>
      <c r="AG83" s="15">
        <f t="shared" si="33"/>
        <v>0</v>
      </c>
      <c r="AH83" s="78" t="e">
        <f t="shared" si="34"/>
        <v>#VALUE!</v>
      </c>
      <c r="AI83" s="79">
        <f t="shared" si="35"/>
        <v>0</v>
      </c>
    </row>
    <row r="84" spans="2:35" x14ac:dyDescent="0.25">
      <c r="B84" t="s">
        <v>207</v>
      </c>
      <c r="C84" s="83">
        <v>46064</v>
      </c>
      <c r="D84" t="s">
        <v>107</v>
      </c>
      <c r="E84" t="s">
        <v>275</v>
      </c>
      <c r="F84" t="s">
        <v>276</v>
      </c>
      <c r="G84">
        <v>7.0510000000000002</v>
      </c>
      <c r="H84">
        <v>101.6618</v>
      </c>
      <c r="I84">
        <v>6.1926723819999996</v>
      </c>
      <c r="J84">
        <v>265.55342749200003</v>
      </c>
      <c r="K84">
        <v>2.4555555560000002</v>
      </c>
      <c r="L84">
        <v>2.2064971867505698</v>
      </c>
      <c r="M84">
        <v>2.2064971867505698</v>
      </c>
      <c r="N84">
        <v>0</v>
      </c>
      <c r="O84">
        <v>0</v>
      </c>
      <c r="P84" t="s">
        <v>248</v>
      </c>
      <c r="Q84">
        <v>0</v>
      </c>
      <c r="R84">
        <v>6.1926723819999996</v>
      </c>
      <c r="S84">
        <v>265.55342749200003</v>
      </c>
      <c r="T84">
        <v>2.4555555560000002</v>
      </c>
      <c r="U84">
        <v>2.2064971867505698</v>
      </c>
      <c r="V84">
        <v>2.2064971867505698</v>
      </c>
      <c r="W84">
        <v>0</v>
      </c>
      <c r="X84">
        <v>0</v>
      </c>
      <c r="Y84" t="s">
        <v>248</v>
      </c>
      <c r="Z84">
        <v>0</v>
      </c>
      <c r="AA84" s="77">
        <f t="shared" si="27"/>
        <v>0</v>
      </c>
      <c r="AB84" s="62">
        <f t="shared" si="28"/>
        <v>0</v>
      </c>
      <c r="AC84" s="78">
        <f t="shared" si="29"/>
        <v>0</v>
      </c>
      <c r="AD84" s="78">
        <f t="shared" si="30"/>
        <v>0</v>
      </c>
      <c r="AE84" s="15">
        <f t="shared" si="31"/>
        <v>0</v>
      </c>
      <c r="AF84" s="15">
        <f t="shared" si="32"/>
        <v>0</v>
      </c>
      <c r="AG84" s="15">
        <f t="shared" si="33"/>
        <v>0</v>
      </c>
      <c r="AH84" s="78" t="e">
        <f t="shared" si="34"/>
        <v>#VALUE!</v>
      </c>
      <c r="AI84" s="79">
        <f t="shared" si="35"/>
        <v>0</v>
      </c>
    </row>
    <row r="85" spans="2:35" x14ac:dyDescent="0.25">
      <c r="B85" t="s">
        <v>207</v>
      </c>
      <c r="C85" s="83">
        <v>46064</v>
      </c>
      <c r="D85" t="s">
        <v>107</v>
      </c>
      <c r="E85" t="s">
        <v>277</v>
      </c>
      <c r="F85" t="s">
        <v>278</v>
      </c>
      <c r="G85">
        <v>8.141</v>
      </c>
      <c r="H85">
        <v>101.528915</v>
      </c>
      <c r="I85">
        <v>7.3278840010000001</v>
      </c>
      <c r="J85">
        <v>379.10685528200003</v>
      </c>
      <c r="K85">
        <v>2.4555555560000002</v>
      </c>
      <c r="L85">
        <v>2.16911171068852</v>
      </c>
      <c r="M85">
        <v>2.16911171068852</v>
      </c>
      <c r="N85">
        <v>0</v>
      </c>
      <c r="O85">
        <v>0</v>
      </c>
      <c r="P85" t="s">
        <v>248</v>
      </c>
      <c r="Q85">
        <v>0</v>
      </c>
      <c r="R85">
        <v>7.3278840010000001</v>
      </c>
      <c r="S85">
        <v>379.10685528200003</v>
      </c>
      <c r="T85">
        <v>2.4555555560000002</v>
      </c>
      <c r="U85">
        <v>2.16911171068852</v>
      </c>
      <c r="V85">
        <v>2.16911171068852</v>
      </c>
      <c r="W85">
        <v>0</v>
      </c>
      <c r="X85">
        <v>0</v>
      </c>
      <c r="Y85" t="s">
        <v>248</v>
      </c>
      <c r="Z85">
        <v>0</v>
      </c>
      <c r="AA85" s="77">
        <f t="shared" si="27"/>
        <v>0</v>
      </c>
      <c r="AB85" s="62">
        <f t="shared" si="28"/>
        <v>0</v>
      </c>
      <c r="AC85" s="78">
        <f t="shared" si="29"/>
        <v>0</v>
      </c>
      <c r="AD85" s="78">
        <f t="shared" si="30"/>
        <v>0</v>
      </c>
      <c r="AE85" s="15">
        <f t="shared" si="31"/>
        <v>0</v>
      </c>
      <c r="AF85" s="15">
        <f t="shared" si="32"/>
        <v>0</v>
      </c>
      <c r="AG85" s="15">
        <f t="shared" si="33"/>
        <v>0</v>
      </c>
      <c r="AH85" s="78" t="e">
        <f t="shared" si="34"/>
        <v>#VALUE!</v>
      </c>
      <c r="AI85" s="79">
        <f t="shared" si="35"/>
        <v>0</v>
      </c>
    </row>
    <row r="86" spans="2:35" x14ac:dyDescent="0.25">
      <c r="B86" t="s">
        <v>207</v>
      </c>
      <c r="C86" s="83">
        <v>46064</v>
      </c>
      <c r="D86" t="s">
        <v>107</v>
      </c>
      <c r="E86" t="s">
        <v>112</v>
      </c>
      <c r="F86" t="s">
        <v>113</v>
      </c>
      <c r="G86">
        <v>5.274216</v>
      </c>
      <c r="H86">
        <v>191.89516</v>
      </c>
      <c r="I86">
        <v>8.9193246500000001</v>
      </c>
      <c r="J86">
        <v>503.70032216300001</v>
      </c>
      <c r="K86">
        <v>5.8906896890000002</v>
      </c>
      <c r="L86">
        <v>-4.1480368170828203</v>
      </c>
      <c r="M86">
        <v>2.6199938273586501</v>
      </c>
      <c r="N86">
        <v>3.1410012209999998</v>
      </c>
      <c r="O86">
        <v>2.6292297370000002</v>
      </c>
      <c r="P86">
        <v>83.706740367421204</v>
      </c>
      <c r="Q86">
        <v>66.924326883000006</v>
      </c>
      <c r="R86">
        <v>8.8834774739999993</v>
      </c>
      <c r="S86">
        <v>500.422813351</v>
      </c>
      <c r="T86">
        <v>5.9037008020000004</v>
      </c>
      <c r="U86">
        <v>-4.6687701529314198</v>
      </c>
      <c r="V86">
        <v>2.6767258178893201</v>
      </c>
      <c r="W86">
        <v>2.9653086640000001</v>
      </c>
      <c r="X86">
        <v>2.483791342</v>
      </c>
      <c r="Y86">
        <v>83.761645866893801</v>
      </c>
      <c r="Z86">
        <v>64.370422306999998</v>
      </c>
      <c r="AA86" s="77">
        <f t="shared" si="27"/>
        <v>3.5847176000000758E-2</v>
      </c>
      <c r="AB86" s="62">
        <f t="shared" si="28"/>
        <v>3.2775088120000078</v>
      </c>
      <c r="AC86" s="78">
        <f t="shared" si="29"/>
        <v>-1.301111300000013E-2</v>
      </c>
      <c r="AD86" s="78">
        <f t="shared" si="30"/>
        <v>0.52073333584859949</v>
      </c>
      <c r="AE86" s="15">
        <f t="shared" si="31"/>
        <v>-5.6731990530670018E-2</v>
      </c>
      <c r="AF86" s="15">
        <f t="shared" si="32"/>
        <v>0.17569255699999964</v>
      </c>
      <c r="AG86" s="15">
        <f t="shared" si="33"/>
        <v>0.14543839500000022</v>
      </c>
      <c r="AH86" s="78">
        <f t="shared" si="34"/>
        <v>-5.4905499472596375E-2</v>
      </c>
      <c r="AI86" s="79">
        <f t="shared" si="35"/>
        <v>2.5539045760000079</v>
      </c>
    </row>
    <row r="87" spans="2:35" x14ac:dyDescent="0.25">
      <c r="B87" t="s">
        <v>207</v>
      </c>
      <c r="C87" s="83">
        <v>46064</v>
      </c>
      <c r="D87" t="s">
        <v>107</v>
      </c>
      <c r="E87" t="s">
        <v>114</v>
      </c>
      <c r="F87" t="s">
        <v>115</v>
      </c>
      <c r="G87">
        <v>3.7453020000000001</v>
      </c>
      <c r="H87">
        <v>160.33750000000001</v>
      </c>
      <c r="I87">
        <v>7.2082874380000002</v>
      </c>
      <c r="J87">
        <v>308.76083666099998</v>
      </c>
      <c r="K87">
        <v>8.7411637730000002</v>
      </c>
      <c r="L87">
        <v>-1.5348904772745</v>
      </c>
      <c r="M87">
        <v>4.0217309325641297</v>
      </c>
      <c r="N87">
        <v>4.0486535459999997</v>
      </c>
      <c r="O87">
        <v>3.3953980910000001</v>
      </c>
      <c r="P87">
        <v>83.864871430023797</v>
      </c>
      <c r="Q87">
        <v>48.036678264999999</v>
      </c>
      <c r="R87">
        <v>7.4888704180000003</v>
      </c>
      <c r="S87">
        <v>338.17149554700001</v>
      </c>
      <c r="T87">
        <v>8.7826206449999997</v>
      </c>
      <c r="U87">
        <v>-2.2976151280891899</v>
      </c>
      <c r="V87">
        <v>4.0269710990878602</v>
      </c>
      <c r="W87">
        <v>3.6503513910000001</v>
      </c>
      <c r="X87">
        <v>3.0585695909999999</v>
      </c>
      <c r="Y87">
        <v>83.788360718942101</v>
      </c>
      <c r="Z87">
        <v>40.887952941999998</v>
      </c>
      <c r="AA87" s="77">
        <f t="shared" si="27"/>
        <v>-0.28058298000000015</v>
      </c>
      <c r="AB87" s="62">
        <f t="shared" si="28"/>
        <v>-29.410658886000022</v>
      </c>
      <c r="AC87" s="78">
        <f t="shared" si="29"/>
        <v>-4.1456871999999478E-2</v>
      </c>
      <c r="AD87" s="78">
        <f t="shared" si="30"/>
        <v>0.76272465081468988</v>
      </c>
      <c r="AE87" s="15">
        <f t="shared" si="31"/>
        <v>-5.240166523730494E-3</v>
      </c>
      <c r="AF87" s="15">
        <f t="shared" si="32"/>
        <v>0.39830215499999966</v>
      </c>
      <c r="AG87" s="15">
        <f t="shared" si="33"/>
        <v>0.3368285000000002</v>
      </c>
      <c r="AH87" s="78">
        <f t="shared" si="34"/>
        <v>7.6510711081695604E-2</v>
      </c>
      <c r="AI87" s="79">
        <f t="shared" si="35"/>
        <v>7.1487253230000007</v>
      </c>
    </row>
    <row r="88" spans="2:35" x14ac:dyDescent="0.25">
      <c r="B88" t="s">
        <v>207</v>
      </c>
      <c r="C88" s="83">
        <v>46064</v>
      </c>
      <c r="D88" t="s">
        <v>107</v>
      </c>
      <c r="E88" t="s">
        <v>116</v>
      </c>
      <c r="F88" t="s">
        <v>117</v>
      </c>
      <c r="G88">
        <v>5.3891489999999997</v>
      </c>
      <c r="H88">
        <v>160.80535</v>
      </c>
      <c r="I88">
        <v>9.2408210680000007</v>
      </c>
      <c r="J88">
        <v>534.45281724799997</v>
      </c>
      <c r="K88">
        <v>7.6531908570000002</v>
      </c>
      <c r="L88">
        <v>-3.63079114221012</v>
      </c>
      <c r="M88">
        <v>4.2299466099853102</v>
      </c>
      <c r="N88">
        <v>3.8420190289999998</v>
      </c>
      <c r="O88">
        <v>3.2206583649999998</v>
      </c>
      <c r="P88">
        <v>83.827236166455705</v>
      </c>
      <c r="Q88">
        <v>50.244298503000003</v>
      </c>
      <c r="R88">
        <v>10.575098837000001</v>
      </c>
      <c r="S88">
        <v>662.496045923</v>
      </c>
      <c r="T88">
        <v>6.4728025560000004</v>
      </c>
      <c r="U88">
        <v>-5.0342129580887596</v>
      </c>
      <c r="V88">
        <v>3.0670876789858101</v>
      </c>
      <c r="W88">
        <v>3.6351301180000002</v>
      </c>
      <c r="X88">
        <v>3.0490495819999999</v>
      </c>
      <c r="Y88">
        <v>83.877316162689297</v>
      </c>
      <c r="Z88">
        <v>42.553867398000001</v>
      </c>
      <c r="AA88" s="77">
        <f t="shared" si="27"/>
        <v>-1.3342777689999998</v>
      </c>
      <c r="AB88" s="62">
        <f t="shared" si="28"/>
        <v>-128.04322867500002</v>
      </c>
      <c r="AC88" s="78">
        <f t="shared" si="29"/>
        <v>1.1803883009999998</v>
      </c>
      <c r="AD88" s="78">
        <f t="shared" si="30"/>
        <v>1.4034218158786396</v>
      </c>
      <c r="AE88" s="15">
        <f t="shared" si="31"/>
        <v>1.1628589309995001</v>
      </c>
      <c r="AF88" s="15">
        <f t="shared" si="32"/>
        <v>0.20688891099999962</v>
      </c>
      <c r="AG88" s="15">
        <f t="shared" si="33"/>
        <v>0.17160878299999993</v>
      </c>
      <c r="AH88" s="78">
        <f t="shared" si="34"/>
        <v>-5.0079996233591828E-2</v>
      </c>
      <c r="AI88" s="79">
        <f t="shared" si="35"/>
        <v>7.6904311050000018</v>
      </c>
    </row>
    <row r="89" spans="2:35" x14ac:dyDescent="0.25">
      <c r="B89" t="s">
        <v>207</v>
      </c>
      <c r="C89" s="83">
        <v>46064</v>
      </c>
      <c r="D89" t="s">
        <v>107</v>
      </c>
      <c r="E89" t="s">
        <v>118</v>
      </c>
      <c r="F89" t="s">
        <v>119</v>
      </c>
      <c r="G89">
        <v>5.3829120000000001</v>
      </c>
      <c r="H89">
        <v>319.14</v>
      </c>
      <c r="I89">
        <v>7.2359366610000002</v>
      </c>
      <c r="J89">
        <v>323.305350847</v>
      </c>
      <c r="K89">
        <v>9.6464222839999998</v>
      </c>
      <c r="L89">
        <v>-10.777122703829001</v>
      </c>
      <c r="M89">
        <v>3.0755546305696702</v>
      </c>
      <c r="N89">
        <v>3.4183602240000002</v>
      </c>
      <c r="O89">
        <v>2.8733277269999999</v>
      </c>
      <c r="P89">
        <v>84.0557325359283</v>
      </c>
      <c r="Q89">
        <v>72.188223199000007</v>
      </c>
      <c r="R89">
        <v>7.5208279610000002</v>
      </c>
      <c r="S89">
        <v>353.18913882800001</v>
      </c>
      <c r="T89">
        <v>9.7050060249999994</v>
      </c>
      <c r="U89">
        <v>-11.491273618788</v>
      </c>
      <c r="V89">
        <v>3.1160668064172499</v>
      </c>
      <c r="W89">
        <v>3.0836295159999998</v>
      </c>
      <c r="X89">
        <v>2.5900043300000002</v>
      </c>
      <c r="Y89">
        <v>83.992072217536801</v>
      </c>
      <c r="Z89">
        <v>69.967446097999996</v>
      </c>
      <c r="AA89" s="77">
        <f t="shared" si="27"/>
        <v>-0.28489129999999996</v>
      </c>
      <c r="AB89" s="62">
        <f t="shared" si="28"/>
        <v>-29.883787981000012</v>
      </c>
      <c r="AC89" s="78">
        <f t="shared" si="29"/>
        <v>-5.8583740999999634E-2</v>
      </c>
      <c r="AD89" s="78">
        <f t="shared" si="30"/>
        <v>0.71415091495899929</v>
      </c>
      <c r="AE89" s="15">
        <f t="shared" si="31"/>
        <v>-4.0512175847579712E-2</v>
      </c>
      <c r="AF89" s="15">
        <f t="shared" si="32"/>
        <v>0.33473070800000038</v>
      </c>
      <c r="AG89" s="15">
        <f t="shared" si="33"/>
        <v>0.28332339699999975</v>
      </c>
      <c r="AH89" s="78">
        <f t="shared" si="34"/>
        <v>6.3660318391498549E-2</v>
      </c>
      <c r="AI89" s="79">
        <f t="shared" si="35"/>
        <v>2.2207771010000101</v>
      </c>
    </row>
    <row r="90" spans="2:35" x14ac:dyDescent="0.25">
      <c r="B90" t="s">
        <v>207</v>
      </c>
      <c r="C90" s="83">
        <v>46064</v>
      </c>
      <c r="D90" t="s">
        <v>107</v>
      </c>
      <c r="E90" t="s">
        <v>120</v>
      </c>
      <c r="F90" t="s">
        <v>121</v>
      </c>
      <c r="G90">
        <v>4.9676260000000001</v>
      </c>
      <c r="H90">
        <v>337.07249999999999</v>
      </c>
      <c r="I90">
        <v>8.0554749349999994</v>
      </c>
      <c r="J90">
        <v>396.47616686200001</v>
      </c>
      <c r="K90">
        <v>11.620045643999999</v>
      </c>
      <c r="L90">
        <v>-10.236725918014701</v>
      </c>
      <c r="M90">
        <v>3.32745734641657</v>
      </c>
      <c r="N90">
        <v>3.2970421280000002</v>
      </c>
      <c r="O90">
        <v>2.761663258</v>
      </c>
      <c r="P90">
        <v>83.761843215368202</v>
      </c>
      <c r="Q90">
        <v>133.586376352</v>
      </c>
      <c r="R90">
        <v>8.4081401749999998</v>
      </c>
      <c r="S90">
        <v>433.80961221799998</v>
      </c>
      <c r="T90">
        <v>11.681514246000001</v>
      </c>
      <c r="U90">
        <v>-11.056515326228</v>
      </c>
      <c r="V90">
        <v>3.3281780738565301</v>
      </c>
      <c r="W90">
        <v>2.9689597609999998</v>
      </c>
      <c r="X90">
        <v>2.4880625570000001</v>
      </c>
      <c r="Y90">
        <v>83.802501794836601</v>
      </c>
      <c r="Z90">
        <v>144.414752284</v>
      </c>
      <c r="AA90" s="77">
        <f t="shared" si="27"/>
        <v>-0.35266524000000032</v>
      </c>
      <c r="AB90" s="62">
        <f t="shared" si="28"/>
        <v>-37.33344535599997</v>
      </c>
      <c r="AC90" s="78">
        <f t="shared" si="29"/>
        <v>-6.1468602000001482E-2</v>
      </c>
      <c r="AD90" s="78">
        <f t="shared" si="30"/>
        <v>0.81978940821329971</v>
      </c>
      <c r="AE90" s="15">
        <f t="shared" si="31"/>
        <v>-7.2072743996010047E-4</v>
      </c>
      <c r="AF90" s="15">
        <f t="shared" si="32"/>
        <v>0.32808236700000037</v>
      </c>
      <c r="AG90" s="15">
        <f t="shared" si="33"/>
        <v>0.27360070099999989</v>
      </c>
      <c r="AH90" s="78">
        <f t="shared" si="34"/>
        <v>-4.0658579468399125E-2</v>
      </c>
      <c r="AI90" s="79">
        <f t="shared" si="35"/>
        <v>-10.828375932</v>
      </c>
    </row>
    <row r="91" spans="2:35" x14ac:dyDescent="0.25">
      <c r="B91" t="s">
        <v>207</v>
      </c>
      <c r="C91" s="83">
        <v>46064</v>
      </c>
      <c r="D91" t="s">
        <v>107</v>
      </c>
      <c r="E91" t="s">
        <v>124</v>
      </c>
      <c r="F91" t="s">
        <v>125</v>
      </c>
      <c r="G91">
        <v>0</v>
      </c>
      <c r="H91">
        <v>13.890425</v>
      </c>
      <c r="I91">
        <v>10.050900439999999</v>
      </c>
      <c r="J91">
        <v>536.15015681199998</v>
      </c>
      <c r="K91">
        <v>19.990109846999999</v>
      </c>
      <c r="L91">
        <v>57.158587113065302</v>
      </c>
      <c r="M91">
        <v>18.1685221438509</v>
      </c>
      <c r="N91">
        <v>3.4526468850000001</v>
      </c>
      <c r="O91">
        <v>2.8981265600000001</v>
      </c>
      <c r="P91">
        <v>83.939269103680701</v>
      </c>
      <c r="Q91">
        <v>8.0409395890000006</v>
      </c>
      <c r="R91">
        <v>10.009308475999999</v>
      </c>
      <c r="S91">
        <v>531.632848427</v>
      </c>
      <c r="T91">
        <v>20.081681333999999</v>
      </c>
      <c r="U91">
        <v>56.631365814940899</v>
      </c>
      <c r="V91">
        <v>18.265297260522999</v>
      </c>
      <c r="W91">
        <v>3.075459849</v>
      </c>
      <c r="X91">
        <v>2.5803867170000001</v>
      </c>
      <c r="Y91">
        <v>83.902468043568305</v>
      </c>
      <c r="Z91">
        <v>7.8447251600000003</v>
      </c>
      <c r="AA91" s="77">
        <f t="shared" si="27"/>
        <v>4.1591964000000203E-2</v>
      </c>
      <c r="AB91" s="62">
        <f t="shared" si="28"/>
        <v>4.5173083849999784</v>
      </c>
      <c r="AC91" s="78">
        <f t="shared" si="29"/>
        <v>-9.1571486999999507E-2</v>
      </c>
      <c r="AD91" s="78">
        <f t="shared" si="30"/>
        <v>0.52722129812440244</v>
      </c>
      <c r="AE91" s="15">
        <f t="shared" si="31"/>
        <v>-9.6775116672098704E-2</v>
      </c>
      <c r="AF91" s="15">
        <f t="shared" si="32"/>
        <v>0.37718703600000003</v>
      </c>
      <c r="AG91" s="15">
        <f t="shared" si="33"/>
        <v>0.31773984300000002</v>
      </c>
      <c r="AH91" s="78">
        <f t="shared" si="34"/>
        <v>3.6801060112395589E-2</v>
      </c>
      <c r="AI91" s="79">
        <f t="shared" si="35"/>
        <v>0.1962144290000003</v>
      </c>
    </row>
    <row r="92" spans="2:35" x14ac:dyDescent="0.25">
      <c r="B92" t="s">
        <v>207</v>
      </c>
      <c r="C92" s="83">
        <v>46064</v>
      </c>
      <c r="D92" t="s">
        <v>107</v>
      </c>
      <c r="E92" t="s">
        <v>126</v>
      </c>
      <c r="F92" t="s">
        <v>127</v>
      </c>
      <c r="G92">
        <v>4.5062430000000004</v>
      </c>
      <c r="H92">
        <v>9.86</v>
      </c>
      <c r="I92">
        <v>7.3038290620000001</v>
      </c>
      <c r="J92">
        <v>341.68359923700001</v>
      </c>
      <c r="K92">
        <v>3.9512714139999998</v>
      </c>
      <c r="L92">
        <v>-16.586741764705899</v>
      </c>
      <c r="M92">
        <v>2.9489578296146002</v>
      </c>
      <c r="N92">
        <v>3.4526468850000001</v>
      </c>
      <c r="O92">
        <v>2.8981265600000001</v>
      </c>
      <c r="P92">
        <v>83.939269103680701</v>
      </c>
      <c r="Q92">
        <v>0</v>
      </c>
      <c r="R92">
        <v>7.9253145979999999</v>
      </c>
      <c r="S92">
        <v>405.36830718700003</v>
      </c>
      <c r="T92">
        <v>3.959782197</v>
      </c>
      <c r="U92">
        <v>-17.370753884381301</v>
      </c>
      <c r="V92">
        <v>2.9916264908722199</v>
      </c>
      <c r="W92">
        <v>3.075459849</v>
      </c>
      <c r="X92">
        <v>2.5803867170000001</v>
      </c>
      <c r="Y92">
        <v>83.902468043568305</v>
      </c>
      <c r="Z92">
        <v>0</v>
      </c>
      <c r="AA92" s="77">
        <f t="shared" si="27"/>
        <v>-0.62148553599999978</v>
      </c>
      <c r="AB92" s="62">
        <f t="shared" si="28"/>
        <v>-63.684707950000018</v>
      </c>
      <c r="AC92" s="78">
        <f t="shared" si="29"/>
        <v>-8.5107830000001883E-3</v>
      </c>
      <c r="AD92" s="78">
        <f t="shared" si="30"/>
        <v>0.78401211967540263</v>
      </c>
      <c r="AE92" s="15">
        <f t="shared" si="31"/>
        <v>-4.26686612576197E-2</v>
      </c>
      <c r="AF92" s="15">
        <f t="shared" si="32"/>
        <v>0.37718703600000003</v>
      </c>
      <c r="AG92" s="15">
        <f t="shared" si="33"/>
        <v>0.31773984300000002</v>
      </c>
      <c r="AH92" s="78">
        <f t="shared" si="34"/>
        <v>3.6801060112395589E-2</v>
      </c>
      <c r="AI92" s="79">
        <f t="shared" si="35"/>
        <v>0</v>
      </c>
    </row>
    <row r="93" spans="2:35" x14ac:dyDescent="0.25">
      <c r="B93" t="s">
        <v>207</v>
      </c>
      <c r="C93" s="83">
        <v>46064</v>
      </c>
      <c r="D93" t="s">
        <v>107</v>
      </c>
      <c r="E93" t="s">
        <v>279</v>
      </c>
      <c r="F93" t="s">
        <v>280</v>
      </c>
      <c r="G93">
        <v>8.5105699999999995</v>
      </c>
      <c r="H93">
        <v>102.4511</v>
      </c>
      <c r="I93">
        <v>7.5740027489999999</v>
      </c>
      <c r="J93">
        <v>384.97141100599998</v>
      </c>
      <c r="K93">
        <v>5.0388888889999999</v>
      </c>
      <c r="L93">
        <v>3.7608029118281801</v>
      </c>
      <c r="M93">
        <v>4.0298070484357904</v>
      </c>
      <c r="N93">
        <v>3.093455939</v>
      </c>
      <c r="O93">
        <v>2.5896178440000002</v>
      </c>
      <c r="P93">
        <v>83.712776101059603</v>
      </c>
      <c r="Q93">
        <v>0</v>
      </c>
      <c r="R93">
        <v>7.5740092399999996</v>
      </c>
      <c r="S93">
        <v>384.97201275999998</v>
      </c>
      <c r="T93">
        <v>5.0388888889999999</v>
      </c>
      <c r="U93">
        <v>3.8185075533595998</v>
      </c>
      <c r="V93">
        <v>4.0298238769520296</v>
      </c>
      <c r="W93">
        <v>2.618222899</v>
      </c>
      <c r="X93">
        <v>2.1920466599999999</v>
      </c>
      <c r="Y93">
        <v>83.722690716562994</v>
      </c>
      <c r="Z93">
        <v>0</v>
      </c>
      <c r="AA93" s="77">
        <f t="shared" si="27"/>
        <v>-6.4909999997198042E-6</v>
      </c>
      <c r="AB93" s="62">
        <f t="shared" si="28"/>
        <v>-6.0175400000161972E-4</v>
      </c>
      <c r="AC93" s="78">
        <f t="shared" si="29"/>
        <v>0</v>
      </c>
      <c r="AD93" s="78">
        <f t="shared" si="30"/>
        <v>-5.7704641531419743E-2</v>
      </c>
      <c r="AE93" s="15">
        <f t="shared" si="31"/>
        <v>-1.6828516239186797E-5</v>
      </c>
      <c r="AF93" s="15">
        <f t="shared" si="32"/>
        <v>0.47523304</v>
      </c>
      <c r="AG93" s="15">
        <f t="shared" si="33"/>
        <v>0.39757118400000024</v>
      </c>
      <c r="AH93" s="78">
        <f t="shared" si="34"/>
        <v>-9.914615503390678E-3</v>
      </c>
      <c r="AI93" s="79">
        <f t="shared" si="35"/>
        <v>0</v>
      </c>
    </row>
    <row r="94" spans="2:35" x14ac:dyDescent="0.25">
      <c r="B94" t="s">
        <v>207</v>
      </c>
      <c r="C94" s="83">
        <v>46064</v>
      </c>
      <c r="D94" t="s">
        <v>107</v>
      </c>
      <c r="E94" t="s">
        <v>128</v>
      </c>
      <c r="F94" t="s">
        <v>129</v>
      </c>
      <c r="G94">
        <v>8.5105699999999995</v>
      </c>
      <c r="H94">
        <v>87.292500000000004</v>
      </c>
      <c r="I94">
        <v>11.625999955999999</v>
      </c>
      <c r="J94">
        <v>790.39689432600005</v>
      </c>
      <c r="K94">
        <v>5.0388888889999999</v>
      </c>
      <c r="L94">
        <v>6.7568431766761101</v>
      </c>
      <c r="M94">
        <v>3.8701820282383999</v>
      </c>
      <c r="N94">
        <v>3.093455939</v>
      </c>
      <c r="O94">
        <v>2.5896178440000002</v>
      </c>
      <c r="P94">
        <v>83.712776101059603</v>
      </c>
      <c r="Q94">
        <v>0</v>
      </c>
      <c r="R94">
        <v>11.625988373</v>
      </c>
      <c r="S94">
        <v>790.39568025899996</v>
      </c>
      <c r="T94">
        <v>5.0388888889999999</v>
      </c>
      <c r="U94">
        <v>6.5836948729845099</v>
      </c>
      <c r="V94">
        <v>3.8702005647678899</v>
      </c>
      <c r="W94">
        <v>2.618222899</v>
      </c>
      <c r="X94">
        <v>2.1920466599999999</v>
      </c>
      <c r="Y94">
        <v>83.722690716562994</v>
      </c>
      <c r="Z94">
        <v>0</v>
      </c>
      <c r="AA94" s="77">
        <f t="shared" si="27"/>
        <v>1.1582999999149024E-5</v>
      </c>
      <c r="AB94" s="62">
        <f t="shared" si="28"/>
        <v>1.2140670000917453E-3</v>
      </c>
      <c r="AC94" s="78">
        <f t="shared" si="29"/>
        <v>0</v>
      </c>
      <c r="AD94" s="78">
        <f t="shared" si="30"/>
        <v>0.17314830369160017</v>
      </c>
      <c r="AE94" s="15">
        <f t="shared" si="31"/>
        <v>-1.8536529490020826E-5</v>
      </c>
      <c r="AF94" s="15">
        <f t="shared" si="32"/>
        <v>0.47523304</v>
      </c>
      <c r="AG94" s="15">
        <f t="shared" si="33"/>
        <v>0.39757118400000024</v>
      </c>
      <c r="AH94" s="78">
        <f t="shared" si="34"/>
        <v>-9.914615503390678E-3</v>
      </c>
      <c r="AI94" s="79">
        <f t="shared" si="35"/>
        <v>0</v>
      </c>
    </row>
    <row r="95" spans="2:35" x14ac:dyDescent="0.25">
      <c r="B95" t="s">
        <v>207</v>
      </c>
      <c r="C95" s="83">
        <v>46064</v>
      </c>
      <c r="D95" t="s">
        <v>107</v>
      </c>
      <c r="E95" t="s">
        <v>130</v>
      </c>
      <c r="F95" t="s">
        <v>131</v>
      </c>
      <c r="G95">
        <v>2.0804800000000001</v>
      </c>
      <c r="H95">
        <v>4.78</v>
      </c>
      <c r="I95">
        <v>8.0743447100000001</v>
      </c>
      <c r="J95">
        <v>441.27050317700002</v>
      </c>
      <c r="K95">
        <v>3.0651565180000002</v>
      </c>
      <c r="L95">
        <v>-13.854131987447699</v>
      </c>
      <c r="M95">
        <v>2.3526427405857699</v>
      </c>
      <c r="N95">
        <v>3.093455939</v>
      </c>
      <c r="O95">
        <v>2.5896178440000002</v>
      </c>
      <c r="P95">
        <v>83.712776101059603</v>
      </c>
      <c r="Q95">
        <v>0</v>
      </c>
      <c r="R95">
        <v>7.9804733260000003</v>
      </c>
      <c r="S95">
        <v>432.87544351899999</v>
      </c>
      <c r="T95">
        <v>3.061600163</v>
      </c>
      <c r="U95">
        <v>-16.5885205439331</v>
      </c>
      <c r="V95">
        <v>2.3951692887029199</v>
      </c>
      <c r="W95">
        <v>2.618222899</v>
      </c>
      <c r="X95">
        <v>2.1920466599999999</v>
      </c>
      <c r="Y95">
        <v>83.722690716562994</v>
      </c>
      <c r="Z95">
        <v>0</v>
      </c>
      <c r="AA95" s="77">
        <f t="shared" si="27"/>
        <v>9.3871383999999836E-2</v>
      </c>
      <c r="AB95" s="62">
        <f t="shared" si="28"/>
        <v>8.3950596580000365</v>
      </c>
      <c r="AC95" s="78">
        <f t="shared" si="29"/>
        <v>3.5563550000001776E-3</v>
      </c>
      <c r="AD95" s="78">
        <f t="shared" si="30"/>
        <v>2.7343885564854009</v>
      </c>
      <c r="AE95" s="15">
        <f t="shared" si="31"/>
        <v>-4.2526548117149954E-2</v>
      </c>
      <c r="AF95" s="15">
        <f t="shared" si="32"/>
        <v>0.47523304</v>
      </c>
      <c r="AG95" s="15">
        <f t="shared" si="33"/>
        <v>0.39757118400000024</v>
      </c>
      <c r="AH95" s="78">
        <f t="shared" si="34"/>
        <v>-9.914615503390678E-3</v>
      </c>
      <c r="AI95" s="79">
        <f t="shared" si="35"/>
        <v>0</v>
      </c>
    </row>
    <row r="96" spans="2:35" x14ac:dyDescent="0.25">
      <c r="B96" t="s">
        <v>207</v>
      </c>
      <c r="C96" s="83">
        <v>46064</v>
      </c>
      <c r="D96" t="s">
        <v>107</v>
      </c>
      <c r="E96" t="s">
        <v>281</v>
      </c>
      <c r="F96" t="s">
        <v>282</v>
      </c>
      <c r="G96">
        <v>6.0869999999999997</v>
      </c>
      <c r="H96">
        <v>101.02652999999999</v>
      </c>
      <c r="I96">
        <v>5.5252684079999996</v>
      </c>
      <c r="J96">
        <v>198.78452070099999</v>
      </c>
      <c r="K96">
        <v>2.4555555560000002</v>
      </c>
      <c r="L96">
        <v>2.235894489299</v>
      </c>
      <c r="M96">
        <v>2.235894489299</v>
      </c>
      <c r="N96">
        <v>0</v>
      </c>
      <c r="O96">
        <v>0</v>
      </c>
      <c r="P96" t="s">
        <v>248</v>
      </c>
      <c r="Q96">
        <v>0</v>
      </c>
      <c r="R96">
        <v>5.5252684079999996</v>
      </c>
      <c r="S96">
        <v>198.78452070099999</v>
      </c>
      <c r="T96">
        <v>2.4555555560000002</v>
      </c>
      <c r="U96">
        <v>2.235894489299</v>
      </c>
      <c r="V96">
        <v>2.235894489299</v>
      </c>
      <c r="W96">
        <v>0</v>
      </c>
      <c r="X96">
        <v>0</v>
      </c>
      <c r="Y96" t="s">
        <v>248</v>
      </c>
      <c r="Z96">
        <v>0</v>
      </c>
      <c r="AA96" s="77">
        <f t="shared" si="27"/>
        <v>0</v>
      </c>
      <c r="AB96" s="62">
        <f t="shared" si="28"/>
        <v>0</v>
      </c>
      <c r="AC96" s="78">
        <f t="shared" si="29"/>
        <v>0</v>
      </c>
      <c r="AD96" s="78">
        <f t="shared" si="30"/>
        <v>0</v>
      </c>
      <c r="AE96" s="15">
        <f t="shared" si="31"/>
        <v>0</v>
      </c>
      <c r="AF96" s="15">
        <f t="shared" si="32"/>
        <v>0</v>
      </c>
      <c r="AG96" s="15">
        <f t="shared" si="33"/>
        <v>0</v>
      </c>
      <c r="AH96" s="78" t="e">
        <f t="shared" si="34"/>
        <v>#VALUE!</v>
      </c>
      <c r="AI96" s="79">
        <f t="shared" si="35"/>
        <v>0</v>
      </c>
    </row>
    <row r="97" spans="2:35" x14ac:dyDescent="0.25">
      <c r="B97" t="s">
        <v>207</v>
      </c>
      <c r="C97" s="83">
        <v>46064</v>
      </c>
      <c r="D97" t="s">
        <v>107</v>
      </c>
      <c r="E97" t="s">
        <v>132</v>
      </c>
      <c r="F97" t="s">
        <v>133</v>
      </c>
      <c r="G97">
        <v>0</v>
      </c>
      <c r="H97">
        <v>13.939120000000001</v>
      </c>
      <c r="I97">
        <v>9.9713370300000008</v>
      </c>
      <c r="J97">
        <v>528.49618273900001</v>
      </c>
      <c r="K97">
        <v>20.032695892</v>
      </c>
      <c r="L97">
        <v>58.865463723678403</v>
      </c>
      <c r="M97">
        <v>18.145834457268499</v>
      </c>
      <c r="N97">
        <v>3.4172771420000001</v>
      </c>
      <c r="O97">
        <v>2.8701380689999998</v>
      </c>
      <c r="P97">
        <v>83.989034243801996</v>
      </c>
      <c r="Q97">
        <v>9.0734231429999994</v>
      </c>
      <c r="R97">
        <v>9.9332979669999997</v>
      </c>
      <c r="S97">
        <v>524.42551952700001</v>
      </c>
      <c r="T97">
        <v>20.090477232000001</v>
      </c>
      <c r="U97">
        <v>58.714277744936503</v>
      </c>
      <c r="V97">
        <v>18.2111059234729</v>
      </c>
      <c r="W97">
        <v>3.062691112</v>
      </c>
      <c r="X97">
        <v>2.5708335259999999</v>
      </c>
      <c r="Y97">
        <v>83.940346315929702</v>
      </c>
      <c r="Z97">
        <v>9.1658938009999993</v>
      </c>
      <c r="AA97" s="77">
        <f t="shared" si="27"/>
        <v>3.803906300000115E-2</v>
      </c>
      <c r="AB97" s="62">
        <f t="shared" si="28"/>
        <v>4.0706632119999995</v>
      </c>
      <c r="AC97" s="78">
        <f t="shared" si="29"/>
        <v>-5.7781340000001791E-2</v>
      </c>
      <c r="AD97" s="78">
        <f t="shared" si="30"/>
        <v>0.15118597874189987</v>
      </c>
      <c r="AE97" s="15">
        <f t="shared" si="31"/>
        <v>-6.5271466204400497E-2</v>
      </c>
      <c r="AF97" s="15">
        <f t="shared" si="32"/>
        <v>0.35458603000000011</v>
      </c>
      <c r="AG97" s="15">
        <f t="shared" si="33"/>
        <v>0.29930454299999987</v>
      </c>
      <c r="AH97" s="78">
        <f t="shared" si="34"/>
        <v>4.8687927872293812E-2</v>
      </c>
      <c r="AI97" s="79">
        <f t="shared" si="35"/>
        <v>-9.2470657999999872E-2</v>
      </c>
    </row>
    <row r="98" spans="2:35" x14ac:dyDescent="0.25">
      <c r="B98" t="s">
        <v>207</v>
      </c>
      <c r="C98" s="83">
        <v>46064</v>
      </c>
      <c r="D98" t="s">
        <v>107</v>
      </c>
      <c r="E98" t="s">
        <v>134</v>
      </c>
      <c r="F98" t="s">
        <v>135</v>
      </c>
      <c r="G98">
        <v>4.3139269999999996</v>
      </c>
      <c r="H98">
        <v>9.2073999999999998</v>
      </c>
      <c r="I98">
        <v>7.8833929610000002</v>
      </c>
      <c r="J98">
        <v>399.37812437399998</v>
      </c>
      <c r="K98">
        <v>4.0098635759999999</v>
      </c>
      <c r="L98">
        <v>-16.232828192540801</v>
      </c>
      <c r="M98">
        <v>2.9631339900514702</v>
      </c>
      <c r="N98">
        <v>3.4172771420000001</v>
      </c>
      <c r="O98">
        <v>2.8701380689999998</v>
      </c>
      <c r="P98">
        <v>83.989034243801996</v>
      </c>
      <c r="Q98">
        <v>0</v>
      </c>
      <c r="R98">
        <v>8.5211628929999996</v>
      </c>
      <c r="S98">
        <v>465.11775760500001</v>
      </c>
      <c r="T98">
        <v>4.0177314949999996</v>
      </c>
      <c r="U98">
        <v>-16.7106773899255</v>
      </c>
      <c r="V98">
        <v>2.9966984925168898</v>
      </c>
      <c r="W98">
        <v>3.062691112</v>
      </c>
      <c r="X98">
        <v>2.5708335259999999</v>
      </c>
      <c r="Y98">
        <v>83.940346315929702</v>
      </c>
      <c r="Z98">
        <v>0</v>
      </c>
      <c r="AA98" s="77">
        <f t="shared" si="27"/>
        <v>-0.63776993199999943</v>
      </c>
      <c r="AB98" s="62">
        <f t="shared" si="28"/>
        <v>-65.739633231000028</v>
      </c>
      <c r="AC98" s="78">
        <f t="shared" si="29"/>
        <v>-7.8679189999997234E-3</v>
      </c>
      <c r="AD98" s="78">
        <f t="shared" si="30"/>
        <v>0.47784919738469966</v>
      </c>
      <c r="AE98" s="15">
        <f t="shared" si="31"/>
        <v>-3.3564502465419643E-2</v>
      </c>
      <c r="AF98" s="15">
        <f t="shared" si="32"/>
        <v>0.35458603000000011</v>
      </c>
      <c r="AG98" s="15">
        <f t="shared" si="33"/>
        <v>0.29930454299999987</v>
      </c>
      <c r="AH98" s="78">
        <f t="shared" si="34"/>
        <v>4.8687927872293812E-2</v>
      </c>
      <c r="AI98" s="79">
        <f t="shared" si="35"/>
        <v>0</v>
      </c>
    </row>
    <row r="99" spans="2:35" x14ac:dyDescent="0.25">
      <c r="B99" t="s">
        <v>207</v>
      </c>
      <c r="C99" s="83">
        <v>46064</v>
      </c>
      <c r="D99" t="s">
        <v>107</v>
      </c>
      <c r="E99" t="s">
        <v>283</v>
      </c>
      <c r="F99" t="s">
        <v>284</v>
      </c>
      <c r="G99">
        <v>7.8959999999999999</v>
      </c>
      <c r="H99">
        <v>100.257965</v>
      </c>
      <c r="I99">
        <v>7.8762486960000002</v>
      </c>
      <c r="J99">
        <v>398.522272628</v>
      </c>
      <c r="K99">
        <v>6.9555555560000002</v>
      </c>
      <c r="L99">
        <v>5.7098685485985996</v>
      </c>
      <c r="M99">
        <v>5.1969469238678503</v>
      </c>
      <c r="N99">
        <v>2.7646730439999998</v>
      </c>
      <c r="O99">
        <v>2.3292515489999999</v>
      </c>
      <c r="P99">
        <v>84.250524815403793</v>
      </c>
      <c r="Q99">
        <v>0</v>
      </c>
      <c r="R99">
        <v>7.8775899909999998</v>
      </c>
      <c r="S99">
        <v>398.06791336200001</v>
      </c>
      <c r="T99">
        <v>7.0388888889999999</v>
      </c>
      <c r="U99">
        <v>5.7102849933169999</v>
      </c>
      <c r="V99">
        <v>5.24333739369236</v>
      </c>
      <c r="W99">
        <v>2.2721860490000001</v>
      </c>
      <c r="X99">
        <v>1.910851732</v>
      </c>
      <c r="Y99">
        <v>84.097503056185701</v>
      </c>
      <c r="Z99">
        <v>0</v>
      </c>
      <c r="AA99" s="77">
        <f t="shared" si="27"/>
        <v>-1.341294999999576E-3</v>
      </c>
      <c r="AB99" s="62">
        <f t="shared" si="28"/>
        <v>0.45435926599998311</v>
      </c>
      <c r="AC99" s="78">
        <f t="shared" si="29"/>
        <v>-8.3333332999999676E-2</v>
      </c>
      <c r="AD99" s="78">
        <f t="shared" si="30"/>
        <v>-4.1644471840029951E-4</v>
      </c>
      <c r="AE99" s="15">
        <f t="shared" si="31"/>
        <v>-4.6390469824509672E-2</v>
      </c>
      <c r="AF99" s="15">
        <f t="shared" si="32"/>
        <v>0.49248699499999971</v>
      </c>
      <c r="AG99" s="15">
        <f t="shared" si="33"/>
        <v>0.41839981699999984</v>
      </c>
      <c r="AH99" s="78">
        <f t="shared" si="34"/>
        <v>0.1530217592180918</v>
      </c>
      <c r="AI99" s="79">
        <f t="shared" si="35"/>
        <v>0</v>
      </c>
    </row>
    <row r="100" spans="2:35" x14ac:dyDescent="0.25">
      <c r="B100" t="s">
        <v>207</v>
      </c>
      <c r="C100" s="83">
        <v>46064</v>
      </c>
      <c r="D100" t="s">
        <v>107</v>
      </c>
      <c r="E100" t="s">
        <v>136</v>
      </c>
      <c r="F100" t="s">
        <v>137</v>
      </c>
      <c r="G100">
        <v>4.3337060000000003</v>
      </c>
      <c r="H100">
        <v>163.4975</v>
      </c>
      <c r="I100">
        <v>11.999041251</v>
      </c>
      <c r="J100">
        <v>823.806028115</v>
      </c>
      <c r="K100">
        <v>4.6581254669999996</v>
      </c>
      <c r="L100">
        <v>-2.3468684322390301</v>
      </c>
      <c r="M100">
        <v>2.3771782271900102</v>
      </c>
      <c r="N100">
        <v>2.532057413</v>
      </c>
      <c r="O100">
        <v>2.1034843990000001</v>
      </c>
      <c r="P100">
        <v>83.074119417686404</v>
      </c>
      <c r="Q100">
        <v>26.779318835000002</v>
      </c>
      <c r="R100">
        <v>11.989046622</v>
      </c>
      <c r="S100">
        <v>822.54461931499998</v>
      </c>
      <c r="T100">
        <v>4.658576922</v>
      </c>
      <c r="U100">
        <v>-2.49138142173428</v>
      </c>
      <c r="V100">
        <v>2.3959085845349199</v>
      </c>
      <c r="W100">
        <v>2.4006868589999999</v>
      </c>
      <c r="X100">
        <v>1.9951091599999999</v>
      </c>
      <c r="Y100">
        <v>83.105764190797402</v>
      </c>
      <c r="Z100">
        <v>25.82216158</v>
      </c>
      <c r="AA100" s="77">
        <f t="shared" si="27"/>
        <v>9.9946289999994775E-3</v>
      </c>
      <c r="AB100" s="62">
        <f t="shared" si="28"/>
        <v>1.2614088000000265</v>
      </c>
      <c r="AC100" s="78">
        <f t="shared" si="29"/>
        <v>-4.5145500000032257E-4</v>
      </c>
      <c r="AD100" s="78">
        <f t="shared" si="30"/>
        <v>0.14451298949524993</v>
      </c>
      <c r="AE100" s="15">
        <f t="shared" si="31"/>
        <v>-1.8730357344909798E-2</v>
      </c>
      <c r="AF100" s="15">
        <f t="shared" si="32"/>
        <v>0.13137055400000008</v>
      </c>
      <c r="AG100" s="15">
        <f t="shared" si="33"/>
        <v>0.10837523900000012</v>
      </c>
      <c r="AH100" s="78">
        <f t="shared" si="34"/>
        <v>-3.1644773110997448E-2</v>
      </c>
      <c r="AI100" s="79">
        <f t="shared" si="35"/>
        <v>0.95715725500000204</v>
      </c>
    </row>
    <row r="101" spans="2:35" x14ac:dyDescent="0.25">
      <c r="B101" t="s">
        <v>207</v>
      </c>
      <c r="C101" s="83">
        <v>46064</v>
      </c>
      <c r="D101" t="s">
        <v>107</v>
      </c>
      <c r="E101" t="s">
        <v>138</v>
      </c>
      <c r="F101" t="s">
        <v>139</v>
      </c>
      <c r="G101">
        <v>5.1593999999999998</v>
      </c>
      <c r="H101">
        <v>275.98269499999998</v>
      </c>
      <c r="I101">
        <v>13.531179556</v>
      </c>
      <c r="J101">
        <v>973.71366101000001</v>
      </c>
      <c r="K101">
        <v>6.9559349360000002</v>
      </c>
      <c r="L101">
        <v>-9.6274974059514999</v>
      </c>
      <c r="M101">
        <v>2.3299286145459202</v>
      </c>
      <c r="N101">
        <v>2.1242220289999998</v>
      </c>
      <c r="O101">
        <v>1.7561359270000001</v>
      </c>
      <c r="P101">
        <v>82.671957216577795</v>
      </c>
      <c r="Q101">
        <v>30.359265123</v>
      </c>
      <c r="R101">
        <v>13.555251753</v>
      </c>
      <c r="S101">
        <v>975.77692532599997</v>
      </c>
      <c r="T101">
        <v>6.94522189</v>
      </c>
      <c r="U101">
        <v>-9.9941922681057793</v>
      </c>
      <c r="V101">
        <v>2.3626240811946499</v>
      </c>
      <c r="W101">
        <v>1.9127048579999999</v>
      </c>
      <c r="X101">
        <v>1.5777209969999999</v>
      </c>
      <c r="Y101">
        <v>82.486379976559903</v>
      </c>
      <c r="Z101">
        <v>30.100171463999999</v>
      </c>
      <c r="AA101" s="77">
        <f t="shared" si="27"/>
        <v>-2.4072197000000628E-2</v>
      </c>
      <c r="AB101" s="62">
        <f t="shared" si="28"/>
        <v>-2.0632643159999589</v>
      </c>
      <c r="AC101" s="78">
        <f t="shared" si="29"/>
        <v>1.0713046000000226E-2</v>
      </c>
      <c r="AD101" s="78">
        <f t="shared" si="30"/>
        <v>0.36669486215427938</v>
      </c>
      <c r="AE101" s="15">
        <f t="shared" si="31"/>
        <v>-3.2695466648729798E-2</v>
      </c>
      <c r="AF101" s="15">
        <f t="shared" si="32"/>
        <v>0.21151717099999989</v>
      </c>
      <c r="AG101" s="15">
        <f t="shared" si="33"/>
        <v>0.17841493000000019</v>
      </c>
      <c r="AH101" s="78">
        <f t="shared" si="34"/>
        <v>0.18557724001789211</v>
      </c>
      <c r="AI101" s="79">
        <f t="shared" si="35"/>
        <v>0.25909365900000125</v>
      </c>
    </row>
    <row r="102" spans="2:35" x14ac:dyDescent="0.25">
      <c r="B102" t="s">
        <v>207</v>
      </c>
      <c r="C102" s="83">
        <v>46064</v>
      </c>
      <c r="D102" t="s">
        <v>107</v>
      </c>
      <c r="E102" t="s">
        <v>203</v>
      </c>
      <c r="F102" t="s">
        <v>204</v>
      </c>
      <c r="G102">
        <v>7.7359999999999998</v>
      </c>
      <c r="H102">
        <v>101.75190000000001</v>
      </c>
      <c r="I102">
        <v>7.4754789500000003</v>
      </c>
      <c r="J102">
        <v>351.19830041900002</v>
      </c>
      <c r="K102">
        <v>8.0388888890000008</v>
      </c>
      <c r="L102">
        <v>6.2058579859442498</v>
      </c>
      <c r="M102">
        <v>5.8366757151463498</v>
      </c>
      <c r="N102">
        <v>1.535276971</v>
      </c>
      <c r="O102">
        <v>1.2616873559999999</v>
      </c>
      <c r="P102">
        <v>82.179787740722901</v>
      </c>
      <c r="Q102">
        <v>0</v>
      </c>
      <c r="R102">
        <v>7.4783451059999999</v>
      </c>
      <c r="S102">
        <v>350.969584785</v>
      </c>
      <c r="T102">
        <v>8.1222222219999995</v>
      </c>
      <c r="U102">
        <v>6.2525507189546303</v>
      </c>
      <c r="V102">
        <v>5.8800396523308196</v>
      </c>
      <c r="W102">
        <v>1.197372342</v>
      </c>
      <c r="X102">
        <v>0.97732411600000002</v>
      </c>
      <c r="Y102">
        <v>81.6224061403951</v>
      </c>
      <c r="Z102">
        <v>0</v>
      </c>
      <c r="AA102" s="77">
        <f t="shared" si="27"/>
        <v>-2.86615599999962E-3</v>
      </c>
      <c r="AB102" s="62">
        <f t="shared" si="28"/>
        <v>0.22871563400002515</v>
      </c>
      <c r="AC102" s="78">
        <f t="shared" si="29"/>
        <v>-8.3333332999998788E-2</v>
      </c>
      <c r="AD102" s="78">
        <f t="shared" si="30"/>
        <v>-4.6692733010380572E-2</v>
      </c>
      <c r="AE102" s="15">
        <f t="shared" si="31"/>
        <v>-4.3363937184469847E-2</v>
      </c>
      <c r="AF102" s="15">
        <f t="shared" si="32"/>
        <v>0.33790462900000007</v>
      </c>
      <c r="AG102" s="15">
        <f t="shared" si="33"/>
        <v>0.28436323999999991</v>
      </c>
      <c r="AH102" s="78">
        <f t="shared" si="34"/>
        <v>0.55738160032780115</v>
      </c>
      <c r="AI102" s="79">
        <f t="shared" si="35"/>
        <v>0</v>
      </c>
    </row>
    <row r="103" spans="2:35" x14ac:dyDescent="0.25">
      <c r="B103" t="s">
        <v>207</v>
      </c>
      <c r="C103" s="83">
        <v>46064</v>
      </c>
      <c r="D103" t="s">
        <v>107</v>
      </c>
      <c r="E103" t="s">
        <v>205</v>
      </c>
      <c r="F103" t="s">
        <v>206</v>
      </c>
      <c r="G103">
        <v>8.9</v>
      </c>
      <c r="H103">
        <v>100.36409</v>
      </c>
      <c r="I103">
        <v>8.8946180029999997</v>
      </c>
      <c r="J103">
        <v>494.24221526100001</v>
      </c>
      <c r="K103">
        <v>8.0388888890000008</v>
      </c>
      <c r="L103">
        <v>6.1493461097490201</v>
      </c>
      <c r="M103">
        <v>5.5552741065056104</v>
      </c>
      <c r="N103">
        <v>1.535276971</v>
      </c>
      <c r="O103">
        <v>1.2616873559999999</v>
      </c>
      <c r="P103">
        <v>82.179787740722901</v>
      </c>
      <c r="Q103">
        <v>0</v>
      </c>
      <c r="R103">
        <v>8.8958290649999991</v>
      </c>
      <c r="S103">
        <v>493.86748389899998</v>
      </c>
      <c r="T103">
        <v>8.1222222219999995</v>
      </c>
      <c r="U103">
        <v>6.1872945313408501</v>
      </c>
      <c r="V103">
        <v>5.5943173997791398</v>
      </c>
      <c r="W103">
        <v>1.197372342</v>
      </c>
      <c r="X103">
        <v>0.97732411600000002</v>
      </c>
      <c r="Y103">
        <v>81.6224061403951</v>
      </c>
      <c r="Z103">
        <v>0</v>
      </c>
      <c r="AA103" s="77">
        <f t="shared" si="27"/>
        <v>-1.2110619999994299E-3</v>
      </c>
      <c r="AB103" s="62">
        <f t="shared" si="28"/>
        <v>0.3747313620000341</v>
      </c>
      <c r="AC103" s="78">
        <f t="shared" si="29"/>
        <v>-8.3333332999998788E-2</v>
      </c>
      <c r="AD103" s="78">
        <f t="shared" si="30"/>
        <v>-3.7948421591829984E-2</v>
      </c>
      <c r="AE103" s="15">
        <f t="shared" si="31"/>
        <v>-3.90432932735294E-2</v>
      </c>
      <c r="AF103" s="15">
        <f t="shared" si="32"/>
        <v>0.33790462900000007</v>
      </c>
      <c r="AG103" s="15">
        <f t="shared" si="33"/>
        <v>0.28436323999999991</v>
      </c>
      <c r="AH103" s="78">
        <f t="shared" si="34"/>
        <v>0.55738160032780115</v>
      </c>
      <c r="AI103" s="79">
        <f t="shared" si="35"/>
        <v>0</v>
      </c>
    </row>
    <row r="104" spans="2:35" x14ac:dyDescent="0.25">
      <c r="B104" t="s">
        <v>207</v>
      </c>
      <c r="C104" s="83">
        <v>46064</v>
      </c>
      <c r="D104" t="s">
        <v>107</v>
      </c>
      <c r="E104" t="s">
        <v>285</v>
      </c>
      <c r="F104" t="s">
        <v>286</v>
      </c>
      <c r="G104">
        <v>5.0713400000000002</v>
      </c>
      <c r="H104">
        <v>100.25</v>
      </c>
      <c r="I104">
        <v>4.6467688410000001</v>
      </c>
      <c r="J104">
        <v>109.875460265</v>
      </c>
      <c r="K104">
        <v>1.756455286</v>
      </c>
      <c r="L104">
        <v>3.0850950623443701E-2</v>
      </c>
      <c r="M104">
        <v>1.6443312807980099</v>
      </c>
      <c r="N104">
        <v>0.248497474</v>
      </c>
      <c r="O104">
        <v>0.20522094599999999</v>
      </c>
      <c r="P104">
        <v>82.584721163000594</v>
      </c>
      <c r="Q104">
        <v>0</v>
      </c>
      <c r="R104">
        <v>4.6467688750000002</v>
      </c>
      <c r="S104">
        <v>109.875449385</v>
      </c>
      <c r="T104">
        <v>1.756458565</v>
      </c>
      <c r="U104">
        <v>3.0850877805479002E-2</v>
      </c>
      <c r="V104">
        <v>1.64433425436409</v>
      </c>
      <c r="W104">
        <v>0.24829717700000001</v>
      </c>
      <c r="X104">
        <v>0.20505063200000001</v>
      </c>
      <c r="Y104">
        <v>82.582748010864407</v>
      </c>
      <c r="Z104">
        <v>0</v>
      </c>
      <c r="AA104" s="77">
        <f t="shared" si="27"/>
        <v>-3.4000000148637355E-8</v>
      </c>
      <c r="AB104" s="62">
        <f t="shared" si="28"/>
        <v>1.0880000004931389E-5</v>
      </c>
      <c r="AC104" s="78">
        <f t="shared" si="29"/>
        <v>-3.2789999999671693E-6</v>
      </c>
      <c r="AD104" s="78">
        <f t="shared" si="30"/>
        <v>7.2817964699711801E-8</v>
      </c>
      <c r="AE104" s="15">
        <f t="shared" si="31"/>
        <v>-2.9735660800334074E-6</v>
      </c>
      <c r="AF104" s="15">
        <f t="shared" si="32"/>
        <v>2.0029699999998818E-4</v>
      </c>
      <c r="AG104" s="15">
        <f t="shared" si="33"/>
        <v>1.7031399999997698E-4</v>
      </c>
      <c r="AH104" s="78">
        <f t="shared" si="34"/>
        <v>1.9731521361876503E-3</v>
      </c>
      <c r="AI104" s="79">
        <f t="shared" si="35"/>
        <v>0</v>
      </c>
    </row>
    <row r="105" spans="2:35" x14ac:dyDescent="0.25">
      <c r="B105" t="s">
        <v>207</v>
      </c>
      <c r="C105" s="83">
        <v>46064</v>
      </c>
      <c r="D105" t="s">
        <v>107</v>
      </c>
      <c r="E105" t="s">
        <v>287</v>
      </c>
      <c r="F105" t="s">
        <v>288</v>
      </c>
      <c r="G105">
        <v>1</v>
      </c>
      <c r="H105">
        <v>1.6850000000000001</v>
      </c>
      <c r="I105">
        <v>4.3600830960000003</v>
      </c>
      <c r="J105">
        <v>83.42219978</v>
      </c>
      <c r="K105">
        <v>1.7565553490000001</v>
      </c>
      <c r="L105">
        <v>1.20671637982195</v>
      </c>
      <c r="M105">
        <v>1.21055020771514</v>
      </c>
      <c r="N105">
        <v>0.248497474</v>
      </c>
      <c r="O105">
        <v>0.20522094599999999</v>
      </c>
      <c r="P105">
        <v>82.584721163000594</v>
      </c>
      <c r="Q105">
        <v>0</v>
      </c>
      <c r="R105">
        <v>4.3602163100000002</v>
      </c>
      <c r="S105">
        <v>83.435521883999996</v>
      </c>
      <c r="T105">
        <v>1.7565582689999999</v>
      </c>
      <c r="U105">
        <v>1.2067220771513201</v>
      </c>
      <c r="V105">
        <v>1.2105498516320501</v>
      </c>
      <c r="W105">
        <v>0.24829717700000001</v>
      </c>
      <c r="X105">
        <v>0.20505063200000001</v>
      </c>
      <c r="Y105">
        <v>82.582748010864407</v>
      </c>
      <c r="Z105">
        <v>0</v>
      </c>
      <c r="AA105" s="77">
        <f t="shared" si="27"/>
        <v>-1.3321399999988159E-4</v>
      </c>
      <c r="AB105" s="62">
        <f t="shared" si="28"/>
        <v>-1.3322103999996671E-2</v>
      </c>
      <c r="AC105" s="78">
        <f t="shared" si="29"/>
        <v>-2.9199999997953086E-6</v>
      </c>
      <c r="AD105" s="78">
        <f t="shared" si="30"/>
        <v>-5.6973293700579575E-6</v>
      </c>
      <c r="AE105" s="15">
        <f t="shared" si="31"/>
        <v>3.5608308990298099E-7</v>
      </c>
      <c r="AF105" s="15">
        <f t="shared" si="32"/>
        <v>2.0029699999998818E-4</v>
      </c>
      <c r="AG105" s="15">
        <f t="shared" si="33"/>
        <v>1.7031399999997698E-4</v>
      </c>
      <c r="AH105" s="78">
        <f t="shared" si="34"/>
        <v>1.9731521361876503E-3</v>
      </c>
      <c r="AI105" s="79">
        <f t="shared" si="35"/>
        <v>0</v>
      </c>
    </row>
    <row r="106" spans="2:35" x14ac:dyDescent="0.25">
      <c r="B106" t="s">
        <v>207</v>
      </c>
      <c r="C106" s="83">
        <v>46064</v>
      </c>
      <c r="D106" t="s">
        <v>107</v>
      </c>
      <c r="E106" t="s">
        <v>289</v>
      </c>
      <c r="F106" t="s">
        <v>290</v>
      </c>
      <c r="G106">
        <v>7.12134</v>
      </c>
      <c r="H106">
        <v>100.125</v>
      </c>
      <c r="I106">
        <v>6.8152764709999998</v>
      </c>
      <c r="J106">
        <v>324.92576138800001</v>
      </c>
      <c r="K106">
        <v>2.9555555560000002</v>
      </c>
      <c r="L106">
        <v>-1.5966103370779E-2</v>
      </c>
      <c r="M106">
        <v>2.6298357942571702</v>
      </c>
      <c r="N106">
        <v>0.248497474</v>
      </c>
      <c r="O106">
        <v>0.20522094599999999</v>
      </c>
      <c r="P106">
        <v>82.584721163000594</v>
      </c>
      <c r="Q106">
        <v>0</v>
      </c>
      <c r="R106">
        <v>6.8152764709999998</v>
      </c>
      <c r="S106">
        <v>324.92576138800001</v>
      </c>
      <c r="T106">
        <v>2.9555555560000002</v>
      </c>
      <c r="U106">
        <v>-1.5966103370779E-2</v>
      </c>
      <c r="V106">
        <v>2.6298357942571702</v>
      </c>
      <c r="W106">
        <v>0.24829717700000001</v>
      </c>
      <c r="X106">
        <v>0.20505063200000001</v>
      </c>
      <c r="Y106">
        <v>82.582748010864407</v>
      </c>
      <c r="Z106">
        <v>0</v>
      </c>
      <c r="AA106" s="77">
        <f t="shared" si="27"/>
        <v>0</v>
      </c>
      <c r="AB106" s="62">
        <f t="shared" si="28"/>
        <v>0</v>
      </c>
      <c r="AC106" s="78">
        <f t="shared" si="29"/>
        <v>0</v>
      </c>
      <c r="AD106" s="78">
        <f t="shared" si="30"/>
        <v>0</v>
      </c>
      <c r="AE106" s="15">
        <f t="shared" si="31"/>
        <v>0</v>
      </c>
      <c r="AF106" s="15">
        <f t="shared" si="32"/>
        <v>2.0029699999998818E-4</v>
      </c>
      <c r="AG106" s="15">
        <f t="shared" si="33"/>
        <v>1.7031399999997698E-4</v>
      </c>
      <c r="AH106" s="78">
        <f t="shared" si="34"/>
        <v>1.9731521361876503E-3</v>
      </c>
      <c r="AI106" s="79">
        <f t="shared" si="35"/>
        <v>0</v>
      </c>
    </row>
    <row r="107" spans="2:35" x14ac:dyDescent="0.25">
      <c r="B107" t="s">
        <v>207</v>
      </c>
      <c r="C107" s="83">
        <v>46064</v>
      </c>
      <c r="D107" t="s">
        <v>107</v>
      </c>
      <c r="E107" t="s">
        <v>291</v>
      </c>
      <c r="F107" t="s">
        <v>292</v>
      </c>
      <c r="G107">
        <v>6.12134</v>
      </c>
      <c r="H107">
        <v>100</v>
      </c>
      <c r="I107">
        <v>5.8389459339999998</v>
      </c>
      <c r="J107">
        <v>228.56598774099999</v>
      </c>
      <c r="K107">
        <v>2.620656705</v>
      </c>
      <c r="L107">
        <v>-2.79978000008896E-4</v>
      </c>
      <c r="M107">
        <v>2.3907664190000002</v>
      </c>
      <c r="N107">
        <v>0.248497474</v>
      </c>
      <c r="O107">
        <v>0.20522094599999999</v>
      </c>
      <c r="P107">
        <v>82.584721163000594</v>
      </c>
      <c r="Q107">
        <v>0</v>
      </c>
      <c r="R107">
        <v>5.8389459329999998</v>
      </c>
      <c r="S107">
        <v>228.565987183</v>
      </c>
      <c r="T107">
        <v>2.6206568049999999</v>
      </c>
      <c r="U107">
        <v>-2.7998099999138E-4</v>
      </c>
      <c r="V107">
        <v>2.3907665059999901</v>
      </c>
      <c r="W107">
        <v>0.24829717700000001</v>
      </c>
      <c r="X107">
        <v>0.20505063200000001</v>
      </c>
      <c r="Y107">
        <v>82.582748010864407</v>
      </c>
      <c r="Z107">
        <v>0</v>
      </c>
      <c r="AA107" s="77">
        <f t="shared" si="27"/>
        <v>1.000000082740371E-9</v>
      </c>
      <c r="AB107" s="62">
        <f t="shared" si="28"/>
        <v>5.579999822202808E-7</v>
      </c>
      <c r="AC107" s="78">
        <f t="shared" si="29"/>
        <v>-9.9999999836342113E-8</v>
      </c>
      <c r="AD107" s="78">
        <f t="shared" si="30"/>
        <v>2.9999824840021977E-9</v>
      </c>
      <c r="AE107" s="15">
        <f t="shared" si="31"/>
        <v>-8.6999989878933093E-8</v>
      </c>
      <c r="AF107" s="15">
        <f t="shared" si="32"/>
        <v>2.0029699999998818E-4</v>
      </c>
      <c r="AG107" s="15">
        <f t="shared" si="33"/>
        <v>1.7031399999997698E-4</v>
      </c>
      <c r="AH107" s="78">
        <f t="shared" si="34"/>
        <v>1.9731521361876503E-3</v>
      </c>
      <c r="AI107" s="79">
        <f t="shared" si="35"/>
        <v>0</v>
      </c>
    </row>
    <row r="108" spans="2:35" x14ac:dyDescent="0.25">
      <c r="B108" t="s">
        <v>207</v>
      </c>
      <c r="C108" s="83">
        <v>46064</v>
      </c>
      <c r="D108" t="s">
        <v>107</v>
      </c>
      <c r="E108" t="s">
        <v>180</v>
      </c>
      <c r="F108" t="s">
        <v>181</v>
      </c>
      <c r="G108">
        <v>7.1972800000000001</v>
      </c>
      <c r="H108">
        <v>101.00416</v>
      </c>
      <c r="I108">
        <v>6.1828166280000003</v>
      </c>
      <c r="J108">
        <v>270.43304788199998</v>
      </c>
      <c r="K108">
        <v>1.2888888890000001</v>
      </c>
      <c r="L108">
        <v>1.55170638516384E-2</v>
      </c>
      <c r="M108">
        <v>1.2091977845269</v>
      </c>
      <c r="N108">
        <v>2.7363094050000001</v>
      </c>
      <c r="O108">
        <v>2.0514447489999998</v>
      </c>
      <c r="P108">
        <v>74.971227495378898</v>
      </c>
      <c r="Q108">
        <v>0</v>
      </c>
      <c r="R108">
        <v>6.1828166280000003</v>
      </c>
      <c r="S108">
        <v>270.43304788199998</v>
      </c>
      <c r="T108">
        <v>1.2888888890000001</v>
      </c>
      <c r="U108">
        <v>1.55170638516384E-2</v>
      </c>
      <c r="V108">
        <v>1.2091977845269</v>
      </c>
      <c r="W108">
        <v>2.736338081</v>
      </c>
      <c r="X108">
        <v>2.0514950679999999</v>
      </c>
      <c r="Y108">
        <v>74.972280736972294</v>
      </c>
      <c r="Z108">
        <v>0</v>
      </c>
      <c r="AA108" s="77">
        <f t="shared" si="27"/>
        <v>0</v>
      </c>
      <c r="AB108" s="62">
        <f t="shared" si="28"/>
        <v>0</v>
      </c>
      <c r="AC108" s="78">
        <f t="shared" si="29"/>
        <v>0</v>
      </c>
      <c r="AD108" s="78">
        <f t="shared" si="30"/>
        <v>0</v>
      </c>
      <c r="AE108" s="15">
        <f t="shared" si="31"/>
        <v>0</v>
      </c>
      <c r="AF108" s="15">
        <f t="shared" si="32"/>
        <v>-2.8675999999894231E-5</v>
      </c>
      <c r="AG108" s="15">
        <f t="shared" si="33"/>
        <v>-5.0319000000076386E-5</v>
      </c>
      <c r="AH108" s="78">
        <f t="shared" si="34"/>
        <v>-1.0532415933965922E-3</v>
      </c>
      <c r="AI108" s="79">
        <f t="shared" si="35"/>
        <v>0</v>
      </c>
    </row>
    <row r="109" spans="2:35" x14ac:dyDescent="0.25">
      <c r="B109" t="s">
        <v>207</v>
      </c>
      <c r="C109" s="83">
        <v>46064</v>
      </c>
      <c r="D109" t="s">
        <v>107</v>
      </c>
      <c r="E109" t="s">
        <v>293</v>
      </c>
      <c r="F109" t="s">
        <v>294</v>
      </c>
      <c r="G109">
        <v>6.5190000000000001</v>
      </c>
      <c r="H109">
        <v>100.526455</v>
      </c>
      <c r="I109">
        <v>6.3262448449999997</v>
      </c>
      <c r="J109">
        <v>268.33137205399998</v>
      </c>
      <c r="K109">
        <v>3.9555555560000002</v>
      </c>
      <c r="L109">
        <v>3.4069167106310498</v>
      </c>
      <c r="M109">
        <v>3.4069167106310498</v>
      </c>
      <c r="N109">
        <v>0.43123150799999999</v>
      </c>
      <c r="O109">
        <v>0.25781064599999998</v>
      </c>
      <c r="P109">
        <v>59.784742352360801</v>
      </c>
      <c r="Q109">
        <v>0</v>
      </c>
      <c r="R109">
        <v>6.3262448449999997</v>
      </c>
      <c r="S109">
        <v>268.33137205399998</v>
      </c>
      <c r="T109">
        <v>3.9555555560000002</v>
      </c>
      <c r="U109">
        <v>3.4069167106310498</v>
      </c>
      <c r="V109">
        <v>3.4069167106310498</v>
      </c>
      <c r="W109">
        <v>0.43138067299999999</v>
      </c>
      <c r="X109">
        <v>0.25786677600000002</v>
      </c>
      <c r="Y109">
        <v>59.777081390013997</v>
      </c>
      <c r="Z109">
        <v>0</v>
      </c>
      <c r="AA109" s="77">
        <f t="shared" si="27"/>
        <v>0</v>
      </c>
      <c r="AB109" s="62">
        <f t="shared" si="28"/>
        <v>0</v>
      </c>
      <c r="AC109" s="78">
        <f t="shared" si="29"/>
        <v>0</v>
      </c>
      <c r="AD109" s="78">
        <f t="shared" si="30"/>
        <v>0</v>
      </c>
      <c r="AE109" s="15">
        <f t="shared" si="31"/>
        <v>0</v>
      </c>
      <c r="AF109" s="15">
        <f t="shared" si="32"/>
        <v>-1.4916500000000665E-4</v>
      </c>
      <c r="AG109" s="15">
        <f t="shared" si="33"/>
        <v>-5.613000000004309E-5</v>
      </c>
      <c r="AH109" s="78">
        <f t="shared" si="34"/>
        <v>7.6609623468044674E-3</v>
      </c>
      <c r="AI109" s="79">
        <f t="shared" si="35"/>
        <v>0</v>
      </c>
    </row>
    <row r="110" spans="2:35" x14ac:dyDescent="0.25">
      <c r="B110" t="s">
        <v>207</v>
      </c>
      <c r="C110" s="83">
        <v>46064</v>
      </c>
      <c r="D110" t="s">
        <v>107</v>
      </c>
      <c r="E110" t="s">
        <v>295</v>
      </c>
      <c r="F110" t="s">
        <v>296</v>
      </c>
      <c r="G110">
        <v>6.694</v>
      </c>
      <c r="H110">
        <v>100.61547</v>
      </c>
      <c r="I110">
        <v>6.3364117210000002</v>
      </c>
      <c r="J110">
        <v>279.02828024500002</v>
      </c>
      <c r="K110">
        <v>2.622222222</v>
      </c>
      <c r="L110">
        <v>2.34977643696342</v>
      </c>
      <c r="M110">
        <v>2.34977643696342</v>
      </c>
      <c r="N110">
        <v>0.57825361200000003</v>
      </c>
      <c r="O110">
        <v>0.39099430299999999</v>
      </c>
      <c r="P110">
        <v>67.616404789530307</v>
      </c>
      <c r="Q110">
        <v>0</v>
      </c>
      <c r="R110">
        <v>6.3364117210000002</v>
      </c>
      <c r="S110">
        <v>279.02828024500002</v>
      </c>
      <c r="T110">
        <v>2.622222222</v>
      </c>
      <c r="U110">
        <v>2.34977643696342</v>
      </c>
      <c r="V110">
        <v>2.34977643696342</v>
      </c>
      <c r="W110">
        <v>0.57825854499999996</v>
      </c>
      <c r="X110">
        <v>0.39099785300000001</v>
      </c>
      <c r="Y110">
        <v>67.616441880681606</v>
      </c>
      <c r="Z110">
        <v>0</v>
      </c>
      <c r="AA110" s="77">
        <f t="shared" si="27"/>
        <v>0</v>
      </c>
      <c r="AB110" s="62">
        <f t="shared" si="28"/>
        <v>0</v>
      </c>
      <c r="AC110" s="78">
        <f t="shared" si="29"/>
        <v>0</v>
      </c>
      <c r="AD110" s="78">
        <f t="shared" si="30"/>
        <v>0</v>
      </c>
      <c r="AE110" s="15">
        <f t="shared" si="31"/>
        <v>0</v>
      </c>
      <c r="AF110" s="15">
        <f t="shared" si="32"/>
        <v>-4.932999999929244E-6</v>
      </c>
      <c r="AG110" s="15">
        <f t="shared" si="33"/>
        <v>-3.5500000000188159E-6</v>
      </c>
      <c r="AH110" s="78">
        <f t="shared" si="34"/>
        <v>-3.7091151298795921E-5</v>
      </c>
      <c r="AI110" s="79">
        <f t="shared" si="35"/>
        <v>0</v>
      </c>
    </row>
    <row r="111" spans="2:35" x14ac:dyDescent="0.25">
      <c r="B111" t="s">
        <v>207</v>
      </c>
      <c r="C111" s="83">
        <v>46064</v>
      </c>
      <c r="D111" t="s">
        <v>107</v>
      </c>
      <c r="E111" t="s">
        <v>297</v>
      </c>
      <c r="F111" t="s">
        <v>298</v>
      </c>
      <c r="G111">
        <v>7.1189999999999998</v>
      </c>
      <c r="H111">
        <v>101.452675</v>
      </c>
      <c r="I111">
        <v>6.2059046840000001</v>
      </c>
      <c r="J111">
        <v>271.563362407</v>
      </c>
      <c r="K111">
        <v>1.5388888890000001</v>
      </c>
      <c r="L111">
        <v>1.4189259267929599</v>
      </c>
      <c r="M111">
        <v>1.4189259267929599</v>
      </c>
      <c r="N111">
        <v>0</v>
      </c>
      <c r="O111">
        <v>0</v>
      </c>
      <c r="P111" t="s">
        <v>248</v>
      </c>
      <c r="Q111">
        <v>0</v>
      </c>
      <c r="R111">
        <v>6.2059046840000001</v>
      </c>
      <c r="S111">
        <v>271.563362407</v>
      </c>
      <c r="T111">
        <v>1.5388888890000001</v>
      </c>
      <c r="U111">
        <v>1.4189259267929599</v>
      </c>
      <c r="V111">
        <v>1.4189259267929599</v>
      </c>
      <c r="W111">
        <v>0</v>
      </c>
      <c r="X111">
        <v>0</v>
      </c>
      <c r="Y111" t="s">
        <v>248</v>
      </c>
      <c r="Z111">
        <v>0</v>
      </c>
      <c r="AA111" s="77">
        <f t="shared" si="27"/>
        <v>0</v>
      </c>
      <c r="AB111" s="62">
        <f t="shared" si="28"/>
        <v>0</v>
      </c>
      <c r="AC111" s="78">
        <f t="shared" si="29"/>
        <v>0</v>
      </c>
      <c r="AD111" s="78">
        <f t="shared" si="30"/>
        <v>0</v>
      </c>
      <c r="AE111" s="15">
        <f t="shared" si="31"/>
        <v>0</v>
      </c>
      <c r="AF111" s="15">
        <f t="shared" si="32"/>
        <v>0</v>
      </c>
      <c r="AG111" s="15">
        <f t="shared" si="33"/>
        <v>0</v>
      </c>
      <c r="AH111" s="78" t="e">
        <f t="shared" si="34"/>
        <v>#VALUE!</v>
      </c>
      <c r="AI111" s="79">
        <f t="shared" si="35"/>
        <v>0</v>
      </c>
    </row>
    <row r="112" spans="2:35" x14ac:dyDescent="0.25">
      <c r="B112" t="s">
        <v>207</v>
      </c>
      <c r="C112" s="83">
        <v>46064</v>
      </c>
      <c r="D112" t="s">
        <v>107</v>
      </c>
      <c r="E112" t="s">
        <v>299</v>
      </c>
      <c r="F112" t="s">
        <v>300</v>
      </c>
      <c r="G112">
        <v>9.0540000000000003</v>
      </c>
      <c r="H112">
        <v>100.726585</v>
      </c>
      <c r="I112">
        <v>8.7016534070000002</v>
      </c>
      <c r="J112">
        <v>521.10575044100005</v>
      </c>
      <c r="K112">
        <v>1.5388888890000001</v>
      </c>
      <c r="L112">
        <v>1.3826915942797</v>
      </c>
      <c r="M112">
        <v>1.3826915942797</v>
      </c>
      <c r="N112">
        <v>0</v>
      </c>
      <c r="O112">
        <v>0</v>
      </c>
      <c r="P112" t="s">
        <v>248</v>
      </c>
      <c r="Q112">
        <v>0</v>
      </c>
      <c r="R112">
        <v>8.7016534070000002</v>
      </c>
      <c r="S112">
        <v>521.10575044100005</v>
      </c>
      <c r="T112">
        <v>1.5388888890000001</v>
      </c>
      <c r="U112">
        <v>1.3826915942797</v>
      </c>
      <c r="V112">
        <v>1.3826915942797</v>
      </c>
      <c r="W112">
        <v>0</v>
      </c>
      <c r="X112">
        <v>0</v>
      </c>
      <c r="Y112" t="s">
        <v>248</v>
      </c>
      <c r="Z112">
        <v>0</v>
      </c>
      <c r="AA112" s="77">
        <f t="shared" si="27"/>
        <v>0</v>
      </c>
      <c r="AB112" s="62">
        <f t="shared" si="28"/>
        <v>0</v>
      </c>
      <c r="AC112" s="78">
        <f t="shared" si="29"/>
        <v>0</v>
      </c>
      <c r="AD112" s="78">
        <f t="shared" si="30"/>
        <v>0</v>
      </c>
      <c r="AE112" s="15">
        <f t="shared" si="31"/>
        <v>0</v>
      </c>
      <c r="AF112" s="15">
        <f t="shared" si="32"/>
        <v>0</v>
      </c>
      <c r="AG112" s="15">
        <f t="shared" si="33"/>
        <v>0</v>
      </c>
      <c r="AH112" s="78" t="e">
        <f t="shared" si="34"/>
        <v>#VALUE!</v>
      </c>
      <c r="AI112" s="79">
        <f t="shared" si="35"/>
        <v>0</v>
      </c>
    </row>
    <row r="113" spans="2:35" x14ac:dyDescent="0.25">
      <c r="B113" t="s">
        <v>207</v>
      </c>
      <c r="C113" s="83">
        <v>46064</v>
      </c>
      <c r="D113" t="s">
        <v>107</v>
      </c>
      <c r="E113" t="s">
        <v>182</v>
      </c>
      <c r="F113" t="s">
        <v>183</v>
      </c>
      <c r="G113">
        <v>6.5640000000000001</v>
      </c>
      <c r="H113">
        <v>100.31922</v>
      </c>
      <c r="I113">
        <v>6.414015515</v>
      </c>
      <c r="J113">
        <v>279.80723935700001</v>
      </c>
      <c r="K113">
        <v>3.622222222</v>
      </c>
      <c r="L113">
        <v>3.1482417516802901</v>
      </c>
      <c r="M113">
        <v>3.1482417516802901</v>
      </c>
      <c r="N113">
        <v>0.40832075499999998</v>
      </c>
      <c r="O113">
        <v>0.26041402899999999</v>
      </c>
      <c r="P113">
        <v>63.776828831539603</v>
      </c>
      <c r="Q113">
        <v>0</v>
      </c>
      <c r="R113">
        <v>6.414015515</v>
      </c>
      <c r="S113">
        <v>279.80723935700001</v>
      </c>
      <c r="T113">
        <v>3.622222222</v>
      </c>
      <c r="U113">
        <v>3.1482417516802901</v>
      </c>
      <c r="V113">
        <v>3.1482417516802901</v>
      </c>
      <c r="W113">
        <v>0.408257017</v>
      </c>
      <c r="X113">
        <v>0.260350462</v>
      </c>
      <c r="Y113">
        <v>63.771215474295197</v>
      </c>
      <c r="Z113">
        <v>0</v>
      </c>
      <c r="AA113" s="77">
        <f t="shared" si="27"/>
        <v>0</v>
      </c>
      <c r="AB113" s="62">
        <f t="shared" si="28"/>
        <v>0</v>
      </c>
      <c r="AC113" s="78">
        <f t="shared" si="29"/>
        <v>0</v>
      </c>
      <c r="AD113" s="78">
        <f t="shared" si="30"/>
        <v>0</v>
      </c>
      <c r="AE113" s="15">
        <f t="shared" si="31"/>
        <v>0</v>
      </c>
      <c r="AF113" s="15">
        <f t="shared" si="32"/>
        <v>6.3737999999979866E-5</v>
      </c>
      <c r="AG113" s="15">
        <f t="shared" si="33"/>
        <v>6.3566999999986606E-5</v>
      </c>
      <c r="AH113" s="78">
        <f t="shared" si="34"/>
        <v>5.6133572444068136E-3</v>
      </c>
      <c r="AI113" s="79">
        <f t="shared" si="35"/>
        <v>0</v>
      </c>
    </row>
    <row r="114" spans="2:35" x14ac:dyDescent="0.25">
      <c r="B114" t="s">
        <v>207</v>
      </c>
      <c r="C114" s="83">
        <v>46064</v>
      </c>
      <c r="D114" t="s">
        <v>107</v>
      </c>
      <c r="E114" t="s">
        <v>184</v>
      </c>
      <c r="F114" t="s">
        <v>185</v>
      </c>
      <c r="G114">
        <v>6.7320000000000002</v>
      </c>
      <c r="H114">
        <v>101.2649</v>
      </c>
      <c r="I114">
        <v>5.9749346560000003</v>
      </c>
      <c r="J114">
        <v>245.096579112</v>
      </c>
      <c r="K114">
        <v>2.2055555560000002</v>
      </c>
      <c r="L114">
        <v>2.0064578753348901</v>
      </c>
      <c r="M114">
        <v>2.0064578753348901</v>
      </c>
      <c r="N114">
        <v>0.46090381899999999</v>
      </c>
      <c r="O114">
        <v>0.32192087000000003</v>
      </c>
      <c r="P114">
        <v>69.845563592520406</v>
      </c>
      <c r="Q114">
        <v>0</v>
      </c>
      <c r="R114">
        <v>5.9749346560000003</v>
      </c>
      <c r="S114">
        <v>245.096579112</v>
      </c>
      <c r="T114">
        <v>2.2055555560000002</v>
      </c>
      <c r="U114">
        <v>2.0064578753348901</v>
      </c>
      <c r="V114">
        <v>2.0064578753348901</v>
      </c>
      <c r="W114">
        <v>0.46085017700000003</v>
      </c>
      <c r="X114">
        <v>0.32186801700000001</v>
      </c>
      <c r="Y114">
        <v>69.842224884292506</v>
      </c>
      <c r="Z114">
        <v>0</v>
      </c>
      <c r="AA114" s="77">
        <f t="shared" si="27"/>
        <v>0</v>
      </c>
      <c r="AB114" s="62">
        <f t="shared" si="28"/>
        <v>0</v>
      </c>
      <c r="AC114" s="78">
        <f t="shared" si="29"/>
        <v>0</v>
      </c>
      <c r="AD114" s="78">
        <f t="shared" si="30"/>
        <v>0</v>
      </c>
      <c r="AE114" s="15">
        <f t="shared" si="31"/>
        <v>0</v>
      </c>
      <c r="AF114" s="15">
        <f t="shared" si="32"/>
        <v>5.3641999999964884E-5</v>
      </c>
      <c r="AG114" s="15">
        <f t="shared" si="33"/>
        <v>5.2853000000019357E-5</v>
      </c>
      <c r="AH114" s="78">
        <f t="shared" si="34"/>
        <v>3.3387082279006108E-3</v>
      </c>
      <c r="AI114" s="79">
        <f t="shared" si="35"/>
        <v>0</v>
      </c>
    </row>
    <row r="115" spans="2:35" x14ac:dyDescent="0.25">
      <c r="B115" t="s">
        <v>207</v>
      </c>
      <c r="C115" s="83">
        <v>46064</v>
      </c>
      <c r="D115" t="s">
        <v>107</v>
      </c>
      <c r="E115" t="s">
        <v>186</v>
      </c>
      <c r="F115" t="s">
        <v>187</v>
      </c>
      <c r="G115">
        <v>6.97</v>
      </c>
      <c r="H115">
        <v>101.55336</v>
      </c>
      <c r="I115">
        <v>6.1886313279999996</v>
      </c>
      <c r="J115">
        <v>264.69988604500003</v>
      </c>
      <c r="K115">
        <v>2.5388888889999999</v>
      </c>
      <c r="L115">
        <v>2.2769414148384599</v>
      </c>
      <c r="M115">
        <v>2.2769414148384599</v>
      </c>
      <c r="N115">
        <v>0.37904400799999999</v>
      </c>
      <c r="O115">
        <v>0.26358565299999998</v>
      </c>
      <c r="P115">
        <v>69.539591033450606</v>
      </c>
      <c r="Q115">
        <v>0</v>
      </c>
      <c r="R115">
        <v>6.1886313279999996</v>
      </c>
      <c r="S115">
        <v>264.69988604500003</v>
      </c>
      <c r="T115">
        <v>2.5388888889999999</v>
      </c>
      <c r="U115">
        <v>2.2769414148384599</v>
      </c>
      <c r="V115">
        <v>2.2769414148384599</v>
      </c>
      <c r="W115">
        <v>0.37904280299999998</v>
      </c>
      <c r="X115">
        <v>0.26358524300000002</v>
      </c>
      <c r="Y115">
        <v>69.539703936813694</v>
      </c>
      <c r="Z115">
        <v>0</v>
      </c>
      <c r="AA115" s="77">
        <f t="shared" ref="AA115:AA125" si="36">I115-R115</f>
        <v>0</v>
      </c>
      <c r="AB115" s="62">
        <f t="shared" ref="AB115:AB125" si="37">J115-S115</f>
        <v>0</v>
      </c>
      <c r="AC115" s="78">
        <f t="shared" ref="AC115:AC125" si="38">K115-T115</f>
        <v>0</v>
      </c>
      <c r="AD115" s="78">
        <f t="shared" ref="AD115:AD125" si="39">L115-U115</f>
        <v>0</v>
      </c>
      <c r="AE115" s="15">
        <f t="shared" ref="AE115:AE125" si="40">M115-V115</f>
        <v>0</v>
      </c>
      <c r="AF115" s="15">
        <f t="shared" ref="AF115:AF125" si="41">N115-W115</f>
        <v>1.2050000000041194E-6</v>
      </c>
      <c r="AG115" s="15">
        <f t="shared" ref="AG115:AG125" si="42">O115-X115</f>
        <v>4.0999999995072756E-7</v>
      </c>
      <c r="AH115" s="78">
        <f t="shared" ref="AH115:AH125" si="43">P115-Y115</f>
        <v>-1.1290336308888982E-4</v>
      </c>
      <c r="AI115" s="79">
        <f t="shared" ref="AI115:AI125" si="44">Q115-Z115</f>
        <v>0</v>
      </c>
    </row>
    <row r="116" spans="2:35" x14ac:dyDescent="0.25">
      <c r="B116" t="s">
        <v>207</v>
      </c>
      <c r="C116" s="83">
        <v>46064</v>
      </c>
      <c r="D116" t="s">
        <v>107</v>
      </c>
      <c r="E116" t="s">
        <v>188</v>
      </c>
      <c r="F116" t="s">
        <v>189</v>
      </c>
      <c r="G116">
        <v>8.3719999999999999</v>
      </c>
      <c r="H116">
        <v>102.84827</v>
      </c>
      <c r="I116">
        <v>6.2405132779999999</v>
      </c>
      <c r="J116">
        <v>274.60351599799998</v>
      </c>
      <c r="K116">
        <v>1.622222222</v>
      </c>
      <c r="L116">
        <v>1.4863489692145599</v>
      </c>
      <c r="M116">
        <v>1.4863489692145599</v>
      </c>
      <c r="N116">
        <v>2.7239174570000002</v>
      </c>
      <c r="O116">
        <v>2.436409292</v>
      </c>
      <c r="P116">
        <v>89.445048554567805</v>
      </c>
      <c r="Q116">
        <v>0</v>
      </c>
      <c r="R116">
        <v>6.2405132779999999</v>
      </c>
      <c r="S116">
        <v>274.60351599799998</v>
      </c>
      <c r="T116">
        <v>1.622222222</v>
      </c>
      <c r="U116">
        <v>1.4863489692145599</v>
      </c>
      <c r="V116">
        <v>1.4863489692145599</v>
      </c>
      <c r="W116">
        <v>2.7235874259999999</v>
      </c>
      <c r="X116">
        <v>2.4360783339999998</v>
      </c>
      <c r="Y116">
        <v>89.443735521196402</v>
      </c>
      <c r="Z116">
        <v>0</v>
      </c>
      <c r="AA116" s="77">
        <f t="shared" si="36"/>
        <v>0</v>
      </c>
      <c r="AB116" s="62">
        <f t="shared" si="37"/>
        <v>0</v>
      </c>
      <c r="AC116" s="78">
        <f t="shared" si="38"/>
        <v>0</v>
      </c>
      <c r="AD116" s="78">
        <f t="shared" si="39"/>
        <v>0</v>
      </c>
      <c r="AE116" s="15">
        <f t="shared" si="40"/>
        <v>0</v>
      </c>
      <c r="AF116" s="15">
        <f t="shared" si="41"/>
        <v>3.3003100000028596E-4</v>
      </c>
      <c r="AG116" s="15">
        <f t="shared" si="42"/>
        <v>3.3095800000015885E-4</v>
      </c>
      <c r="AH116" s="78">
        <f t="shared" si="43"/>
        <v>1.313033371403094E-3</v>
      </c>
      <c r="AI116" s="79">
        <f t="shared" si="44"/>
        <v>0</v>
      </c>
    </row>
    <row r="117" spans="2:35" x14ac:dyDescent="0.25">
      <c r="B117" t="s">
        <v>207</v>
      </c>
      <c r="C117" s="83">
        <v>46064</v>
      </c>
      <c r="D117" t="s">
        <v>107</v>
      </c>
      <c r="E117" t="s">
        <v>301</v>
      </c>
      <c r="F117" t="s">
        <v>302</v>
      </c>
      <c r="G117">
        <v>7.234</v>
      </c>
      <c r="H117">
        <v>100.87444499999999</v>
      </c>
      <c r="I117">
        <v>6.7624442670000002</v>
      </c>
      <c r="J117">
        <v>321.652446134</v>
      </c>
      <c r="K117">
        <v>2.622222222</v>
      </c>
      <c r="L117">
        <v>2.33079607625102</v>
      </c>
      <c r="M117">
        <v>2.33079607625102</v>
      </c>
      <c r="N117">
        <v>0</v>
      </c>
      <c r="O117">
        <v>-1.6002970000000001E-3</v>
      </c>
      <c r="P117" t="s">
        <v>248</v>
      </c>
      <c r="Q117">
        <v>0</v>
      </c>
      <c r="R117">
        <v>6.7624442670000002</v>
      </c>
      <c r="S117">
        <v>321.652446134</v>
      </c>
      <c r="T117">
        <v>2.622222222</v>
      </c>
      <c r="U117">
        <v>2.33079607625102</v>
      </c>
      <c r="V117">
        <v>2.33079607625102</v>
      </c>
      <c r="W117">
        <v>0</v>
      </c>
      <c r="X117">
        <v>-1.6002970000000001E-3</v>
      </c>
      <c r="Y117" t="s">
        <v>248</v>
      </c>
      <c r="Z117">
        <v>0</v>
      </c>
      <c r="AA117" s="77">
        <f t="shared" si="36"/>
        <v>0</v>
      </c>
      <c r="AB117" s="62">
        <f t="shared" si="37"/>
        <v>0</v>
      </c>
      <c r="AC117" s="78">
        <f t="shared" si="38"/>
        <v>0</v>
      </c>
      <c r="AD117" s="78">
        <f t="shared" si="39"/>
        <v>0</v>
      </c>
      <c r="AE117" s="15">
        <f t="shared" si="40"/>
        <v>0</v>
      </c>
      <c r="AF117" s="15">
        <f t="shared" si="41"/>
        <v>0</v>
      </c>
      <c r="AG117" s="15">
        <f t="shared" si="42"/>
        <v>0</v>
      </c>
      <c r="AH117" s="78" t="e">
        <f t="shared" si="43"/>
        <v>#VALUE!</v>
      </c>
      <c r="AI117" s="79">
        <f t="shared" si="44"/>
        <v>0</v>
      </c>
    </row>
    <row r="118" spans="2:35" x14ac:dyDescent="0.25">
      <c r="B118" t="s">
        <v>207</v>
      </c>
      <c r="C118" s="83">
        <v>46064</v>
      </c>
      <c r="D118" t="s">
        <v>107</v>
      </c>
      <c r="E118" t="s">
        <v>303</v>
      </c>
      <c r="F118" t="s">
        <v>304</v>
      </c>
      <c r="G118">
        <v>8.2249999999999996</v>
      </c>
      <c r="H118">
        <v>100.572715</v>
      </c>
      <c r="I118">
        <v>7.8780946619999996</v>
      </c>
      <c r="J118">
        <v>433.256295615</v>
      </c>
      <c r="K118">
        <v>2.622222222</v>
      </c>
      <c r="L118">
        <v>2.2918626030926998</v>
      </c>
      <c r="M118">
        <v>2.2918626030926998</v>
      </c>
      <c r="N118">
        <v>0</v>
      </c>
      <c r="O118">
        <v>-1.6002970000000001E-3</v>
      </c>
      <c r="P118" t="s">
        <v>248</v>
      </c>
      <c r="Q118">
        <v>0</v>
      </c>
      <c r="R118">
        <v>7.8780946619999996</v>
      </c>
      <c r="S118">
        <v>433.256295615</v>
      </c>
      <c r="T118">
        <v>2.622222222</v>
      </c>
      <c r="U118">
        <v>2.2918626030926998</v>
      </c>
      <c r="V118">
        <v>2.2918626030926998</v>
      </c>
      <c r="W118">
        <v>0</v>
      </c>
      <c r="X118">
        <v>-1.6002970000000001E-3</v>
      </c>
      <c r="Y118" t="s">
        <v>248</v>
      </c>
      <c r="Z118">
        <v>0</v>
      </c>
      <c r="AA118" s="77">
        <f t="shared" si="36"/>
        <v>0</v>
      </c>
      <c r="AB118" s="62">
        <f t="shared" si="37"/>
        <v>0</v>
      </c>
      <c r="AC118" s="78">
        <f t="shared" si="38"/>
        <v>0</v>
      </c>
      <c r="AD118" s="78">
        <f t="shared" si="39"/>
        <v>0</v>
      </c>
      <c r="AE118" s="15">
        <f t="shared" si="40"/>
        <v>0</v>
      </c>
      <c r="AF118" s="15">
        <f t="shared" si="41"/>
        <v>0</v>
      </c>
      <c r="AG118" s="15">
        <f t="shared" si="42"/>
        <v>0</v>
      </c>
      <c r="AH118" s="78" t="e">
        <f t="shared" si="43"/>
        <v>#VALUE!</v>
      </c>
      <c r="AI118" s="79">
        <f t="shared" si="44"/>
        <v>0</v>
      </c>
    </row>
    <row r="119" spans="2:35" x14ac:dyDescent="0.25">
      <c r="B119" t="s">
        <v>207</v>
      </c>
      <c r="C119" s="83">
        <v>46064</v>
      </c>
      <c r="D119" t="s">
        <v>107</v>
      </c>
      <c r="E119" t="s">
        <v>190</v>
      </c>
      <c r="F119" t="s">
        <v>191</v>
      </c>
      <c r="G119">
        <v>8.8670000000000009</v>
      </c>
      <c r="H119">
        <v>102.68478500000001</v>
      </c>
      <c r="I119">
        <v>6.2977069639999996</v>
      </c>
      <c r="J119">
        <v>281.934510461</v>
      </c>
      <c r="K119">
        <v>1.2888888890000001</v>
      </c>
      <c r="L119">
        <v>1.1933333687167</v>
      </c>
      <c r="M119">
        <v>1.1933333687167</v>
      </c>
      <c r="N119">
        <v>5.3087073340000002</v>
      </c>
      <c r="O119">
        <v>4.4432773619999999</v>
      </c>
      <c r="P119">
        <v>83.697915188179806</v>
      </c>
      <c r="Q119">
        <v>0</v>
      </c>
      <c r="R119">
        <v>6.2977069639999996</v>
      </c>
      <c r="S119">
        <v>281.934510461</v>
      </c>
      <c r="T119">
        <v>1.2888888890000001</v>
      </c>
      <c r="U119">
        <v>1.1933333687167</v>
      </c>
      <c r="V119">
        <v>1.1933333687167</v>
      </c>
      <c r="W119">
        <v>5.3086206540000003</v>
      </c>
      <c r="X119">
        <v>4.4432132190000004</v>
      </c>
      <c r="Y119">
        <v>83.698073541044593</v>
      </c>
      <c r="Z119">
        <v>0</v>
      </c>
      <c r="AA119" s="77">
        <f t="shared" si="36"/>
        <v>0</v>
      </c>
      <c r="AB119" s="62">
        <f t="shared" si="37"/>
        <v>0</v>
      </c>
      <c r="AC119" s="78">
        <f t="shared" si="38"/>
        <v>0</v>
      </c>
      <c r="AD119" s="78">
        <f t="shared" si="39"/>
        <v>0</v>
      </c>
      <c r="AE119" s="15">
        <f t="shared" si="40"/>
        <v>0</v>
      </c>
      <c r="AF119" s="15">
        <f t="shared" si="41"/>
        <v>8.6679999999894619E-5</v>
      </c>
      <c r="AG119" s="15">
        <f t="shared" si="42"/>
        <v>6.4142999999461381E-5</v>
      </c>
      <c r="AH119" s="78">
        <f t="shared" si="43"/>
        <v>-1.5835286478704802E-4</v>
      </c>
      <c r="AI119" s="79">
        <f t="shared" si="44"/>
        <v>0</v>
      </c>
    </row>
    <row r="120" spans="2:35" x14ac:dyDescent="0.25">
      <c r="B120" t="s">
        <v>207</v>
      </c>
      <c r="C120" s="83">
        <v>46064</v>
      </c>
      <c r="D120" t="s">
        <v>107</v>
      </c>
      <c r="E120" t="s">
        <v>305</v>
      </c>
      <c r="F120" t="s">
        <v>306</v>
      </c>
      <c r="G120">
        <v>7.4820000000000002</v>
      </c>
      <c r="H120">
        <v>102.16857</v>
      </c>
      <c r="I120">
        <v>5.3963490480000003</v>
      </c>
      <c r="J120">
        <v>191.83649868699999</v>
      </c>
      <c r="K120">
        <v>1.2888888890000001</v>
      </c>
      <c r="L120">
        <v>1.20693917317233</v>
      </c>
      <c r="M120">
        <v>1.20693917317233</v>
      </c>
      <c r="N120">
        <v>5.3087073340000002</v>
      </c>
      <c r="O120">
        <v>4.4432773619999999</v>
      </c>
      <c r="P120">
        <v>83.697915188179806</v>
      </c>
      <c r="Q120">
        <v>0</v>
      </c>
      <c r="R120">
        <v>5.3963490480000003</v>
      </c>
      <c r="S120">
        <v>191.83649868699999</v>
      </c>
      <c r="T120">
        <v>1.2888888890000001</v>
      </c>
      <c r="U120">
        <v>1.20693917317233</v>
      </c>
      <c r="V120">
        <v>1.20693917317233</v>
      </c>
      <c r="W120">
        <v>5.3086206540000003</v>
      </c>
      <c r="X120">
        <v>4.4432132190000004</v>
      </c>
      <c r="Y120">
        <v>83.698073541044593</v>
      </c>
      <c r="Z120">
        <v>0</v>
      </c>
      <c r="AA120" s="77">
        <f t="shared" si="36"/>
        <v>0</v>
      </c>
      <c r="AB120" s="62">
        <f t="shared" si="37"/>
        <v>0</v>
      </c>
      <c r="AC120" s="78">
        <f t="shared" si="38"/>
        <v>0</v>
      </c>
      <c r="AD120" s="78">
        <f t="shared" si="39"/>
        <v>0</v>
      </c>
      <c r="AE120" s="15">
        <f t="shared" si="40"/>
        <v>0</v>
      </c>
      <c r="AF120" s="15">
        <f t="shared" si="41"/>
        <v>8.6679999999894619E-5</v>
      </c>
      <c r="AG120" s="15">
        <f t="shared" si="42"/>
        <v>6.4142999999461381E-5</v>
      </c>
      <c r="AH120" s="78">
        <f t="shared" si="43"/>
        <v>-1.5835286478704802E-4</v>
      </c>
      <c r="AI120" s="79">
        <f t="shared" si="44"/>
        <v>0</v>
      </c>
    </row>
    <row r="121" spans="2:35" x14ac:dyDescent="0.25">
      <c r="B121" t="s">
        <v>207</v>
      </c>
      <c r="C121" s="83">
        <v>46064</v>
      </c>
      <c r="D121" t="s">
        <v>107</v>
      </c>
      <c r="E121" t="s">
        <v>192</v>
      </c>
      <c r="F121" t="s">
        <v>193</v>
      </c>
      <c r="G121">
        <v>7.4980000000000002</v>
      </c>
      <c r="H121">
        <v>101.35576</v>
      </c>
      <c r="I121">
        <v>6.3755460380000004</v>
      </c>
      <c r="J121">
        <v>288.11553557799999</v>
      </c>
      <c r="K121">
        <v>1.622222222</v>
      </c>
      <c r="L121">
        <v>1.49335301417502</v>
      </c>
      <c r="M121">
        <v>1.49335301417502</v>
      </c>
      <c r="N121">
        <v>2.6634327189999998</v>
      </c>
      <c r="O121">
        <v>2.1277823389999999</v>
      </c>
      <c r="P121">
        <v>79.888721191308605</v>
      </c>
      <c r="Q121">
        <v>0</v>
      </c>
      <c r="R121">
        <v>6.3755460380000004</v>
      </c>
      <c r="S121">
        <v>288.11553557799999</v>
      </c>
      <c r="T121">
        <v>1.622222222</v>
      </c>
      <c r="U121">
        <v>1.49335301417502</v>
      </c>
      <c r="V121">
        <v>1.49335301417502</v>
      </c>
      <c r="W121">
        <v>2.6633556710000001</v>
      </c>
      <c r="X121">
        <v>2.1277350629999998</v>
      </c>
      <c r="Y121">
        <v>79.889257231690294</v>
      </c>
      <c r="Z121">
        <v>0</v>
      </c>
      <c r="AA121" s="77">
        <f t="shared" si="36"/>
        <v>0</v>
      </c>
      <c r="AB121" s="62">
        <f t="shared" si="37"/>
        <v>0</v>
      </c>
      <c r="AC121" s="78">
        <f t="shared" si="38"/>
        <v>0</v>
      </c>
      <c r="AD121" s="78">
        <f t="shared" si="39"/>
        <v>0</v>
      </c>
      <c r="AE121" s="15">
        <f t="shared" si="40"/>
        <v>0</v>
      </c>
      <c r="AF121" s="15">
        <f t="shared" si="41"/>
        <v>7.7047999999635408E-5</v>
      </c>
      <c r="AG121" s="15">
        <f t="shared" si="42"/>
        <v>4.7276000000096019E-5</v>
      </c>
      <c r="AH121" s="78">
        <f t="shared" si="43"/>
        <v>-5.360403816894177E-4</v>
      </c>
      <c r="AI121" s="79">
        <f t="shared" si="44"/>
        <v>0</v>
      </c>
    </row>
    <row r="122" spans="2:35" x14ac:dyDescent="0.25">
      <c r="B122" t="s">
        <v>207</v>
      </c>
      <c r="C122" s="83">
        <v>46064</v>
      </c>
      <c r="D122" t="s">
        <v>107</v>
      </c>
      <c r="E122" t="s">
        <v>194</v>
      </c>
      <c r="F122" t="s">
        <v>195</v>
      </c>
      <c r="G122">
        <v>9.3759999999999994</v>
      </c>
      <c r="H122">
        <v>103.02908499999999</v>
      </c>
      <c r="I122">
        <v>7.0903461190000003</v>
      </c>
      <c r="J122">
        <v>359.57522479900001</v>
      </c>
      <c r="K122">
        <v>1.622222222</v>
      </c>
      <c r="L122">
        <v>1.47053352749856</v>
      </c>
      <c r="M122">
        <v>1.47053352749856</v>
      </c>
      <c r="N122">
        <v>2.6634327189999998</v>
      </c>
      <c r="O122">
        <v>2.1277823389999999</v>
      </c>
      <c r="P122">
        <v>79.888721191308605</v>
      </c>
      <c r="Q122">
        <v>0</v>
      </c>
      <c r="R122">
        <v>7.0903461190000003</v>
      </c>
      <c r="S122">
        <v>359.57522479900001</v>
      </c>
      <c r="T122">
        <v>1.622222222</v>
      </c>
      <c r="U122">
        <v>1.47053352749856</v>
      </c>
      <c r="V122">
        <v>1.47053352749856</v>
      </c>
      <c r="W122">
        <v>2.6633556710000001</v>
      </c>
      <c r="X122">
        <v>2.1277350629999998</v>
      </c>
      <c r="Y122">
        <v>79.889257231690294</v>
      </c>
      <c r="Z122">
        <v>0</v>
      </c>
      <c r="AA122" s="77">
        <f t="shared" si="36"/>
        <v>0</v>
      </c>
      <c r="AB122" s="62">
        <f t="shared" si="37"/>
        <v>0</v>
      </c>
      <c r="AC122" s="78">
        <f t="shared" si="38"/>
        <v>0</v>
      </c>
      <c r="AD122" s="78">
        <f t="shared" si="39"/>
        <v>0</v>
      </c>
      <c r="AE122" s="15">
        <f t="shared" si="40"/>
        <v>0</v>
      </c>
      <c r="AF122" s="15">
        <f t="shared" si="41"/>
        <v>7.7047999999635408E-5</v>
      </c>
      <c r="AG122" s="15">
        <f t="shared" si="42"/>
        <v>4.7276000000096019E-5</v>
      </c>
      <c r="AH122" s="78">
        <f t="shared" si="43"/>
        <v>-5.360403816894177E-4</v>
      </c>
      <c r="AI122" s="79">
        <f t="shared" si="44"/>
        <v>0</v>
      </c>
    </row>
    <row r="123" spans="2:35" x14ac:dyDescent="0.25">
      <c r="B123" t="s">
        <v>207</v>
      </c>
      <c r="C123" s="83">
        <v>46064</v>
      </c>
      <c r="D123" t="s">
        <v>107</v>
      </c>
      <c r="E123" t="s">
        <v>196</v>
      </c>
      <c r="F123" t="s">
        <v>197</v>
      </c>
      <c r="G123">
        <v>9.5048010000000005</v>
      </c>
      <c r="H123">
        <v>102.93444</v>
      </c>
      <c r="I123">
        <v>7.57203377</v>
      </c>
      <c r="J123">
        <v>406.53570542199998</v>
      </c>
      <c r="K123">
        <v>1.872222222</v>
      </c>
      <c r="L123">
        <v>1.67204422834573</v>
      </c>
      <c r="M123">
        <v>1.6728270926620801</v>
      </c>
      <c r="N123">
        <v>2.7330329529999999</v>
      </c>
      <c r="O123">
        <v>2.1693722329999998</v>
      </c>
      <c r="P123">
        <v>79.375999861937999</v>
      </c>
      <c r="Q123">
        <v>0</v>
      </c>
      <c r="R123">
        <v>7.572033963</v>
      </c>
      <c r="S123">
        <v>406.53572478799998</v>
      </c>
      <c r="T123">
        <v>1.872222222</v>
      </c>
      <c r="U123">
        <v>1.67204429829315</v>
      </c>
      <c r="V123">
        <v>1.6728270897476101</v>
      </c>
      <c r="W123">
        <v>2.73293645</v>
      </c>
      <c r="X123">
        <v>2.1693296210000002</v>
      </c>
      <c r="Y123">
        <v>79.377243514023206</v>
      </c>
      <c r="Z123">
        <v>0</v>
      </c>
      <c r="AA123" s="77">
        <f t="shared" si="36"/>
        <v>-1.9299999998168005E-7</v>
      </c>
      <c r="AB123" s="62">
        <f t="shared" si="37"/>
        <v>-1.9366000003628869E-5</v>
      </c>
      <c r="AC123" s="78">
        <f t="shared" si="38"/>
        <v>0</v>
      </c>
      <c r="AD123" s="78">
        <f t="shared" si="39"/>
        <v>-6.9947420078264599E-8</v>
      </c>
      <c r="AE123" s="15">
        <f t="shared" si="40"/>
        <v>2.9144699986716205E-9</v>
      </c>
      <c r="AF123" s="15">
        <f t="shared" si="41"/>
        <v>9.6502999999970029E-5</v>
      </c>
      <c r="AG123" s="15">
        <f t="shared" si="42"/>
        <v>4.2611999999664363E-5</v>
      </c>
      <c r="AH123" s="78">
        <f t="shared" si="43"/>
        <v>-1.2436520852077138E-3</v>
      </c>
      <c r="AI123" s="79">
        <f t="shared" si="44"/>
        <v>0</v>
      </c>
    </row>
    <row r="124" spans="2:35" x14ac:dyDescent="0.25">
      <c r="B124" t="s">
        <v>207</v>
      </c>
      <c r="C124" s="83">
        <v>46064</v>
      </c>
      <c r="D124" t="s">
        <v>107</v>
      </c>
      <c r="E124" t="s">
        <v>198</v>
      </c>
      <c r="F124" t="s">
        <v>199</v>
      </c>
      <c r="G124">
        <v>6.5919999999999996</v>
      </c>
      <c r="H124">
        <v>101.45338</v>
      </c>
      <c r="I124">
        <v>5.5899542440000003</v>
      </c>
      <c r="J124">
        <v>208.32748879799999</v>
      </c>
      <c r="K124">
        <v>1.872222222</v>
      </c>
      <c r="L124">
        <v>1.7269578933693499</v>
      </c>
      <c r="M124">
        <v>1.7269578933693499</v>
      </c>
      <c r="N124">
        <v>2.7330329529999999</v>
      </c>
      <c r="O124">
        <v>2.1693722329999998</v>
      </c>
      <c r="P124">
        <v>79.375999861937999</v>
      </c>
      <c r="Q124">
        <v>0</v>
      </c>
      <c r="R124">
        <v>5.5899542440000003</v>
      </c>
      <c r="S124">
        <v>208.32748879799999</v>
      </c>
      <c r="T124">
        <v>1.872222222</v>
      </c>
      <c r="U124">
        <v>1.7269578933693499</v>
      </c>
      <c r="V124">
        <v>1.7269578933693499</v>
      </c>
      <c r="W124">
        <v>2.73293645</v>
      </c>
      <c r="X124">
        <v>2.1693296210000002</v>
      </c>
      <c r="Y124">
        <v>79.377243514023206</v>
      </c>
      <c r="Z124">
        <v>0</v>
      </c>
      <c r="AA124" s="77">
        <f t="shared" si="36"/>
        <v>0</v>
      </c>
      <c r="AB124" s="62">
        <f t="shared" si="37"/>
        <v>0</v>
      </c>
      <c r="AC124" s="78">
        <f t="shared" si="38"/>
        <v>0</v>
      </c>
      <c r="AD124" s="78">
        <f t="shared" si="39"/>
        <v>0</v>
      </c>
      <c r="AE124" s="15">
        <f t="shared" si="40"/>
        <v>0</v>
      </c>
      <c r="AF124" s="15">
        <f t="shared" si="41"/>
        <v>9.6502999999970029E-5</v>
      </c>
      <c r="AG124" s="15">
        <f t="shared" si="42"/>
        <v>4.2611999999664363E-5</v>
      </c>
      <c r="AH124" s="78">
        <f t="shared" si="43"/>
        <v>-1.2436520852077138E-3</v>
      </c>
      <c r="AI124" s="79">
        <f t="shared" si="44"/>
        <v>0</v>
      </c>
    </row>
    <row r="125" spans="2:35" x14ac:dyDescent="0.25">
      <c r="B125" t="s">
        <v>207</v>
      </c>
      <c r="C125" s="83">
        <v>46064</v>
      </c>
      <c r="D125" t="s">
        <v>107</v>
      </c>
      <c r="E125" t="s">
        <v>200</v>
      </c>
      <c r="F125" t="s">
        <v>201</v>
      </c>
      <c r="G125">
        <v>7.6210000000000004</v>
      </c>
      <c r="H125">
        <v>101.43824499999999</v>
      </c>
      <c r="I125">
        <v>6.7282922999999997</v>
      </c>
      <c r="J125">
        <v>320.88665187200002</v>
      </c>
      <c r="K125">
        <v>2.122222222</v>
      </c>
      <c r="L125">
        <v>1.9134373342125599</v>
      </c>
      <c r="M125">
        <v>1.9134373342125599</v>
      </c>
      <c r="N125">
        <v>1.849202832</v>
      </c>
      <c r="O125">
        <v>1.471190582</v>
      </c>
      <c r="P125">
        <v>79.558096956234806</v>
      </c>
      <c r="Q125">
        <v>0</v>
      </c>
      <c r="R125">
        <v>6.7282922999999997</v>
      </c>
      <c r="S125">
        <v>320.88665187200002</v>
      </c>
      <c r="T125">
        <v>2.122222222</v>
      </c>
      <c r="U125">
        <v>1.9134373342125599</v>
      </c>
      <c r="V125">
        <v>1.9134373342125599</v>
      </c>
      <c r="W125">
        <v>1.8491697330000001</v>
      </c>
      <c r="X125">
        <v>1.471155915</v>
      </c>
      <c r="Y125">
        <v>79.557646263940896</v>
      </c>
      <c r="Z125">
        <v>0</v>
      </c>
      <c r="AA125" s="77">
        <f t="shared" si="36"/>
        <v>0</v>
      </c>
      <c r="AB125" s="62">
        <f t="shared" si="37"/>
        <v>0</v>
      </c>
      <c r="AC125" s="78">
        <f t="shared" si="38"/>
        <v>0</v>
      </c>
      <c r="AD125" s="78">
        <f t="shared" si="39"/>
        <v>0</v>
      </c>
      <c r="AE125" s="15">
        <f t="shared" si="40"/>
        <v>0</v>
      </c>
      <c r="AF125" s="15">
        <f t="shared" si="41"/>
        <v>3.3098999999925383E-5</v>
      </c>
      <c r="AG125" s="15">
        <f t="shared" si="42"/>
        <v>3.4666999999988235E-5</v>
      </c>
      <c r="AH125" s="78">
        <f t="shared" si="43"/>
        <v>4.5069229391003773E-4</v>
      </c>
      <c r="AI125" s="79">
        <f t="shared" si="44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5">
    <cfRule type="colorScale" priority="6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5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5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5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5">
    <cfRule type="colorScale" priority="6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4" t="s">
        <v>0</v>
      </c>
      <c r="D2" s="85"/>
      <c r="E2" s="85"/>
      <c r="F2" s="85"/>
      <c r="G2" s="85"/>
      <c r="H2" s="85"/>
      <c r="I2" s="86" t="s">
        <v>1</v>
      </c>
      <c r="J2" s="86"/>
      <c r="K2" s="86"/>
      <c r="L2" s="86"/>
      <c r="M2" s="86"/>
      <c r="N2" s="86"/>
      <c r="O2" s="86"/>
      <c r="P2" s="86"/>
      <c r="Q2" s="86"/>
      <c r="R2" s="87" t="s">
        <v>2</v>
      </c>
      <c r="S2" s="87"/>
      <c r="T2" s="87"/>
      <c r="U2" s="87"/>
      <c r="V2" s="87"/>
      <c r="W2" s="87"/>
      <c r="X2" s="87"/>
      <c r="Y2" s="87"/>
      <c r="Z2" s="87"/>
      <c r="AA2" s="88" t="s">
        <v>3</v>
      </c>
      <c r="AB2" s="88"/>
      <c r="AC2" s="88"/>
      <c r="AD2" s="88"/>
      <c r="AE2" s="88"/>
      <c r="AF2" s="88"/>
      <c r="AG2" s="88"/>
      <c r="AH2" s="88"/>
      <c r="AI2" s="89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6" t="s">
        <v>1</v>
      </c>
      <c r="F2" s="86"/>
      <c r="G2" s="86"/>
      <c r="H2" s="86"/>
      <c r="I2" s="86"/>
      <c r="J2" s="86"/>
      <c r="K2" s="86"/>
      <c r="L2" s="86"/>
      <c r="M2" s="86"/>
      <c r="N2" s="87" t="s">
        <v>2</v>
      </c>
      <c r="O2" s="87"/>
      <c r="P2" s="87"/>
      <c r="Q2" s="87"/>
      <c r="R2" s="87"/>
      <c r="S2" s="87"/>
      <c r="T2" s="87"/>
      <c r="U2" s="87"/>
      <c r="V2" s="87"/>
      <c r="W2" s="88" t="s">
        <v>3</v>
      </c>
      <c r="X2" s="88"/>
      <c r="Y2" s="88"/>
      <c r="Z2" s="88"/>
      <c r="AA2" s="88"/>
      <c r="AB2" s="88"/>
      <c r="AC2" s="88"/>
      <c r="AD2" s="88"/>
      <c r="AE2" s="89"/>
    </row>
    <row r="3" spans="2:31" ht="15.75" thickBot="1" x14ac:dyDescent="0.3">
      <c r="B3" s="58" t="s">
        <v>6</v>
      </c>
      <c r="C3" s="57" t="s">
        <v>8</v>
      </c>
      <c r="D3" s="57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1" t="s">
        <v>32</v>
      </c>
      <c r="C4" s="52">
        <v>10.356030000000001</v>
      </c>
      <c r="D4" s="52">
        <v>103.73005999999999</v>
      </c>
      <c r="E4" s="53">
        <v>6.1007306369999998</v>
      </c>
      <c r="F4" s="61">
        <v>244.31369917699999</v>
      </c>
      <c r="G4" s="52">
        <v>1.047222222</v>
      </c>
      <c r="H4" s="52">
        <v>4.5713058490461402E-2</v>
      </c>
      <c r="I4" s="52">
        <v>0.98318783966769596</v>
      </c>
      <c r="J4" s="52">
        <v>0.37236080100000002</v>
      </c>
      <c r="K4" s="52">
        <v>1.3949130000000001E-2</v>
      </c>
      <c r="L4" s="52">
        <v>3.7461327729821901</v>
      </c>
      <c r="M4" s="52">
        <v>0</v>
      </c>
      <c r="N4" s="53">
        <v>6.1007306369999998</v>
      </c>
      <c r="O4" s="61">
        <v>244.31369917699999</v>
      </c>
      <c r="P4" s="52">
        <v>1.047222222</v>
      </c>
      <c r="Q4" s="52">
        <v>4.5713058490461402E-2</v>
      </c>
      <c r="R4" s="52">
        <v>0.98318783966769596</v>
      </c>
      <c r="S4" s="52">
        <v>0.37682388</v>
      </c>
      <c r="T4" s="52">
        <v>4.2414359999999998E-2</v>
      </c>
      <c r="U4" s="52">
        <v>11.255751625932</v>
      </c>
      <c r="V4" s="52">
        <v>0</v>
      </c>
      <c r="W4" s="7">
        <f t="shared" ref="W4:AE32" si="0">E4-N4</f>
        <v>0</v>
      </c>
      <c r="X4" s="61">
        <f t="shared" si="0"/>
        <v>0</v>
      </c>
      <c r="Y4" s="52">
        <f t="shared" si="0"/>
        <v>0</v>
      </c>
      <c r="Z4" s="52">
        <f t="shared" si="0"/>
        <v>0</v>
      </c>
      <c r="AA4" s="52">
        <f t="shared" si="0"/>
        <v>0</v>
      </c>
      <c r="AB4" s="52">
        <f t="shared" si="0"/>
        <v>-4.4630789999999809E-3</v>
      </c>
      <c r="AC4" s="52">
        <f t="shared" ref="AC4:AC31" si="1">K4-T4</f>
        <v>-2.8465229999999998E-2</v>
      </c>
      <c r="AD4" s="52">
        <f t="shared" si="0"/>
        <v>-7.50961885294981</v>
      </c>
      <c r="AE4" s="54">
        <f t="shared" si="0"/>
        <v>0</v>
      </c>
    </row>
    <row r="5" spans="2:31" x14ac:dyDescent="0.25">
      <c r="B5" s="55" t="s">
        <v>34</v>
      </c>
      <c r="C5" s="15">
        <v>10.55603</v>
      </c>
      <c r="D5" s="15">
        <v>104.1875</v>
      </c>
      <c r="E5" s="6">
        <v>6.1079829869999998</v>
      </c>
      <c r="F5" s="62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2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2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5" t="s">
        <v>36</v>
      </c>
      <c r="C6" s="15">
        <v>12.006030000000001</v>
      </c>
      <c r="D6" s="15">
        <v>106.75</v>
      </c>
      <c r="E6" s="6">
        <v>5.9364829730000004</v>
      </c>
      <c r="F6" s="62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2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2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5" t="s">
        <v>38</v>
      </c>
      <c r="C7" s="15">
        <v>13.856030000000001</v>
      </c>
      <c r="D7" s="15">
        <v>110.28567</v>
      </c>
      <c r="E7" s="6">
        <v>5.8087883720000004</v>
      </c>
      <c r="F7" s="62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2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2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5" t="s">
        <v>40</v>
      </c>
      <c r="C8" s="18">
        <v>14.95603</v>
      </c>
      <c r="D8" s="18">
        <v>113.0625</v>
      </c>
      <c r="E8" s="6">
        <v>5.8039625429999999</v>
      </c>
      <c r="F8" s="63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3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2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5" t="s">
        <v>42</v>
      </c>
      <c r="C9" s="18">
        <v>16.356030000000001</v>
      </c>
      <c r="D9" s="18">
        <v>115.699219</v>
      </c>
      <c r="E9" s="6">
        <v>5.9636515360000004</v>
      </c>
      <c r="F9" s="63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3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2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5" t="s">
        <v>44</v>
      </c>
      <c r="C10" s="18">
        <v>8.3560300000000005</v>
      </c>
      <c r="D10" s="18">
        <v>104.35</v>
      </c>
      <c r="E10" s="6">
        <v>5.9637123919999997</v>
      </c>
      <c r="F10" s="63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3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2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5" t="s">
        <v>46</v>
      </c>
      <c r="C11" s="18">
        <v>8.0560299999999998</v>
      </c>
      <c r="D11" s="18">
        <v>103.54</v>
      </c>
      <c r="E11" s="6">
        <v>5.957985324</v>
      </c>
      <c r="F11" s="63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3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2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5" t="s">
        <v>156</v>
      </c>
      <c r="C12" s="20">
        <v>9.7205100000000009</v>
      </c>
      <c r="D12" s="20">
        <v>111.30897</v>
      </c>
      <c r="E12" s="6">
        <v>5.8305767529999999</v>
      </c>
      <c r="F12" s="64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4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2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5" t="s">
        <v>158</v>
      </c>
      <c r="C13" s="20">
        <v>12.070510000000001</v>
      </c>
      <c r="D13" s="20">
        <v>121.25</v>
      </c>
      <c r="E13" s="6">
        <v>5.7802313290000003</v>
      </c>
      <c r="F13" s="64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4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2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5" t="s">
        <v>160</v>
      </c>
      <c r="C14" s="20">
        <v>9.1060300000000005</v>
      </c>
      <c r="D14" s="20">
        <v>111</v>
      </c>
      <c r="E14" s="6">
        <v>5.8041480080000003</v>
      </c>
      <c r="F14" s="64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4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2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5" t="s">
        <v>162</v>
      </c>
      <c r="C15" s="20">
        <v>11.856030000000001</v>
      </c>
      <c r="D15" s="20">
        <v>105.94096</v>
      </c>
      <c r="E15" s="6">
        <v>5.4495066510000001</v>
      </c>
      <c r="F15" s="64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4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2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5" t="s">
        <v>164</v>
      </c>
      <c r="C16" s="20">
        <v>12.156029999999999</v>
      </c>
      <c r="D16" s="20">
        <v>106.1875</v>
      </c>
      <c r="E16" s="6">
        <v>5.8965366369999996</v>
      </c>
      <c r="F16" s="64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4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2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5" t="s">
        <v>166</v>
      </c>
      <c r="C17" s="20">
        <v>9.3560300000000005</v>
      </c>
      <c r="D17" s="20">
        <v>115.72168499999999</v>
      </c>
      <c r="E17" s="6">
        <v>6.078599112</v>
      </c>
      <c r="F17" s="64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4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2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5" t="s">
        <v>168</v>
      </c>
      <c r="C18" s="20">
        <v>10.606030000000001</v>
      </c>
      <c r="D18" s="20">
        <v>103.5625</v>
      </c>
      <c r="E18" s="6">
        <v>6.25517973</v>
      </c>
      <c r="F18" s="64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4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2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5" t="s">
        <v>170</v>
      </c>
      <c r="C19" s="20">
        <v>11.356030000000001</v>
      </c>
      <c r="D19" s="20">
        <v>105.4375</v>
      </c>
      <c r="E19" s="6">
        <v>6.0922279079999999</v>
      </c>
      <c r="F19" s="64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4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2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5" t="s">
        <v>172</v>
      </c>
      <c r="C20" s="20">
        <v>12.856030000000001</v>
      </c>
      <c r="D20" s="20">
        <v>108.359375</v>
      </c>
      <c r="E20" s="6">
        <v>5.8777098990000001</v>
      </c>
      <c r="F20" s="64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4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2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5" t="s">
        <v>174</v>
      </c>
      <c r="C21" s="20">
        <v>14.106030000000001</v>
      </c>
      <c r="D21" s="20">
        <v>111.304688</v>
      </c>
      <c r="E21" s="6">
        <v>5.7479182870000001</v>
      </c>
      <c r="F21" s="64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4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2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5" t="s">
        <v>176</v>
      </c>
      <c r="C22" s="20">
        <v>17.256029999999999</v>
      </c>
      <c r="D22" s="20">
        <v>117.01355</v>
      </c>
      <c r="E22" s="6">
        <v>6.0580622709999998</v>
      </c>
      <c r="F22" s="64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4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2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5" t="s">
        <v>178</v>
      </c>
      <c r="C23" s="20">
        <v>15.356030000000001</v>
      </c>
      <c r="D23" s="20">
        <v>111.421875</v>
      </c>
      <c r="E23" s="6">
        <v>6.4818093470000004</v>
      </c>
      <c r="F23" s="64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4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2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5" t="s">
        <v>27</v>
      </c>
      <c r="C24" s="24">
        <v>16.220510000000001</v>
      </c>
      <c r="D24" s="24">
        <v>103.8</v>
      </c>
      <c r="E24" s="6">
        <v>5.5557319529999996</v>
      </c>
      <c r="F24" s="65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5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5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5" t="s">
        <v>29</v>
      </c>
      <c r="C25" s="11">
        <v>11.070510000000001</v>
      </c>
      <c r="D25" s="11">
        <v>105.971155</v>
      </c>
      <c r="E25" s="6">
        <v>5.8726454529999996</v>
      </c>
      <c r="F25" s="66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6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6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5" t="s">
        <v>140</v>
      </c>
      <c r="C26" s="20">
        <v>15.470510000000001</v>
      </c>
      <c r="D26" s="20">
        <v>125.00109500000001</v>
      </c>
      <c r="E26" s="6">
        <v>5.6761561990000002</v>
      </c>
      <c r="F26" s="64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4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2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5" t="s">
        <v>142</v>
      </c>
      <c r="C27" s="20">
        <v>12.620509999999999</v>
      </c>
      <c r="D27" s="20">
        <v>112.54398999999999</v>
      </c>
      <c r="E27" s="6">
        <v>6.5601431290000001</v>
      </c>
      <c r="F27" s="64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4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2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5" t="s">
        <v>144</v>
      </c>
      <c r="C28" s="20">
        <v>12.820510000000001</v>
      </c>
      <c r="D28" s="20">
        <v>119.43558</v>
      </c>
      <c r="E28" s="6">
        <v>5.9727422199999998</v>
      </c>
      <c r="F28" s="64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4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2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5" t="s">
        <v>146</v>
      </c>
      <c r="C29" s="20">
        <v>9.2628699999999995</v>
      </c>
      <c r="D29" s="20">
        <v>108.080865</v>
      </c>
      <c r="E29" s="6">
        <v>6.1759514150000001</v>
      </c>
      <c r="F29" s="64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4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2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5" t="s">
        <v>148</v>
      </c>
      <c r="C30" s="20">
        <v>9.4705100000000009</v>
      </c>
      <c r="D30" s="20">
        <v>109.43523999999999</v>
      </c>
      <c r="E30" s="6">
        <v>6.0191402590000003</v>
      </c>
      <c r="F30" s="64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4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2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5" t="s">
        <v>150</v>
      </c>
      <c r="C31" s="20">
        <v>16.720510000000001</v>
      </c>
      <c r="D31" s="20">
        <v>121.68104</v>
      </c>
      <c r="E31" s="6">
        <v>6.8883031309999998</v>
      </c>
      <c r="F31" s="64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4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2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5" t="s">
        <v>152</v>
      </c>
      <c r="C32" s="20">
        <v>15.720510000000001</v>
      </c>
      <c r="D32" s="20">
        <v>119</v>
      </c>
      <c r="E32" s="6">
        <v>6.7735410829999996</v>
      </c>
      <c r="F32" s="64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4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2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6" t="s">
        <v>154</v>
      </c>
      <c r="C33" s="30">
        <v>11.070510000000001</v>
      </c>
      <c r="D33" s="30">
        <v>112</v>
      </c>
      <c r="E33" s="31">
        <v>5.969331736</v>
      </c>
      <c r="F33" s="67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7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8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4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6" t="s">
        <v>1</v>
      </c>
      <c r="G3" s="86"/>
      <c r="H3" s="86"/>
      <c r="I3" s="86"/>
      <c r="J3" s="86"/>
      <c r="K3" s="86"/>
      <c r="L3" s="86"/>
      <c r="M3" s="87" t="s">
        <v>2</v>
      </c>
      <c r="N3" s="87"/>
      <c r="O3" s="87"/>
      <c r="P3" s="87"/>
      <c r="Q3" s="87"/>
      <c r="R3" s="87"/>
      <c r="S3" s="87"/>
      <c r="T3" s="88" t="s">
        <v>3</v>
      </c>
      <c r="U3" s="88"/>
      <c r="V3" s="88"/>
      <c r="W3" s="88"/>
      <c r="X3" s="88"/>
      <c r="Y3" s="88"/>
      <c r="Z3" s="89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9" t="s">
        <v>178</v>
      </c>
      <c r="D5" s="20">
        <v>15.356030000000001</v>
      </c>
      <c r="E5" s="20">
        <v>111.421875</v>
      </c>
      <c r="F5" s="6">
        <v>6.4818093470000004</v>
      </c>
      <c r="G5" s="64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4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2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9" t="s">
        <v>176</v>
      </c>
      <c r="D6" s="20">
        <v>17.256029999999999</v>
      </c>
      <c r="E6" s="20">
        <v>117.01355</v>
      </c>
      <c r="F6" s="6">
        <v>6.0580622709999998</v>
      </c>
      <c r="G6" s="64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4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2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9" t="s">
        <v>174</v>
      </c>
      <c r="D7" s="20">
        <v>14.106030000000001</v>
      </c>
      <c r="E7" s="20">
        <v>111.304688</v>
      </c>
      <c r="F7" s="6">
        <v>5.7479182870000001</v>
      </c>
      <c r="G7" s="64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4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2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9" t="s">
        <v>172</v>
      </c>
      <c r="D8" s="20">
        <v>12.856030000000001</v>
      </c>
      <c r="E8" s="20">
        <v>108.359375</v>
      </c>
      <c r="F8" s="6">
        <v>5.8777098990000001</v>
      </c>
      <c r="G8" s="64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4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2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9" t="s">
        <v>170</v>
      </c>
      <c r="D9" s="20">
        <v>11.356030000000001</v>
      </c>
      <c r="E9" s="20">
        <v>105.4375</v>
      </c>
      <c r="F9" s="6">
        <v>6.0922279079999999</v>
      </c>
      <c r="G9" s="64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4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2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9" t="s">
        <v>168</v>
      </c>
      <c r="D10" s="20">
        <v>10.606030000000001</v>
      </c>
      <c r="E10" s="20">
        <v>103.5625</v>
      </c>
      <c r="F10" s="6">
        <v>6.25517973</v>
      </c>
      <c r="G10" s="64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4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2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9" t="s">
        <v>166</v>
      </c>
      <c r="D11" s="20">
        <v>9.3560300000000005</v>
      </c>
      <c r="E11" s="20">
        <v>115.72168499999999</v>
      </c>
      <c r="F11" s="6">
        <v>5.2707839520000004</v>
      </c>
      <c r="G11" s="64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4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2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9" t="s">
        <v>164</v>
      </c>
      <c r="D12" s="20">
        <v>12.156029999999999</v>
      </c>
      <c r="E12" s="20">
        <v>106.1875</v>
      </c>
      <c r="F12" s="6">
        <v>5.8965366369999996</v>
      </c>
      <c r="G12" s="64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4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2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9" t="s">
        <v>162</v>
      </c>
      <c r="D13" s="20">
        <v>11.856030000000001</v>
      </c>
      <c r="E13" s="20">
        <v>105.94096</v>
      </c>
      <c r="F13" s="6">
        <v>5.4495066510000001</v>
      </c>
      <c r="G13" s="64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4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2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9" t="s">
        <v>160</v>
      </c>
      <c r="D14" s="20">
        <v>9.1060300000000005</v>
      </c>
      <c r="E14" s="20">
        <v>111</v>
      </c>
      <c r="F14" s="6">
        <v>5.8041480080000003</v>
      </c>
      <c r="G14" s="64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4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2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9" t="s">
        <v>158</v>
      </c>
      <c r="D15" s="20">
        <v>12.070510000000001</v>
      </c>
      <c r="E15" s="20">
        <v>121.25</v>
      </c>
      <c r="F15" s="6">
        <v>1.115083099</v>
      </c>
      <c r="G15" s="64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4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2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9" t="s">
        <v>156</v>
      </c>
      <c r="D16" s="20">
        <v>9.7205100000000009</v>
      </c>
      <c r="E16" s="20">
        <v>111.30897</v>
      </c>
      <c r="F16" s="6">
        <v>5.4752920129999998</v>
      </c>
      <c r="G16" s="64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4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2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9" t="s">
        <v>46</v>
      </c>
      <c r="D17" s="20">
        <v>8.0560299999999998</v>
      </c>
      <c r="E17" s="20">
        <v>103.54</v>
      </c>
      <c r="F17" s="6">
        <v>-12.466876012</v>
      </c>
      <c r="G17" s="64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4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2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9" t="s">
        <v>44</v>
      </c>
      <c r="D18" s="20">
        <v>8.3560300000000005</v>
      </c>
      <c r="E18" s="20">
        <v>104.35</v>
      </c>
      <c r="F18" s="6">
        <v>-15.023692344000001</v>
      </c>
      <c r="G18" s="64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4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2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9" t="s">
        <v>42</v>
      </c>
      <c r="D19" s="20">
        <v>16.356030000000001</v>
      </c>
      <c r="E19" s="20">
        <v>115.699219</v>
      </c>
      <c r="F19" s="6">
        <v>5.9636515360000004</v>
      </c>
      <c r="G19" s="64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4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2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9" t="s">
        <v>40</v>
      </c>
      <c r="D20" s="20">
        <v>14.95603</v>
      </c>
      <c r="E20" s="20">
        <v>113.0625</v>
      </c>
      <c r="F20" s="6">
        <v>5.8039625429999999</v>
      </c>
      <c r="G20" s="64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4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2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9" t="s">
        <v>38</v>
      </c>
      <c r="D21" s="20">
        <v>13.856030000000001</v>
      </c>
      <c r="E21" s="20">
        <v>110.28567</v>
      </c>
      <c r="F21" s="6">
        <v>5.8087883720000004</v>
      </c>
      <c r="G21" s="64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4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2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9" t="s">
        <v>36</v>
      </c>
      <c r="D22" s="18">
        <v>12.006030000000001</v>
      </c>
      <c r="E22" s="18">
        <v>106.75</v>
      </c>
      <c r="F22" s="6">
        <v>5.9364829730000004</v>
      </c>
      <c r="G22" s="63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3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2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9" t="s">
        <v>34</v>
      </c>
      <c r="D23" s="18">
        <v>10.55603</v>
      </c>
      <c r="E23" s="18">
        <v>104.1875</v>
      </c>
      <c r="F23" s="6">
        <v>6.1079829869999998</v>
      </c>
      <c r="G23" s="63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3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2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9" t="s">
        <v>32</v>
      </c>
      <c r="D24" s="18">
        <v>10.356030000000001</v>
      </c>
      <c r="E24" s="18">
        <v>103.73005999999999</v>
      </c>
      <c r="F24" s="6">
        <v>6.1007306369999998</v>
      </c>
      <c r="G24" s="63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3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2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9" t="s">
        <v>154</v>
      </c>
      <c r="D25" s="20">
        <v>11.070510000000001</v>
      </c>
      <c r="E25" s="20">
        <v>112</v>
      </c>
      <c r="F25" s="6">
        <v>2.2697166989999999</v>
      </c>
      <c r="G25" s="64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4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2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9" t="s">
        <v>152</v>
      </c>
      <c r="D26" s="20">
        <v>15.720510000000001</v>
      </c>
      <c r="E26" s="20">
        <v>119</v>
      </c>
      <c r="F26" s="6">
        <v>7.1028148929999997</v>
      </c>
      <c r="G26" s="64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4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2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9" t="s">
        <v>150</v>
      </c>
      <c r="D27" s="20">
        <v>16.720510000000001</v>
      </c>
      <c r="E27" s="20">
        <v>121.68104</v>
      </c>
      <c r="F27" s="6">
        <v>7.565632795</v>
      </c>
      <c r="G27" s="64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4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2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9" t="s">
        <v>148</v>
      </c>
      <c r="D28" s="28">
        <v>9.4705100000000009</v>
      </c>
      <c r="E28" s="28">
        <v>109.43523999999999</v>
      </c>
      <c r="F28" s="6">
        <v>5.9194966569999998</v>
      </c>
      <c r="G28" s="69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9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9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9" t="s">
        <v>146</v>
      </c>
      <c r="D29" s="20">
        <v>9.2628699999999995</v>
      </c>
      <c r="E29" s="20">
        <v>108.080865</v>
      </c>
      <c r="F29" s="6">
        <v>6.1759514150000001</v>
      </c>
      <c r="G29" s="64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4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2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9" t="s">
        <v>144</v>
      </c>
      <c r="D30" s="20">
        <v>12.820510000000001</v>
      </c>
      <c r="E30" s="20">
        <v>119.43558</v>
      </c>
      <c r="F30" s="6">
        <v>5.9727422199999998</v>
      </c>
      <c r="G30" s="64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4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2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9" t="s">
        <v>142</v>
      </c>
      <c r="D31" s="20">
        <v>12.620509999999999</v>
      </c>
      <c r="E31" s="20">
        <v>112.54398999999999</v>
      </c>
      <c r="F31" s="6">
        <v>7.0634481109999996</v>
      </c>
      <c r="G31" s="64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4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2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9" t="s">
        <v>140</v>
      </c>
      <c r="D32" s="20">
        <v>15.470510000000001</v>
      </c>
      <c r="E32" s="20">
        <v>125.00109500000001</v>
      </c>
      <c r="F32" s="6">
        <v>5.6051646740000001</v>
      </c>
      <c r="G32" s="64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4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2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9" t="s">
        <v>29</v>
      </c>
      <c r="D33" s="18">
        <v>11.070510000000001</v>
      </c>
      <c r="E33" s="18">
        <v>105.971155</v>
      </c>
      <c r="F33" s="6">
        <v>5.8726454529999996</v>
      </c>
      <c r="G33" s="63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3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2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60" t="s">
        <v>27</v>
      </c>
      <c r="D34" s="33">
        <v>16.220510000000001</v>
      </c>
      <c r="E34" s="33">
        <v>103.8</v>
      </c>
      <c r="F34" s="31">
        <v>5.5495377550000002</v>
      </c>
      <c r="G34" s="68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8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8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70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70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70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70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70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70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70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70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70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70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70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1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1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1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1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1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1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1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1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1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1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1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1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1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1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1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1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1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1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1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1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1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2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2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2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2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2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2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2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2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2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2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2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2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2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2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2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2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2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2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2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2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2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2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2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2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2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2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3"/>
      <c r="D93" s="41"/>
      <c r="E93" s="41"/>
      <c r="F93" s="31"/>
      <c r="G93" s="41"/>
      <c r="H93" s="41"/>
      <c r="I93" s="41"/>
      <c r="J93" s="41"/>
      <c r="K93" s="41"/>
      <c r="L93" s="41"/>
      <c r="M93" s="31"/>
      <c r="N93" s="41"/>
      <c r="O93" s="41"/>
      <c r="P93" s="41"/>
      <c r="Q93" s="41"/>
      <c r="R93" s="41"/>
      <c r="S93" s="41"/>
      <c r="T93" s="32"/>
      <c r="U93" s="41"/>
      <c r="V93" s="41"/>
      <c r="W93" s="41"/>
      <c r="X93" s="41"/>
      <c r="Y93" s="41"/>
      <c r="Z93" s="42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4" t="s">
        <v>202</v>
      </c>
      <c r="C2" s="85"/>
      <c r="D2" s="85"/>
      <c r="E2" s="85"/>
      <c r="F2" s="85"/>
      <c r="G2" s="85"/>
      <c r="H2" s="86" t="s">
        <v>1</v>
      </c>
      <c r="I2" s="86"/>
      <c r="J2" s="86"/>
      <c r="K2" s="86"/>
      <c r="L2" s="86"/>
      <c r="M2" s="86"/>
      <c r="N2" s="86"/>
      <c r="O2" s="87" t="s">
        <v>2</v>
      </c>
      <c r="P2" s="87"/>
      <c r="Q2" s="87"/>
      <c r="R2" s="87"/>
      <c r="S2" s="87"/>
      <c r="T2" s="87"/>
      <c r="U2" s="87"/>
      <c r="V2" s="88" t="s">
        <v>3</v>
      </c>
      <c r="W2" s="88"/>
      <c r="X2" s="88"/>
      <c r="Y2" s="88"/>
      <c r="Z2" s="88"/>
      <c r="AA2" s="88"/>
      <c r="AB2" s="89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3" t="s">
        <v>31</v>
      </c>
      <c r="D4" s="48" t="s">
        <v>178</v>
      </c>
      <c r="E4" s="48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3" t="s">
        <v>31</v>
      </c>
      <c r="D5" s="48" t="s">
        <v>176</v>
      </c>
      <c r="E5" s="48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3" t="s">
        <v>31</v>
      </c>
      <c r="D6" s="48" t="s">
        <v>174</v>
      </c>
      <c r="E6" s="48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3" t="s">
        <v>31</v>
      </c>
      <c r="D7" s="48" t="s">
        <v>172</v>
      </c>
      <c r="E7" s="48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3" t="s">
        <v>31</v>
      </c>
      <c r="D8" s="48" t="s">
        <v>170</v>
      </c>
      <c r="E8" s="48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3" t="s">
        <v>31</v>
      </c>
      <c r="D9" s="48" t="s">
        <v>168</v>
      </c>
      <c r="E9" s="48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3" t="s">
        <v>31</v>
      </c>
      <c r="D10" s="48" t="s">
        <v>166</v>
      </c>
      <c r="E10" s="48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3" t="s">
        <v>31</v>
      </c>
      <c r="D11" s="48" t="s">
        <v>164</v>
      </c>
      <c r="E11" s="48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3" t="s">
        <v>31</v>
      </c>
      <c r="D12" s="48" t="s">
        <v>162</v>
      </c>
      <c r="E12" s="48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3" t="s">
        <v>31</v>
      </c>
      <c r="D13" s="48" t="s">
        <v>160</v>
      </c>
      <c r="E13" s="48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3" t="s">
        <v>31</v>
      </c>
      <c r="D14" s="48" t="s">
        <v>158</v>
      </c>
      <c r="E14" s="48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3" t="s">
        <v>31</v>
      </c>
      <c r="D15" s="48" t="s">
        <v>156</v>
      </c>
      <c r="E15" s="48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7" t="s">
        <v>31</v>
      </c>
      <c r="D16" s="48" t="s">
        <v>46</v>
      </c>
      <c r="E16" s="48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7" t="s">
        <v>31</v>
      </c>
      <c r="D17" s="48" t="s">
        <v>44</v>
      </c>
      <c r="E17" s="48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7" t="s">
        <v>31</v>
      </c>
      <c r="D18" s="48" t="s">
        <v>42</v>
      </c>
      <c r="E18" s="48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7" t="s">
        <v>31</v>
      </c>
      <c r="D19" s="48" t="s">
        <v>40</v>
      </c>
      <c r="E19" s="48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7" t="s">
        <v>31</v>
      </c>
      <c r="D20" s="48" t="s">
        <v>38</v>
      </c>
      <c r="E20" s="48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7" t="s">
        <v>31</v>
      </c>
      <c r="D21" s="48" t="s">
        <v>36</v>
      </c>
      <c r="E21" s="48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7" t="s">
        <v>31</v>
      </c>
      <c r="D22" s="48" t="s">
        <v>34</v>
      </c>
      <c r="E22" s="48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7" t="s">
        <v>31</v>
      </c>
      <c r="D23" s="48" t="s">
        <v>32</v>
      </c>
      <c r="E23" s="48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3" t="s">
        <v>26</v>
      </c>
      <c r="D24" s="48" t="s">
        <v>154</v>
      </c>
      <c r="E24" s="48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3" t="s">
        <v>26</v>
      </c>
      <c r="D25" s="48" t="s">
        <v>152</v>
      </c>
      <c r="E25" s="48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3" t="s">
        <v>26</v>
      </c>
      <c r="D26" s="48" t="s">
        <v>150</v>
      </c>
      <c r="E26" s="48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4" t="s">
        <v>26</v>
      </c>
      <c r="D27" s="48" t="s">
        <v>148</v>
      </c>
      <c r="E27" s="48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5" t="s">
        <v>26</v>
      </c>
      <c r="D28" s="48" t="s">
        <v>146</v>
      </c>
      <c r="E28" s="48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5" t="s">
        <v>26</v>
      </c>
      <c r="D29" s="48" t="s">
        <v>144</v>
      </c>
      <c r="E29" s="48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5" t="s">
        <v>26</v>
      </c>
      <c r="D30" s="48" t="s">
        <v>142</v>
      </c>
      <c r="E30" s="48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5" t="s">
        <v>26</v>
      </c>
      <c r="D31" s="48" t="s">
        <v>140</v>
      </c>
      <c r="E31" s="48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7" t="s">
        <v>26</v>
      </c>
      <c r="D32" s="48" t="s">
        <v>29</v>
      </c>
      <c r="E32" s="48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8" t="s">
        <v>27</v>
      </c>
      <c r="E33" s="48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3" t="s">
        <v>19</v>
      </c>
      <c r="D34" s="49" t="s">
        <v>62</v>
      </c>
      <c r="E34" s="49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3" t="s">
        <v>19</v>
      </c>
      <c r="D35" s="49" t="s">
        <v>60</v>
      </c>
      <c r="E35" s="49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3" t="s">
        <v>19</v>
      </c>
      <c r="D36" s="49" t="s">
        <v>58</v>
      </c>
      <c r="E36" s="49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5" t="s">
        <v>19</v>
      </c>
      <c r="D37" s="49" t="s">
        <v>56</v>
      </c>
      <c r="E37" s="49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5" t="s">
        <v>19</v>
      </c>
      <c r="D38" s="49" t="s">
        <v>54</v>
      </c>
      <c r="E38" s="49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9" t="s">
        <v>52</v>
      </c>
      <c r="E39" s="49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7" t="s">
        <v>19</v>
      </c>
      <c r="D40" s="49" t="s">
        <v>50</v>
      </c>
      <c r="E40" s="49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7" t="s">
        <v>19</v>
      </c>
      <c r="D41" s="49" t="s">
        <v>48</v>
      </c>
      <c r="E41" s="49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7" t="s">
        <v>19</v>
      </c>
      <c r="D42" s="49" t="s">
        <v>24</v>
      </c>
      <c r="E42" s="49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9" t="s">
        <v>22</v>
      </c>
      <c r="E43" s="49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9" t="s">
        <v>20</v>
      </c>
      <c r="E44" s="49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3" t="s">
        <v>64</v>
      </c>
      <c r="D45" s="50" t="s">
        <v>105</v>
      </c>
      <c r="E45" s="50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3" t="s">
        <v>64</v>
      </c>
      <c r="D46" s="50" t="s">
        <v>103</v>
      </c>
      <c r="E46" s="50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5" t="s">
        <v>64</v>
      </c>
      <c r="D47" s="50" t="s">
        <v>101</v>
      </c>
      <c r="E47" s="50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5" t="s">
        <v>64</v>
      </c>
      <c r="D48" s="50" t="s">
        <v>99</v>
      </c>
      <c r="E48" s="50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50" t="s">
        <v>97</v>
      </c>
      <c r="E49" s="50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5" t="s">
        <v>64</v>
      </c>
      <c r="D50" s="50" t="s">
        <v>95</v>
      </c>
      <c r="E50" s="50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5" t="s">
        <v>64</v>
      </c>
      <c r="D51" s="50" t="s">
        <v>93</v>
      </c>
      <c r="E51" s="50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5" t="s">
        <v>64</v>
      </c>
      <c r="D52" s="50" t="s">
        <v>91</v>
      </c>
      <c r="E52" s="50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5" t="s">
        <v>64</v>
      </c>
      <c r="D53" s="50" t="s">
        <v>89</v>
      </c>
      <c r="E53" s="50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5" t="s">
        <v>64</v>
      </c>
      <c r="D54" s="50" t="s">
        <v>87</v>
      </c>
      <c r="E54" s="50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5" t="s">
        <v>64</v>
      </c>
      <c r="D55" s="50" t="s">
        <v>85</v>
      </c>
      <c r="E55" s="50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5" t="s">
        <v>64</v>
      </c>
      <c r="D56" s="50" t="s">
        <v>83</v>
      </c>
      <c r="E56" s="50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5" t="s">
        <v>64</v>
      </c>
      <c r="D57" s="50" t="s">
        <v>81</v>
      </c>
      <c r="E57" s="50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6" t="s">
        <v>64</v>
      </c>
      <c r="D58" s="50" t="s">
        <v>79</v>
      </c>
      <c r="E58" s="50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6" t="s">
        <v>64</v>
      </c>
      <c r="D59" s="50" t="s">
        <v>77</v>
      </c>
      <c r="E59" s="50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6" t="s">
        <v>64</v>
      </c>
      <c r="D60" s="50" t="s">
        <v>75</v>
      </c>
      <c r="E60" s="50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6" t="s">
        <v>64</v>
      </c>
      <c r="D61" s="50" t="s">
        <v>73</v>
      </c>
      <c r="E61" s="50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7" t="s">
        <v>64</v>
      </c>
      <c r="D62" s="50" t="s">
        <v>71</v>
      </c>
      <c r="E62" s="50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7" t="s">
        <v>64</v>
      </c>
      <c r="D63" s="50" t="s">
        <v>69</v>
      </c>
      <c r="E63" s="50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7" t="s">
        <v>64</v>
      </c>
      <c r="D64" s="50" t="s">
        <v>67</v>
      </c>
      <c r="E64" s="50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7" t="s">
        <v>64</v>
      </c>
      <c r="D65" s="50" t="s">
        <v>65</v>
      </c>
      <c r="E65" s="50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3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3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3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3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3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3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5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5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5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5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6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6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6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6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6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6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7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7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7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7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7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7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7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7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9">
        <v>45939</v>
      </c>
      <c r="C92" s="40" t="s">
        <v>107</v>
      </c>
      <c r="D92" s="38" t="s">
        <v>108</v>
      </c>
      <c r="E92" s="38" t="s">
        <v>109</v>
      </c>
      <c r="F92" s="41">
        <v>6.55</v>
      </c>
      <c r="G92" s="41">
        <v>102.098595</v>
      </c>
      <c r="H92" s="31">
        <v>5.8667418150000001</v>
      </c>
      <c r="I92" s="41">
        <v>225.36990662900001</v>
      </c>
      <c r="J92" s="41">
        <v>3.0444444439999998</v>
      </c>
      <c r="K92" s="41">
        <v>4.222433949</v>
      </c>
      <c r="L92" s="41">
        <v>3.9112842759999999</v>
      </c>
      <c r="M92" s="41">
        <v>92.631035162226993</v>
      </c>
      <c r="N92" s="41">
        <v>0</v>
      </c>
      <c r="O92" s="31">
        <v>5.8667418150000001</v>
      </c>
      <c r="P92" s="41">
        <v>225.36990662900001</v>
      </c>
      <c r="Q92" s="41">
        <v>3.0444444439999998</v>
      </c>
      <c r="R92" s="41">
        <v>4.3561418979999997</v>
      </c>
      <c r="S92" s="41">
        <v>4.0332723100000001</v>
      </c>
      <c r="T92" s="41">
        <v>92.588175602171404</v>
      </c>
      <c r="U92" s="41">
        <v>0</v>
      </c>
      <c r="V92" s="32">
        <f t="shared" si="14"/>
        <v>0</v>
      </c>
      <c r="W92" s="41">
        <f t="shared" si="15"/>
        <v>0</v>
      </c>
      <c r="X92" s="41">
        <f t="shared" si="16"/>
        <v>0</v>
      </c>
      <c r="Y92" s="41">
        <f t="shared" si="17"/>
        <v>-0.13370794899999972</v>
      </c>
      <c r="Z92" s="41">
        <f t="shared" si="18"/>
        <v>-0.12198803400000013</v>
      </c>
      <c r="AA92" s="41">
        <f t="shared" si="19"/>
        <v>4.2859560055589441E-2</v>
      </c>
      <c r="AB92" s="42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2026-02-13T14:16:31Z</dcterms:modified>
</cp:coreProperties>
</file>