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" yWindow="750" windowWidth="38370" windowHeight="20850" tabRatio="600" firstSheet="0" activeTab="0" autoFilterDateGrouping="1"/>
  </bookViews>
  <sheets>
    <sheet xmlns:r="http://schemas.openxmlformats.org/officeDocument/2006/relationships" name="Base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* #,##0_);_(* \(#,##0\);_(* &quot;-&quot;??_);_(@_)"/>
    <numFmt numFmtId="165" formatCode="_(* #,##0.0_);_(* \(#,##0.0\);_(* &quot;-&quot;??_);_(@_)"/>
    <numFmt numFmtId="166" formatCode="0.0"/>
  </numFmts>
  <fonts count="1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rgb="FFFA7D00"/>
      <sz val="16"/>
      <scheme val="minor"/>
    </font>
    <font>
      <name val="Calibri"/>
      <family val="2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sz val="8"/>
      <scheme val="minor"/>
    </font>
    <font>
      <b val="1"/>
      <color rgb="00FFFFFF"/>
      <sz val="11"/>
    </font>
    <font>
      <b val="1"/>
      <color rgb="00FFFFFF"/>
      <sz val="10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000F1D36"/>
        <bgColor rgb="000F1D36"/>
      </patternFill>
    </fill>
    <fill>
      <patternFill patternType="solid">
        <fgColor rgb="001B2A4A"/>
        <bgColor rgb="001B2A4A"/>
      </patternFill>
    </fill>
    <fill>
      <patternFill patternType="solid">
        <fgColor rgb="002C3E50"/>
        <bgColor rgb="002C3E50"/>
      </patternFill>
    </fill>
    <fill>
      <patternFill patternType="solid">
        <fgColor rgb="001B4332"/>
        <bgColor rgb="001B4332"/>
      </patternFill>
    </fill>
    <fill>
      <patternFill patternType="solid">
        <fgColor rgb="006B2C3E"/>
        <bgColor rgb="006B2C3E"/>
      </patternFill>
    </fill>
    <fill>
      <patternFill patternType="solid">
        <fgColor rgb="00E8EDF2"/>
        <bgColor rgb="00E8EDF2"/>
      </patternFill>
    </fill>
    <fill>
      <patternFill patternType="solid">
        <fgColor rgb="00E7F0E5"/>
        <bgColor rgb="00E7F0E5"/>
      </patternFill>
    </fill>
    <fill>
      <patternFill patternType="solid">
        <fgColor rgb="00FDF2E9"/>
        <bgColor rgb="00FDF2E9"/>
      </patternFill>
    </fill>
    <fill>
      <patternFill patternType="solid">
        <fgColor rgb="00F0E6EF"/>
        <bgColor rgb="00F0E6EF"/>
      </patternFill>
    </fill>
    <fill>
      <patternFill patternType="solid">
        <fgColor rgb="00E5ECF0"/>
        <bgColor rgb="00E5ECF0"/>
      </patternFill>
    </fill>
    <fill>
      <patternFill patternType="solid">
        <fgColor rgb="00F5EADF"/>
        <bgColor rgb="00F5EADF"/>
      </patternFill>
    </fill>
    <fill>
      <patternFill patternType="solid">
        <fgColor rgb="00E6EDE8"/>
        <bgColor rgb="00E6EDE8"/>
      </patternFill>
    </fill>
  </fills>
  <borders count="34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000F1D36"/>
      </left>
      <right style="thin">
        <color rgb="000F1D36"/>
      </right>
      <top style="thin">
        <color rgb="000F1D36"/>
      </top>
      <bottom style="thin">
        <color rgb="000F1D36"/>
      </bottom>
    </border>
    <border>
      <left style="thin">
        <color rgb="001B2A4A"/>
      </left>
      <right style="thin">
        <color rgb="001B2A4A"/>
      </right>
      <top style="thin">
        <color rgb="001B2A4A"/>
      </top>
      <bottom style="medium">
        <color rgb="001B2A4A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1B2A4A"/>
      </left>
      <right style="thin">
        <color rgb="000F1D36"/>
      </right>
      <top style="thin">
        <color rgb="000F1D36"/>
      </top>
      <bottom style="thin">
        <color rgb="000F1D36"/>
      </bottom>
    </border>
    <border>
      <left style="medium">
        <color rgb="001B2A4A"/>
      </left>
      <right style="thin">
        <color rgb="001B2A4A"/>
      </right>
      <top style="thin">
        <color rgb="001B2A4A"/>
      </top>
      <bottom style="medium">
        <color rgb="001B2A4A"/>
      </bottom>
    </border>
    <border>
      <left style="medium">
        <color rgb="001B2A4A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medium">
        <color rgb="001B2A4A"/>
      </left>
      <right style="thin">
        <color rgb="000F1D36"/>
      </right>
      <top style="medium">
        <color rgb="001B2A4A"/>
      </top>
      <bottom style="thin">
        <color rgb="000F1D36"/>
      </bottom>
    </border>
    <border>
      <left/>
      <right/>
      <top style="medium">
        <color rgb="001B2A4A"/>
      </top>
      <bottom style="double">
        <color rgb="FFFF8001"/>
      </bottom>
    </border>
    <border>
      <left/>
      <right/>
      <top style="medium">
        <color rgb="001B2A4A"/>
      </top>
      <bottom/>
    </border>
    <border>
      <left/>
      <right style="medium">
        <color rgb="001B2A4A"/>
      </right>
      <top style="medium">
        <color rgb="001B2A4A"/>
      </top>
      <bottom/>
    </border>
    <border>
      <left style="thin">
        <color rgb="001B2A4A"/>
      </left>
      <right style="medium">
        <color rgb="001B2A4A"/>
      </right>
      <top style="thin">
        <color rgb="001B2A4A"/>
      </top>
      <bottom style="medium">
        <color rgb="001B2A4A"/>
      </bottom>
    </border>
    <border>
      <left style="thin">
        <color rgb="00D9D9D9"/>
      </left>
      <right style="medium">
        <color rgb="001B2A4A"/>
      </right>
      <top style="thin">
        <color rgb="00D9D9D9"/>
      </top>
      <bottom style="thin">
        <color rgb="00D9D9D9"/>
      </bottom>
    </border>
    <border>
      <left style="medium">
        <color rgb="001B2A4A"/>
      </left>
      <right style="thin">
        <color rgb="00D9D9D9"/>
      </right>
      <top style="thin">
        <color rgb="00D9D9D9"/>
      </top>
      <bottom style="medium">
        <color rgb="001B2A4A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medium">
        <color rgb="001B2A4A"/>
      </bottom>
    </border>
    <border>
      <left style="thin">
        <color rgb="00D9D9D9"/>
      </left>
      <right style="medium">
        <color rgb="001B2A4A"/>
      </right>
      <top style="thin">
        <color rgb="00D9D9D9"/>
      </top>
      <bottom style="medium">
        <color rgb="001B2A4A"/>
      </bottom>
    </border>
  </borders>
  <cellStyleXfs count="11">
    <xf numFmtId="0" fontId="1" fillId="0" borderId="0"/>
    <xf numFmtId="43" fontId="1" fillId="0" borderId="0"/>
    <xf numFmtId="0" fontId="2" fillId="2" borderId="0"/>
    <xf numFmtId="0" fontId="3" fillId="3" borderId="0"/>
    <xf numFmtId="0" fontId="4" fillId="4" borderId="0"/>
    <xf numFmtId="0" fontId="5" fillId="0" borderId="1"/>
    <xf numFmtId="0" fontId="1" fillId="5" borderId="0"/>
    <xf numFmtId="0" fontId="1" fillId="6" borderId="0"/>
    <xf numFmtId="0" fontId="1" fillId="7" borderId="0"/>
    <xf numFmtId="0" fontId="1" fillId="8" borderId="0"/>
    <xf numFmtId="0" fontId="1" fillId="9" borderId="0"/>
  </cellStyleXfs>
  <cellXfs count="209">
    <xf numFmtId="0" fontId="0" fillId="0" borderId="0" pivotButton="0" quotePrefix="0" xfId="0"/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43" fontId="6" fillId="0" borderId="3" applyAlignment="1" pivotButton="0" quotePrefix="0" xfId="1">
      <alignment horizontal="center" vertical="center"/>
    </xf>
    <xf numFmtId="43" fontId="6" fillId="0" borderId="4" applyAlignment="1" pivotButton="0" quotePrefix="0" xfId="1">
      <alignment horizontal="center" vertical="center"/>
    </xf>
    <xf numFmtId="0" fontId="6" fillId="0" borderId="5" applyAlignment="1" pivotButton="0" quotePrefix="0" xfId="0">
      <alignment horizontal="center" vertical="center"/>
    </xf>
    <xf numFmtId="43" fontId="0" fillId="0" borderId="6" pivotButton="0" quotePrefix="0" xfId="1"/>
    <xf numFmtId="43" fontId="8" fillId="10" borderId="7" pivotButton="0" quotePrefix="0" xfId="1"/>
    <xf numFmtId="43" fontId="8" fillId="10" borderId="6" pivotButton="0" quotePrefix="0" xfId="1"/>
    <xf numFmtId="14" fontId="8" fillId="10" borderId="12" pivotButton="0" quotePrefix="0" xfId="4"/>
    <xf numFmtId="0" fontId="8" fillId="10" borderId="0" pivotButton="0" quotePrefix="0" xfId="4"/>
    <xf numFmtId="43" fontId="8" fillId="10" borderId="0" pivotButton="0" quotePrefix="0" xfId="4"/>
    <xf numFmtId="43" fontId="8" fillId="10" borderId="13" pivotButton="0" quotePrefix="0" xfId="4"/>
    <xf numFmtId="14" fontId="8" fillId="10" borderId="12" pivotButton="0" quotePrefix="0" xfId="0"/>
    <xf numFmtId="0" fontId="8" fillId="10" borderId="0" pivotButton="0" quotePrefix="0" xfId="0"/>
    <xf numFmtId="43" fontId="8" fillId="10" borderId="0" pivotButton="0" quotePrefix="0" xfId="1"/>
    <xf numFmtId="43" fontId="8" fillId="10" borderId="13" pivotButton="0" quotePrefix="0" xfId="1"/>
    <xf numFmtId="14" fontId="0" fillId="10" borderId="12" pivotButton="0" quotePrefix="0" xfId="0"/>
    <xf numFmtId="43" fontId="0" fillId="10" borderId="0" pivotButton="0" quotePrefix="0" xfId="1"/>
    <xf numFmtId="14" fontId="0" fillId="0" borderId="12" pivotButton="0" quotePrefix="0" xfId="0"/>
    <xf numFmtId="43" fontId="0" fillId="0" borderId="0" pivotButton="0" quotePrefix="0" xfId="1"/>
    <xf numFmtId="43" fontId="0" fillId="0" borderId="13" pivotButton="0" quotePrefix="0" xfId="1"/>
    <xf numFmtId="14" fontId="8" fillId="10" borderId="12" pivotButton="0" quotePrefix="0" xfId="2"/>
    <xf numFmtId="0" fontId="8" fillId="10" borderId="0" pivotButton="0" quotePrefix="0" xfId="2"/>
    <xf numFmtId="43" fontId="8" fillId="10" borderId="0" pivotButton="0" quotePrefix="0" xfId="2"/>
    <xf numFmtId="43" fontId="8" fillId="10" borderId="13" pivotButton="0" quotePrefix="0" xfId="2"/>
    <xf numFmtId="14" fontId="8" fillId="10" borderId="12" pivotButton="0" quotePrefix="0" xfId="3"/>
    <xf numFmtId="0" fontId="8" fillId="10" borderId="0" pivotButton="0" quotePrefix="0" xfId="3"/>
    <xf numFmtId="43" fontId="8" fillId="10" borderId="0" pivotButton="0" quotePrefix="0" xfId="3"/>
    <xf numFmtId="43" fontId="8" fillId="10" borderId="13" pivotButton="0" quotePrefix="0" xfId="3"/>
    <xf numFmtId="43" fontId="0" fillId="0" borderId="15" pivotButton="0" quotePrefix="0" xfId="1"/>
    <xf numFmtId="43" fontId="0" fillId="0" borderId="16" pivotButton="0" quotePrefix="0" xfId="1"/>
    <xf numFmtId="43" fontId="8" fillId="10" borderId="16" pivotButton="0" quotePrefix="0" xfId="1"/>
    <xf numFmtId="43" fontId="8" fillId="10" borderId="15" pivotButton="0" quotePrefix="0" xfId="1"/>
    <xf numFmtId="43" fontId="8" fillId="10" borderId="17" pivotButton="0" quotePrefix="0" xfId="1"/>
    <xf numFmtId="14" fontId="4" fillId="4" borderId="0" pivotButton="0" quotePrefix="0" xfId="4"/>
    <xf numFmtId="0" fontId="1" fillId="5" borderId="0" pivotButton="0" quotePrefix="0" xfId="6"/>
    <xf numFmtId="14" fontId="1" fillId="5" borderId="0" pivotButton="0" quotePrefix="0" xfId="6"/>
    <xf numFmtId="0" fontId="1" fillId="5" borderId="15" pivotButton="0" quotePrefix="0" xfId="6"/>
    <xf numFmtId="14" fontId="8" fillId="10" borderId="14" pivotButton="0" quotePrefix="0" xfId="4"/>
    <xf numFmtId="0" fontId="8" fillId="10" borderId="15" pivotButton="0" quotePrefix="0" xfId="4"/>
    <xf numFmtId="43" fontId="8" fillId="10" borderId="15" pivotButton="0" quotePrefix="0" xfId="4"/>
    <xf numFmtId="43" fontId="8" fillId="10" borderId="17" pivotButton="0" quotePrefix="0" xfId="4"/>
    <xf numFmtId="14" fontId="8" fillId="10" borderId="0" pivotButton="0" quotePrefix="0" xfId="6"/>
    <xf numFmtId="0" fontId="8" fillId="10" borderId="0" pivotButton="0" quotePrefix="0" xfId="6"/>
    <xf numFmtId="14" fontId="8" fillId="10" borderId="0" pivotButton="0" quotePrefix="0" xfId="3"/>
    <xf numFmtId="14" fontId="8" fillId="10" borderId="0" pivotButton="0" quotePrefix="0" xfId="2"/>
    <xf numFmtId="14" fontId="8" fillId="10" borderId="0" pivotButton="0" quotePrefix="0" xfId="4"/>
    <xf numFmtId="0" fontId="1" fillId="8" borderId="0" pivotButton="0" quotePrefix="0" xfId="9"/>
    <xf numFmtId="0" fontId="1" fillId="7" borderId="0" pivotButton="0" quotePrefix="0" xfId="8"/>
    <xf numFmtId="0" fontId="1" fillId="9" borderId="0" pivotButton="0" quotePrefix="0" xfId="10"/>
    <xf numFmtId="0" fontId="8" fillId="10" borderId="18" pivotButton="0" quotePrefix="0" xfId="4"/>
    <xf numFmtId="43" fontId="8" fillId="10" borderId="10" pivotButton="0" quotePrefix="0" xfId="4"/>
    <xf numFmtId="43" fontId="0" fillId="0" borderId="7" pivotButton="0" quotePrefix="0" xfId="1"/>
    <xf numFmtId="43" fontId="8" fillId="10" borderId="11" pivotButton="0" quotePrefix="0" xfId="4"/>
    <xf numFmtId="0" fontId="8" fillId="10" borderId="12" pivotButton="0" quotePrefix="0" xfId="4"/>
    <xf numFmtId="0" fontId="8" fillId="10" borderId="14" pivotButton="0" quotePrefix="0" xfId="4"/>
    <xf numFmtId="43" fontId="6" fillId="0" borderId="15" applyAlignment="1" pivotButton="0" quotePrefix="0" xfId="1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8" fillId="10" borderId="12" pivotButton="0" quotePrefix="0" xfId="9"/>
    <xf numFmtId="0" fontId="8" fillId="10" borderId="14" pivotButton="0" quotePrefix="0" xfId="9"/>
    <xf numFmtId="164" fontId="8" fillId="10" borderId="10" pivotButton="0" quotePrefix="0" xfId="4"/>
    <xf numFmtId="164" fontId="8" fillId="10" borderId="0" pivotButton="0" quotePrefix="0" xfId="1"/>
    <xf numFmtId="164" fontId="0" fillId="10" borderId="0" pivotButton="0" quotePrefix="0" xfId="1"/>
    <xf numFmtId="164" fontId="0" fillId="0" borderId="0" pivotButton="0" quotePrefix="0" xfId="1"/>
    <xf numFmtId="164" fontId="8" fillId="10" borderId="0" pivotButton="0" quotePrefix="0" xfId="2"/>
    <xf numFmtId="164" fontId="8" fillId="10" borderId="0" pivotButton="0" quotePrefix="0" xfId="4"/>
    <xf numFmtId="164" fontId="0" fillId="0" borderId="15" pivotButton="0" quotePrefix="0" xfId="1"/>
    <xf numFmtId="164" fontId="8" fillId="10" borderId="15" pivotButton="0" quotePrefix="0" xfId="1"/>
    <xf numFmtId="164" fontId="8" fillId="10" borderId="0" pivotButton="0" quotePrefix="0" xfId="3"/>
    <xf numFmtId="0" fontId="9" fillId="10" borderId="0" pivotButton="0" quotePrefix="0" xfId="8"/>
    <xf numFmtId="0" fontId="9" fillId="10" borderId="0" pivotButton="0" quotePrefix="0" xfId="10"/>
    <xf numFmtId="0" fontId="9" fillId="10" borderId="0" pivotButton="0" quotePrefix="0" xfId="6"/>
    <xf numFmtId="0" fontId="9" fillId="10" borderId="15" pivotButton="0" quotePrefix="0" xfId="6"/>
    <xf numFmtId="0" fontId="9" fillId="10" borderId="0" pivotButton="0" quotePrefix="0" xfId="0"/>
    <xf numFmtId="165" fontId="0" fillId="0" borderId="6" pivotButton="0" quotePrefix="0" xfId="1"/>
    <xf numFmtId="165" fontId="0" fillId="0" borderId="0" pivotButton="0" quotePrefix="0" xfId="1"/>
    <xf numFmtId="165" fontId="8" fillId="10" borderId="6" pivotButton="0" quotePrefix="0" xfId="1"/>
    <xf numFmtId="165" fontId="8" fillId="10" borderId="0" pivotButton="0" quotePrefix="0" xfId="1"/>
    <xf numFmtId="165" fontId="8" fillId="10" borderId="13" pivotButton="0" quotePrefix="0" xfId="1"/>
    <xf numFmtId="14" fontId="1" fillId="6" borderId="0" pivotButton="0" quotePrefix="0" xfId="7"/>
    <xf numFmtId="14" fontId="1" fillId="8" borderId="0" pivotButton="0" quotePrefix="0" xfId="9"/>
    <xf numFmtId="165" fontId="6" fillId="0" borderId="3" applyAlignment="1" pivotButton="0" quotePrefix="0" xfId="1">
      <alignment horizontal="center" vertical="center"/>
    </xf>
    <xf numFmtId="14" fontId="0" fillId="0" borderId="0" pivotButton="0" quotePrefix="0" xfId="0"/>
    <xf numFmtId="0" fontId="7" fillId="0" borderId="8" applyAlignment="1" pivotButton="0" quotePrefix="0" xfId="5">
      <alignment horizontal="center" vertical="center"/>
    </xf>
    <xf numFmtId="0" fontId="7" fillId="0" borderId="9" applyAlignment="1" pivotButton="0" quotePrefix="0" xfId="5">
      <alignment horizontal="center" vertical="center"/>
    </xf>
    <xf numFmtId="43" fontId="1" fillId="5" borderId="10" applyAlignment="1" pivotButton="0" quotePrefix="0" xfId="1">
      <alignment horizontal="center" vertical="center"/>
    </xf>
    <xf numFmtId="43" fontId="1" fillId="8" borderId="10" applyAlignment="1" pivotButton="0" quotePrefix="0" xfId="1">
      <alignment horizontal="center" vertical="center"/>
    </xf>
    <xf numFmtId="0" fontId="1" fillId="6" borderId="10" applyAlignment="1" pivotButton="0" quotePrefix="0" xfId="7">
      <alignment horizontal="center" vertical="center"/>
    </xf>
    <xf numFmtId="0" fontId="1" fillId="6" borderId="11" applyAlignment="1" pivotButton="0" quotePrefix="0" xfId="7">
      <alignment horizontal="center" vertical="center"/>
    </xf>
    <xf numFmtId="0" fontId="7" fillId="0" borderId="2" applyAlignment="1" pivotButton="0" quotePrefix="0" xfId="5">
      <alignment horizontal="center" vertical="center"/>
    </xf>
    <xf numFmtId="0" fontId="7" fillId="0" borderId="3" applyAlignment="1" pivotButton="0" quotePrefix="0" xfId="5">
      <alignment horizontal="center" vertical="center"/>
    </xf>
    <xf numFmtId="0" fontId="11" fillId="13" borderId="25" applyAlignment="1" pivotButton="0" quotePrefix="0" xfId="5">
      <alignment horizontal="center" vertical="center"/>
    </xf>
    <xf numFmtId="0" fontId="0" fillId="13" borderId="26" pivotButton="0" quotePrefix="0" xfId="0"/>
    <xf numFmtId="43" fontId="11" fillId="14" borderId="25" applyAlignment="1" pivotButton="0" quotePrefix="0" xfId="1">
      <alignment horizontal="center" vertical="center"/>
    </xf>
    <xf numFmtId="0" fontId="0" fillId="14" borderId="27" pivotButton="0" quotePrefix="0" xfId="0"/>
    <xf numFmtId="43" fontId="11" fillId="12" borderId="25" applyAlignment="1" pivotButton="0" quotePrefix="0" xfId="1">
      <alignment horizontal="center" vertical="center"/>
    </xf>
    <xf numFmtId="0" fontId="0" fillId="12" borderId="27" pivotButton="0" quotePrefix="0" xfId="0"/>
    <xf numFmtId="0" fontId="11" fillId="15" borderId="25" applyAlignment="1" pivotButton="0" quotePrefix="0" xfId="7">
      <alignment horizontal="center" vertical="center"/>
    </xf>
    <xf numFmtId="0" fontId="0" fillId="15" borderId="27" pivotButton="0" quotePrefix="0" xfId="0"/>
    <xf numFmtId="0" fontId="0" fillId="15" borderId="28" pivotButton="0" quotePrefix="0" xfId="0"/>
    <xf numFmtId="0" fontId="12" fillId="13" borderId="23" applyAlignment="1" pivotButton="0" quotePrefix="0" xfId="0">
      <alignment horizontal="center" vertical="center"/>
    </xf>
    <xf numFmtId="0" fontId="12" fillId="13" borderId="20" applyAlignment="1" pivotButton="0" quotePrefix="0" xfId="0">
      <alignment horizontal="center" vertical="center"/>
    </xf>
    <xf numFmtId="43" fontId="12" fillId="13" borderId="20" applyAlignment="1" pivotButton="0" quotePrefix="0" xfId="1">
      <alignment horizontal="center" vertical="center"/>
    </xf>
    <xf numFmtId="43" fontId="12" fillId="14" borderId="23" applyAlignment="1" pivotButton="0" quotePrefix="0" xfId="1">
      <alignment horizontal="center" vertical="center"/>
    </xf>
    <xf numFmtId="43" fontId="12" fillId="14" borderId="20" applyAlignment="1" pivotButton="0" quotePrefix="0" xfId="1">
      <alignment horizontal="center" vertical="center"/>
    </xf>
    <xf numFmtId="165" fontId="12" fillId="14" borderId="20" applyAlignment="1" pivotButton="0" quotePrefix="0" xfId="1">
      <alignment horizontal="center" vertical="center"/>
    </xf>
    <xf numFmtId="43" fontId="12" fillId="12" borderId="23" applyAlignment="1" pivotButton="0" quotePrefix="0" xfId="1">
      <alignment horizontal="center" vertical="center"/>
    </xf>
    <xf numFmtId="43" fontId="12" fillId="12" borderId="20" applyAlignment="1" pivotButton="0" quotePrefix="0" xfId="1">
      <alignment horizontal="center" vertical="center"/>
    </xf>
    <xf numFmtId="43" fontId="12" fillId="15" borderId="23" applyAlignment="1" pivotButton="0" quotePrefix="0" xfId="1">
      <alignment horizontal="center" vertical="center"/>
    </xf>
    <xf numFmtId="0" fontId="12" fillId="15" borderId="20" applyAlignment="1" pivotButton="0" quotePrefix="0" xfId="0">
      <alignment horizontal="center" vertical="center"/>
    </xf>
    <xf numFmtId="0" fontId="12" fillId="15" borderId="29" applyAlignment="1" pivotButton="0" quotePrefix="0" xfId="0">
      <alignment horizontal="center" vertical="center"/>
    </xf>
    <xf numFmtId="14" fontId="0" fillId="16" borderId="24" pivotButton="0" quotePrefix="0" xfId="0"/>
    <xf numFmtId="14" fontId="1" fillId="16" borderId="21" applyAlignment="1" pivotButton="0" quotePrefix="0" xfId="7">
      <alignment horizontal="left"/>
    </xf>
    <xf numFmtId="0" fontId="0" fillId="16" borderId="21" applyAlignment="1" pivotButton="0" quotePrefix="0" xfId="0">
      <alignment horizontal="left"/>
    </xf>
    <xf numFmtId="2" fontId="0" fillId="16" borderId="21" applyAlignment="1" pivotButton="0" quotePrefix="0" xfId="1">
      <alignment horizontal="right"/>
    </xf>
    <xf numFmtId="2" fontId="0" fillId="16" borderId="24" applyAlignment="1" pivotButton="0" quotePrefix="0" xfId="1">
      <alignment horizontal="right"/>
    </xf>
    <xf numFmtId="3" fontId="0" fillId="16" borderId="21" applyAlignment="1" pivotButton="0" quotePrefix="0" xfId="1">
      <alignment horizontal="right"/>
    </xf>
    <xf numFmtId="166" fontId="0" fillId="16" borderId="21" applyAlignment="1" pivotButton="0" quotePrefix="0" xfId="1">
      <alignment horizontal="right"/>
    </xf>
    <xf numFmtId="2" fontId="8" fillId="16" borderId="24" applyAlignment="1" pivotButton="0" quotePrefix="0" xfId="1">
      <alignment horizontal="right"/>
    </xf>
    <xf numFmtId="3" fontId="8" fillId="16" borderId="21" applyAlignment="1" pivotButton="0" quotePrefix="0" xfId="1">
      <alignment horizontal="right"/>
    </xf>
    <xf numFmtId="166" fontId="8" fillId="16" borderId="21" applyAlignment="1" pivotButton="0" quotePrefix="0" xfId="1">
      <alignment horizontal="right"/>
    </xf>
    <xf numFmtId="2" fontId="8" fillId="16" borderId="21" applyAlignment="1" pivotButton="0" quotePrefix="0" xfId="1">
      <alignment horizontal="right"/>
    </xf>
    <xf numFmtId="2" fontId="8" fillId="16" borderId="30" applyAlignment="1" pivotButton="0" quotePrefix="0" xfId="1">
      <alignment horizontal="right"/>
    </xf>
    <xf numFmtId="14" fontId="0" fillId="17" borderId="24" pivotButton="0" quotePrefix="0" xfId="0"/>
    <xf numFmtId="14" fontId="1" fillId="17" borderId="21" applyAlignment="1" pivotButton="0" quotePrefix="0" xfId="7">
      <alignment horizontal="left"/>
    </xf>
    <xf numFmtId="0" fontId="0" fillId="17" borderId="21" applyAlignment="1" pivotButton="0" quotePrefix="0" xfId="0">
      <alignment horizontal="left"/>
    </xf>
    <xf numFmtId="2" fontId="0" fillId="17" borderId="21" applyAlignment="1" pivotButton="0" quotePrefix="0" xfId="1">
      <alignment horizontal="right"/>
    </xf>
    <xf numFmtId="2" fontId="0" fillId="17" borderId="24" applyAlignment="1" pivotButton="0" quotePrefix="0" xfId="1">
      <alignment horizontal="right"/>
    </xf>
    <xf numFmtId="3" fontId="0" fillId="17" borderId="21" applyAlignment="1" pivotButton="0" quotePrefix="0" xfId="1">
      <alignment horizontal="right"/>
    </xf>
    <xf numFmtId="166" fontId="0" fillId="17" borderId="21" applyAlignment="1" pivotButton="0" quotePrefix="0" xfId="1">
      <alignment horizontal="right"/>
    </xf>
    <xf numFmtId="2" fontId="8" fillId="17" borderId="24" applyAlignment="1" pivotButton="0" quotePrefix="0" xfId="1">
      <alignment horizontal="right"/>
    </xf>
    <xf numFmtId="3" fontId="8" fillId="17" borderId="21" applyAlignment="1" pivotButton="0" quotePrefix="0" xfId="1">
      <alignment horizontal="right"/>
    </xf>
    <xf numFmtId="166" fontId="8" fillId="17" borderId="21" applyAlignment="1" pivotButton="0" quotePrefix="0" xfId="1">
      <alignment horizontal="right"/>
    </xf>
    <xf numFmtId="2" fontId="8" fillId="17" borderId="21" applyAlignment="1" pivotButton="0" quotePrefix="0" xfId="1">
      <alignment horizontal="right"/>
    </xf>
    <xf numFmtId="2" fontId="8" fillId="17" borderId="30" applyAlignment="1" pivotButton="0" quotePrefix="0" xfId="1">
      <alignment horizontal="right"/>
    </xf>
    <xf numFmtId="14" fontId="0" fillId="18" borderId="24" pivotButton="0" quotePrefix="0" xfId="0"/>
    <xf numFmtId="14" fontId="1" fillId="18" borderId="21" applyAlignment="1" pivotButton="0" quotePrefix="0" xfId="7">
      <alignment horizontal="left"/>
    </xf>
    <xf numFmtId="0" fontId="0" fillId="18" borderId="21" applyAlignment="1" pivotButton="0" quotePrefix="0" xfId="0">
      <alignment horizontal="left"/>
    </xf>
    <xf numFmtId="2" fontId="0" fillId="18" borderId="21" applyAlignment="1" pivotButton="0" quotePrefix="0" xfId="1">
      <alignment horizontal="right"/>
    </xf>
    <xf numFmtId="2" fontId="0" fillId="18" borderId="24" applyAlignment="1" pivotButton="0" quotePrefix="0" xfId="1">
      <alignment horizontal="right"/>
    </xf>
    <xf numFmtId="3" fontId="0" fillId="18" borderId="21" applyAlignment="1" pivotButton="0" quotePrefix="0" xfId="1">
      <alignment horizontal="right"/>
    </xf>
    <xf numFmtId="166" fontId="0" fillId="18" borderId="21" applyAlignment="1" pivotButton="0" quotePrefix="0" xfId="1">
      <alignment horizontal="right"/>
    </xf>
    <xf numFmtId="2" fontId="8" fillId="18" borderId="24" applyAlignment="1" pivotButton="0" quotePrefix="0" xfId="1">
      <alignment horizontal="right"/>
    </xf>
    <xf numFmtId="3" fontId="8" fillId="18" borderId="21" applyAlignment="1" pivotButton="0" quotePrefix="0" xfId="1">
      <alignment horizontal="right"/>
    </xf>
    <xf numFmtId="166" fontId="8" fillId="18" borderId="21" applyAlignment="1" pivotButton="0" quotePrefix="0" xfId="1">
      <alignment horizontal="right"/>
    </xf>
    <xf numFmtId="2" fontId="8" fillId="18" borderId="21" applyAlignment="1" pivotButton="0" quotePrefix="0" xfId="1">
      <alignment horizontal="right"/>
    </xf>
    <xf numFmtId="2" fontId="8" fillId="18" borderId="30" applyAlignment="1" pivotButton="0" quotePrefix="0" xfId="1">
      <alignment horizontal="right"/>
    </xf>
    <xf numFmtId="14" fontId="0" fillId="19" borderId="24" pivotButton="0" quotePrefix="0" xfId="0"/>
    <xf numFmtId="14" fontId="1" fillId="19" borderId="21" applyAlignment="1" pivotButton="0" quotePrefix="0" xfId="9">
      <alignment horizontal="left"/>
    </xf>
    <xf numFmtId="0" fontId="0" fillId="19" borderId="21" applyAlignment="1" pivotButton="0" quotePrefix="0" xfId="0">
      <alignment horizontal="left"/>
    </xf>
    <xf numFmtId="2" fontId="0" fillId="19" borderId="21" applyAlignment="1" pivotButton="0" quotePrefix="0" xfId="1">
      <alignment horizontal="right"/>
    </xf>
    <xf numFmtId="2" fontId="0" fillId="19" borderId="24" applyAlignment="1" pivotButton="0" quotePrefix="0" xfId="1">
      <alignment horizontal="right"/>
    </xf>
    <xf numFmtId="3" fontId="0" fillId="19" borderId="21" applyAlignment="1" pivotButton="0" quotePrefix="0" xfId="1">
      <alignment horizontal="right"/>
    </xf>
    <xf numFmtId="166" fontId="0" fillId="19" borderId="21" applyAlignment="1" pivotButton="0" quotePrefix="0" xfId="1">
      <alignment horizontal="right"/>
    </xf>
    <xf numFmtId="2" fontId="8" fillId="19" borderId="24" applyAlignment="1" pivotButton="0" quotePrefix="0" xfId="1">
      <alignment horizontal="right"/>
    </xf>
    <xf numFmtId="3" fontId="8" fillId="19" borderId="21" applyAlignment="1" pivotButton="0" quotePrefix="0" xfId="1">
      <alignment horizontal="right"/>
    </xf>
    <xf numFmtId="166" fontId="8" fillId="19" borderId="21" applyAlignment="1" pivotButton="0" quotePrefix="0" xfId="1">
      <alignment horizontal="right"/>
    </xf>
    <xf numFmtId="2" fontId="8" fillId="19" borderId="21" applyAlignment="1" pivotButton="0" quotePrefix="0" xfId="1">
      <alignment horizontal="right"/>
    </xf>
    <xf numFmtId="2" fontId="8" fillId="19" borderId="30" applyAlignment="1" pivotButton="0" quotePrefix="0" xfId="1">
      <alignment horizontal="right"/>
    </xf>
    <xf numFmtId="14" fontId="0" fillId="20" borderId="24" pivotButton="0" quotePrefix="0" xfId="0"/>
    <xf numFmtId="14" fontId="1" fillId="20" borderId="21" applyAlignment="1" pivotButton="0" quotePrefix="0" xfId="6">
      <alignment horizontal="left"/>
    </xf>
    <xf numFmtId="0" fontId="0" fillId="20" borderId="21" applyAlignment="1" pivotButton="0" quotePrefix="0" xfId="0">
      <alignment horizontal="left"/>
    </xf>
    <xf numFmtId="2" fontId="0" fillId="20" borderId="21" applyAlignment="1" pivotButton="0" quotePrefix="0" xfId="1">
      <alignment horizontal="right"/>
    </xf>
    <xf numFmtId="2" fontId="0" fillId="20" borderId="24" applyAlignment="1" pivotButton="0" quotePrefix="0" xfId="1">
      <alignment horizontal="right"/>
    </xf>
    <xf numFmtId="3" fontId="0" fillId="20" borderId="21" applyAlignment="1" pivotButton="0" quotePrefix="0" xfId="1">
      <alignment horizontal="right"/>
    </xf>
    <xf numFmtId="166" fontId="0" fillId="20" borderId="21" applyAlignment="1" pivotButton="0" quotePrefix="0" xfId="1">
      <alignment horizontal="right"/>
    </xf>
    <xf numFmtId="2" fontId="8" fillId="20" borderId="24" applyAlignment="1" pivotButton="0" quotePrefix="0" xfId="1">
      <alignment horizontal="right"/>
    </xf>
    <xf numFmtId="3" fontId="8" fillId="20" borderId="21" applyAlignment="1" pivotButton="0" quotePrefix="0" xfId="1">
      <alignment horizontal="right"/>
    </xf>
    <xf numFmtId="166" fontId="8" fillId="20" borderId="21" applyAlignment="1" pivotButton="0" quotePrefix="0" xfId="1">
      <alignment horizontal="right"/>
    </xf>
    <xf numFmtId="2" fontId="8" fillId="20" borderId="21" applyAlignment="1" pivotButton="0" quotePrefix="0" xfId="1">
      <alignment horizontal="right"/>
    </xf>
    <xf numFmtId="2" fontId="8" fillId="20" borderId="30" applyAlignment="1" pivotButton="0" quotePrefix="0" xfId="1">
      <alignment horizontal="right"/>
    </xf>
    <xf numFmtId="2" fontId="0" fillId="20" borderId="21" applyAlignment="1" pivotButton="0" quotePrefix="0" xfId="0">
      <alignment horizontal="right"/>
    </xf>
    <xf numFmtId="2" fontId="0" fillId="20" borderId="24" applyAlignment="1" pivotButton="0" quotePrefix="0" xfId="0">
      <alignment horizontal="right"/>
    </xf>
    <xf numFmtId="3" fontId="0" fillId="20" borderId="21" applyAlignment="1" pivotButton="0" quotePrefix="0" xfId="0">
      <alignment horizontal="right"/>
    </xf>
    <xf numFmtId="166" fontId="0" fillId="20" borderId="21" applyAlignment="1" pivotButton="0" quotePrefix="0" xfId="0">
      <alignment horizontal="right"/>
    </xf>
    <xf numFmtId="14" fontId="0" fillId="21" borderId="24" pivotButton="0" quotePrefix="0" xfId="0"/>
    <xf numFmtId="0" fontId="0" fillId="21" borderId="21" applyAlignment="1" pivotButton="0" quotePrefix="0" xfId="0">
      <alignment horizontal="left"/>
    </xf>
    <xf numFmtId="2" fontId="0" fillId="21" borderId="21" applyAlignment="1" pivotButton="0" quotePrefix="0" xfId="0">
      <alignment horizontal="right"/>
    </xf>
    <xf numFmtId="2" fontId="0" fillId="21" borderId="24" applyAlignment="1" pivotButton="0" quotePrefix="0" xfId="0">
      <alignment horizontal="right"/>
    </xf>
    <xf numFmtId="3" fontId="0" fillId="21" borderId="21" applyAlignment="1" pivotButton="0" quotePrefix="0" xfId="0">
      <alignment horizontal="right"/>
    </xf>
    <xf numFmtId="166" fontId="0" fillId="21" borderId="21" applyAlignment="1" pivotButton="0" quotePrefix="0" xfId="0">
      <alignment horizontal="right"/>
    </xf>
    <xf numFmtId="2" fontId="8" fillId="21" borderId="24" applyAlignment="1" pivotButton="0" quotePrefix="0" xfId="1">
      <alignment horizontal="right"/>
    </xf>
    <xf numFmtId="3" fontId="8" fillId="21" borderId="21" applyAlignment="1" pivotButton="0" quotePrefix="0" xfId="1">
      <alignment horizontal="right"/>
    </xf>
    <xf numFmtId="166" fontId="8" fillId="21" borderId="21" applyAlignment="1" pivotButton="0" quotePrefix="0" xfId="1">
      <alignment horizontal="right"/>
    </xf>
    <xf numFmtId="2" fontId="8" fillId="21" borderId="21" applyAlignment="1" pivotButton="0" quotePrefix="0" xfId="1">
      <alignment horizontal="right"/>
    </xf>
    <xf numFmtId="2" fontId="8" fillId="21" borderId="30" applyAlignment="1" pivotButton="0" quotePrefix="0" xfId="1">
      <alignment horizontal="right"/>
    </xf>
    <xf numFmtId="14" fontId="0" fillId="22" borderId="24" pivotButton="0" quotePrefix="0" xfId="0"/>
    <xf numFmtId="0" fontId="0" fillId="22" borderId="21" applyAlignment="1" pivotButton="0" quotePrefix="0" xfId="0">
      <alignment horizontal="left"/>
    </xf>
    <xf numFmtId="2" fontId="0" fillId="22" borderId="21" applyAlignment="1" pivotButton="0" quotePrefix="0" xfId="0">
      <alignment horizontal="right"/>
    </xf>
    <xf numFmtId="2" fontId="0" fillId="22" borderId="24" applyAlignment="1" pivotButton="0" quotePrefix="0" xfId="0">
      <alignment horizontal="right"/>
    </xf>
    <xf numFmtId="3" fontId="0" fillId="22" borderId="21" applyAlignment="1" pivotButton="0" quotePrefix="0" xfId="0">
      <alignment horizontal="right"/>
    </xf>
    <xf numFmtId="166" fontId="0" fillId="22" borderId="21" applyAlignment="1" pivotButton="0" quotePrefix="0" xfId="0">
      <alignment horizontal="right"/>
    </xf>
    <xf numFmtId="2" fontId="8" fillId="22" borderId="24" applyAlignment="1" pivotButton="0" quotePrefix="0" xfId="1">
      <alignment horizontal="right"/>
    </xf>
    <xf numFmtId="3" fontId="8" fillId="22" borderId="21" applyAlignment="1" pivotButton="0" quotePrefix="0" xfId="1">
      <alignment horizontal="right"/>
    </xf>
    <xf numFmtId="166" fontId="8" fillId="22" borderId="21" applyAlignment="1" pivotButton="0" quotePrefix="0" xfId="1">
      <alignment horizontal="right"/>
    </xf>
    <xf numFmtId="2" fontId="8" fillId="22" borderId="21" applyAlignment="1" pivotButton="0" quotePrefix="0" xfId="1">
      <alignment horizontal="right"/>
    </xf>
    <xf numFmtId="2" fontId="8" fillId="22" borderId="30" applyAlignment="1" pivotButton="0" quotePrefix="0" xfId="1">
      <alignment horizontal="right"/>
    </xf>
    <xf numFmtId="14" fontId="0" fillId="22" borderId="31" pivotButton="0" quotePrefix="0" xfId="0"/>
    <xf numFmtId="0" fontId="0" fillId="22" borderId="32" applyAlignment="1" pivotButton="0" quotePrefix="0" xfId="0">
      <alignment horizontal="left"/>
    </xf>
    <xf numFmtId="2" fontId="0" fillId="22" borderId="32" applyAlignment="1" pivotButton="0" quotePrefix="0" xfId="0">
      <alignment horizontal="right"/>
    </xf>
    <xf numFmtId="2" fontId="0" fillId="22" borderId="31" applyAlignment="1" pivotButton="0" quotePrefix="0" xfId="0">
      <alignment horizontal="right"/>
    </xf>
    <xf numFmtId="3" fontId="0" fillId="22" borderId="32" applyAlignment="1" pivotButton="0" quotePrefix="0" xfId="0">
      <alignment horizontal="right"/>
    </xf>
    <xf numFmtId="166" fontId="0" fillId="22" borderId="32" applyAlignment="1" pivotButton="0" quotePrefix="0" xfId="0">
      <alignment horizontal="right"/>
    </xf>
    <xf numFmtId="2" fontId="8" fillId="22" borderId="31" applyAlignment="1" pivotButton="0" quotePrefix="0" xfId="1">
      <alignment horizontal="right"/>
    </xf>
    <xf numFmtId="3" fontId="8" fillId="22" borderId="32" applyAlignment="1" pivotButton="0" quotePrefix="0" xfId="1">
      <alignment horizontal="right"/>
    </xf>
    <xf numFmtId="166" fontId="8" fillId="22" borderId="32" applyAlignment="1" pivotButton="0" quotePrefix="0" xfId="1">
      <alignment horizontal="right"/>
    </xf>
    <xf numFmtId="2" fontId="8" fillId="22" borderId="32" applyAlignment="1" pivotButton="0" quotePrefix="0" xfId="1">
      <alignment horizontal="right"/>
    </xf>
    <xf numFmtId="2" fontId="8" fillId="22" borderId="33" applyAlignment="1" pivotButton="0" quotePrefix="0" xfId="1">
      <alignment horizontal="right"/>
    </xf>
  </cellXfs>
  <cellStyles count="11">
    <cellStyle name="Normal" xfId="0" builtinId="0"/>
    <cellStyle name="Comma" xfId="1" builtinId="3"/>
    <cellStyle name="Good" xfId="2" builtinId="26"/>
    <cellStyle name="Bad" xfId="3" builtinId="27"/>
    <cellStyle name="Neutral" xfId="4" builtinId="28"/>
    <cellStyle name="Linked Cell" xfId="5" builtinId="24"/>
    <cellStyle name="60% - Accent1" xfId="6" builtinId="32"/>
    <cellStyle name="40% - Accent2" xfId="7" builtinId="35"/>
    <cellStyle name="60% - Accent2" xfId="8" builtinId="36"/>
    <cellStyle name="40% - Accent4" xfId="9" builtinId="43"/>
    <cellStyle name="60% - Accent6" xfId="10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12"/>
  <sheetViews>
    <sheetView showGridLines="0" tabSelected="1" topLeftCell="A1" zoomScaleNormal="100" workbookViewId="0">
      <pane ySplit="3" topLeftCell="A4" activePane="bottomLeft" state="frozen"/>
      <selection pane="bottomLeft" activeCell="Q32" sqref="Q32"/>
    </sheetView>
  </sheetViews>
  <sheetFormatPr baseColWidth="8" defaultRowHeight="15"/>
  <cols>
    <col width="12.85546875" bestFit="1" customWidth="1" min="2" max="2"/>
    <col width="13" bestFit="1" customWidth="1" min="3" max="3"/>
    <col width="17" bestFit="1" customWidth="1" min="4" max="4"/>
    <col width="21" bestFit="1" customWidth="1" min="5" max="5"/>
    <col width="11" bestFit="1" customWidth="1" min="6" max="6"/>
    <col width="8" bestFit="1" customWidth="1" min="7" max="7"/>
    <col width="8" bestFit="1" customWidth="1" min="8" max="8"/>
    <col width="8" bestFit="1" customWidth="1" min="9" max="9"/>
    <col width="9" bestFit="1" customWidth="1" min="10" max="10"/>
    <col width="8" bestFit="1" customWidth="1" min="11" max="11"/>
    <col width="9" bestFit="1" customWidth="1" min="12" max="12"/>
    <col width="10" bestFit="1" customWidth="1" min="13" max="13"/>
    <col width="9" bestFit="1" customWidth="1" min="14" max="14"/>
    <col width="10" bestFit="1" customWidth="1" min="15" max="15"/>
    <col width="8" bestFit="1" customWidth="1" min="16" max="16"/>
    <col width="11" bestFit="1" customWidth="1" min="17" max="17"/>
    <col width="8" bestFit="1" customWidth="1" min="18" max="18"/>
    <col width="9" bestFit="1" customWidth="1" min="19" max="19"/>
    <col width="8" bestFit="1" customWidth="1" min="20" max="20"/>
    <col width="9" bestFit="1" customWidth="1" min="21" max="21"/>
    <col width="10" bestFit="1" customWidth="1" min="22" max="22"/>
    <col width="9" bestFit="1" customWidth="1" min="23" max="23"/>
    <col width="10" bestFit="1" customWidth="1" min="24" max="24"/>
    <col width="8" bestFit="1" customWidth="1" min="25" max="25"/>
    <col width="11" bestFit="1" customWidth="1" min="26" max="26"/>
    <col width="8" bestFit="1" customWidth="1" min="27" max="27"/>
    <col width="9" bestFit="1" customWidth="1" min="28" max="28"/>
    <col width="8" bestFit="1" customWidth="1" min="29" max="29"/>
    <col width="9" bestFit="1" customWidth="1" min="30" max="30"/>
    <col width="10" bestFit="1" customWidth="1" min="31" max="31"/>
    <col width="9" bestFit="1" customWidth="1" min="32" max="32"/>
    <col width="10" bestFit="1" customWidth="1" min="33" max="33"/>
    <col width="8" bestFit="1" customWidth="1" min="34" max="34"/>
    <col width="11" bestFit="1" customWidth="1" min="35" max="35"/>
  </cols>
  <sheetData>
    <row r="1" ht="15.75" customHeight="1" thickBot="1"/>
    <row r="2" ht="21.75" customHeight="1" thickBot="1">
      <c r="C2" s="92" t="inlineStr">
        <is>
          <t>Base</t>
        </is>
      </c>
      <c r="D2" s="93" t="n"/>
      <c r="E2" s="93" t="n"/>
      <c r="F2" s="93" t="n"/>
      <c r="G2" s="93" t="n"/>
      <c r="H2" s="93" t="n"/>
      <c r="I2" s="94" t="inlineStr">
        <is>
          <t>New</t>
        </is>
      </c>
      <c r="J2" s="95" t="n"/>
      <c r="K2" s="95" t="n"/>
      <c r="L2" s="95" t="n"/>
      <c r="M2" s="95" t="n"/>
      <c r="N2" s="95" t="n"/>
      <c r="O2" s="95" t="n"/>
      <c r="P2" s="95" t="n"/>
      <c r="Q2" s="95" t="n"/>
      <c r="R2" s="96" t="inlineStr">
        <is>
          <t>Prod</t>
        </is>
      </c>
      <c r="S2" s="97" t="n"/>
      <c r="T2" s="97" t="n"/>
      <c r="U2" s="97" t="n"/>
      <c r="V2" s="97" t="n"/>
      <c r="W2" s="97" t="n"/>
      <c r="X2" s="97" t="n"/>
      <c r="Y2" s="97" t="n"/>
      <c r="Z2" s="97" t="n"/>
      <c r="AA2" s="98" t="inlineStr">
        <is>
          <t>Diff (New - Prod)</t>
        </is>
      </c>
      <c r="AB2" s="99" t="n"/>
      <c r="AC2" s="99" t="n"/>
      <c r="AD2" s="99" t="n"/>
      <c r="AE2" s="99" t="n"/>
      <c r="AF2" s="99" t="n"/>
      <c r="AG2" s="99" t="n"/>
      <c r="AH2" s="99" t="n"/>
      <c r="AI2" s="100" t="n"/>
    </row>
    <row r="3" ht="16.5" customHeight="1" thickBot="1" thickTop="1">
      <c r="C3" s="101" t="inlineStr">
        <is>
          <t>Date</t>
        </is>
      </c>
      <c r="D3" s="102" t="inlineStr">
        <is>
          <t>Asset Subtype</t>
        </is>
      </c>
      <c r="E3" s="102" t="inlineStr">
        <is>
          <t>Description</t>
        </is>
      </c>
      <c r="F3" s="102" t="inlineStr">
        <is>
          <t>Cusip</t>
        </is>
      </c>
      <c r="G3" s="103" t="inlineStr">
        <is>
          <t>Coupon</t>
        </is>
      </c>
      <c r="H3" s="103" t="inlineStr">
        <is>
          <t>Mark</t>
        </is>
      </c>
      <c r="I3" s="104" t="inlineStr">
        <is>
          <t>Yield</t>
        </is>
      </c>
      <c r="J3" s="105" t="inlineStr">
        <is>
          <t>Zspread</t>
        </is>
      </c>
      <c r="K3" s="105" t="inlineStr">
        <is>
          <t>WAL</t>
        </is>
      </c>
      <c r="L3" s="106" t="inlineStr">
        <is>
          <t>Eff Dur</t>
        </is>
      </c>
      <c r="M3" s="105" t="inlineStr">
        <is>
          <t>Sprd Dur</t>
        </is>
      </c>
      <c r="N3" s="105" t="inlineStr">
        <is>
          <t>Rem Def</t>
        </is>
      </c>
      <c r="O3" s="105" t="inlineStr">
        <is>
          <t>Cum loss</t>
        </is>
      </c>
      <c r="P3" s="105" t="inlineStr">
        <is>
          <t>Sev</t>
        </is>
      </c>
      <c r="Q3" s="105" t="inlineStr">
        <is>
          <t>Writedown</t>
        </is>
      </c>
      <c r="R3" s="107" t="inlineStr">
        <is>
          <t>Yield</t>
        </is>
      </c>
      <c r="S3" s="108" t="inlineStr">
        <is>
          <t>Zspread</t>
        </is>
      </c>
      <c r="T3" s="108" t="inlineStr">
        <is>
          <t>WAL</t>
        </is>
      </c>
      <c r="U3" s="108" t="inlineStr">
        <is>
          <t>Eff Dur</t>
        </is>
      </c>
      <c r="V3" s="108" t="inlineStr">
        <is>
          <t>Sprd Dur</t>
        </is>
      </c>
      <c r="W3" s="108" t="inlineStr">
        <is>
          <t>Rem Def</t>
        </is>
      </c>
      <c r="X3" s="108" t="inlineStr">
        <is>
          <t>Cum loss</t>
        </is>
      </c>
      <c r="Y3" s="108" t="inlineStr">
        <is>
          <t>Sev</t>
        </is>
      </c>
      <c r="Z3" s="108" t="inlineStr">
        <is>
          <t>Writedown</t>
        </is>
      </c>
      <c r="AA3" s="109" t="inlineStr">
        <is>
          <t>Yield</t>
        </is>
      </c>
      <c r="AB3" s="110" t="inlineStr">
        <is>
          <t>Zspread</t>
        </is>
      </c>
      <c r="AC3" s="110" t="inlineStr">
        <is>
          <t>WAL</t>
        </is>
      </c>
      <c r="AD3" s="110" t="inlineStr">
        <is>
          <t>Eff Dur</t>
        </is>
      </c>
      <c r="AE3" s="110" t="inlineStr">
        <is>
          <t>Sprd Dur</t>
        </is>
      </c>
      <c r="AF3" s="110" t="inlineStr">
        <is>
          <t>Rem Def</t>
        </is>
      </c>
      <c r="AG3" s="110" t="inlineStr">
        <is>
          <t>Cum loss</t>
        </is>
      </c>
      <c r="AH3" s="110" t="inlineStr">
        <is>
          <t>Sev</t>
        </is>
      </c>
      <c r="AI3" s="111" t="inlineStr">
        <is>
          <t>Writedown</t>
        </is>
      </c>
    </row>
    <row r="4">
      <c r="B4" t="inlineStr">
        <is>
          <t>BASEPRICE</t>
        </is>
      </c>
      <c r="C4" s="112" t="n">
        <v>46070</v>
      </c>
      <c r="D4" s="113" t="inlineStr">
        <is>
          <t>CRT-B1</t>
        </is>
      </c>
      <c r="E4" s="113" t="inlineStr">
        <is>
          <t>CAS 2019-HRP1 B1</t>
        </is>
      </c>
      <c r="F4" s="114" t="inlineStr">
        <is>
          <t>20754PAD2</t>
        </is>
      </c>
      <c r="G4" s="115" t="n">
        <v>13.06176</v>
      </c>
      <c r="H4" s="115" t="n">
        <v>105.45</v>
      </c>
      <c r="I4" s="116" t="n">
        <v>5.284616729</v>
      </c>
      <c r="J4" s="117" t="n">
        <v>175.776718416</v>
      </c>
      <c r="K4" s="118" t="n">
        <v>0.716964402</v>
      </c>
      <c r="L4" s="118" t="n">
        <v>0.0278080872451401</v>
      </c>
      <c r="M4" s="115" t="n">
        <v>0.678548961593177</v>
      </c>
      <c r="N4" s="115" t="n">
        <v>1.320082125</v>
      </c>
      <c r="O4" s="115" t="n">
        <v>0.044614793</v>
      </c>
      <c r="P4" s="118" t="n">
        <v>3.37969828960452</v>
      </c>
      <c r="Q4" s="115" t="n">
        <v>0</v>
      </c>
      <c r="R4" s="116" t="n">
        <v>5.349027718</v>
      </c>
      <c r="S4" s="117" t="n">
        <v>182.283535509</v>
      </c>
      <c r="T4" s="118" t="n">
        <v>0.723120951</v>
      </c>
      <c r="U4" s="118" t="n">
        <v>0.0283212660028383</v>
      </c>
      <c r="V4" s="115" t="n">
        <v>0.683903294452349</v>
      </c>
      <c r="W4" s="115" t="n">
        <v>1.13917107</v>
      </c>
      <c r="X4" s="115" t="n">
        <v>0.040879296</v>
      </c>
      <c r="Y4" s="118" t="n">
        <v>3.5885124786394</v>
      </c>
      <c r="Z4" s="115" t="n">
        <v>0</v>
      </c>
      <c r="AA4" s="119">
        <f>I4-R4</f>
        <v/>
      </c>
      <c r="AB4" s="120">
        <f>J4-S4</f>
        <v/>
      </c>
      <c r="AC4" s="121">
        <f>K4-T4</f>
        <v/>
      </c>
      <c r="AD4" s="121">
        <f>L4-U4</f>
        <v/>
      </c>
      <c r="AE4" s="122">
        <f>M4-V4</f>
        <v/>
      </c>
      <c r="AF4" s="122">
        <f>N4-W4</f>
        <v/>
      </c>
      <c r="AG4" s="122">
        <f>O4-X4</f>
        <v/>
      </c>
      <c r="AH4" s="121">
        <f>P4-Y4</f>
        <v/>
      </c>
      <c r="AI4" s="123">
        <f>Q4-Z4</f>
        <v/>
      </c>
    </row>
    <row r="5">
      <c r="B5" t="inlineStr">
        <is>
          <t>BASEPRICE</t>
        </is>
      </c>
      <c r="C5" s="124" t="n">
        <v>46070</v>
      </c>
      <c r="D5" s="125" t="inlineStr">
        <is>
          <t>CRT-B2</t>
        </is>
      </c>
      <c r="E5" s="125" t="inlineStr">
        <is>
          <t>CAS 2021-R01 1B2</t>
        </is>
      </c>
      <c r="F5" s="126" t="inlineStr">
        <is>
          <t>20754RAJ5</t>
        </is>
      </c>
      <c r="G5" s="127" t="n">
        <v>9.697279999999999</v>
      </c>
      <c r="H5" s="127" t="n">
        <v>103.109375</v>
      </c>
      <c r="I5" s="128" t="n">
        <v>5.085732041</v>
      </c>
      <c r="J5" s="129" t="n">
        <v>153.878734452</v>
      </c>
      <c r="K5" s="130" t="n">
        <v>0.691666667</v>
      </c>
      <c r="L5" s="130" t="n">
        <v>0.0225646969540815</v>
      </c>
      <c r="M5" s="127" t="n">
        <v>0.660780291801783</v>
      </c>
      <c r="N5" s="127" t="n">
        <v>0.460194255</v>
      </c>
      <c r="O5" s="127" t="n">
        <v>0.017453252</v>
      </c>
      <c r="P5" s="130" t="n">
        <v>3.79258363405688</v>
      </c>
      <c r="Q5" s="127" t="n">
        <v>0</v>
      </c>
      <c r="R5" s="128" t="n">
        <v>5.085732041</v>
      </c>
      <c r="S5" s="129" t="n">
        <v>153.878734452</v>
      </c>
      <c r="T5" s="130" t="n">
        <v>0.691666667</v>
      </c>
      <c r="U5" s="130" t="n">
        <v>0.0225646969540815</v>
      </c>
      <c r="V5" s="127" t="n">
        <v>0.660780291801783</v>
      </c>
      <c r="W5" s="127" t="n">
        <v>0.358901461</v>
      </c>
      <c r="X5" s="127" t="n">
        <v>0.015262603</v>
      </c>
      <c r="Y5" s="130" t="n">
        <v>4.25258870707133</v>
      </c>
      <c r="Z5" s="127" t="n">
        <v>0</v>
      </c>
      <c r="AA5" s="131">
        <f>I5-R5</f>
        <v/>
      </c>
      <c r="AB5" s="132">
        <f>J5-S5</f>
        <v/>
      </c>
      <c r="AC5" s="133">
        <f>K5-T5</f>
        <v/>
      </c>
      <c r="AD5" s="133">
        <f>L5-U5</f>
        <v/>
      </c>
      <c r="AE5" s="134">
        <f>M5-V5</f>
        <v/>
      </c>
      <c r="AF5" s="134">
        <f>N5-W5</f>
        <v/>
      </c>
      <c r="AG5" s="134">
        <f>O5-X5</f>
        <v/>
      </c>
      <c r="AH5" s="133">
        <f>P5-Y5</f>
        <v/>
      </c>
      <c r="AI5" s="135">
        <f>Q5-Z5</f>
        <v/>
      </c>
    </row>
    <row r="6">
      <c r="B6" t="inlineStr">
        <is>
          <t>BASEPRICE</t>
        </is>
      </c>
      <c r="C6" s="124" t="n">
        <v>46070</v>
      </c>
      <c r="D6" s="125" t="inlineStr">
        <is>
          <t>CRT-B2</t>
        </is>
      </c>
      <c r="E6" s="125" t="inlineStr">
        <is>
          <t>CAS 2021-R02 2B2</t>
        </is>
      </c>
      <c r="F6" s="126" t="inlineStr">
        <is>
          <t>20754KAJ0</t>
        </is>
      </c>
      <c r="G6" s="127" t="n">
        <v>9.89728</v>
      </c>
      <c r="H6" s="127" t="n">
        <v>103.523438</v>
      </c>
      <c r="I6" s="128" t="n">
        <v>5.190744718</v>
      </c>
      <c r="J6" s="129" t="n">
        <v>167.04874309</v>
      </c>
      <c r="K6" s="130" t="n">
        <v>0.772222222</v>
      </c>
      <c r="L6" s="130" t="n">
        <v>0.0232365428203784</v>
      </c>
      <c r="M6" s="127" t="n">
        <v>0.736113290596093</v>
      </c>
      <c r="N6" s="127" t="n">
        <v>0.7190936530000001</v>
      </c>
      <c r="O6" s="127" t="n">
        <v>0.036484224</v>
      </c>
      <c r="P6" s="130" t="n">
        <v>5.07364010901651</v>
      </c>
      <c r="Q6" s="127" t="n">
        <v>0</v>
      </c>
      <c r="R6" s="128" t="n">
        <v>5.190744718</v>
      </c>
      <c r="S6" s="129" t="n">
        <v>167.04874309</v>
      </c>
      <c r="T6" s="130" t="n">
        <v>0.772222222</v>
      </c>
      <c r="U6" s="130" t="n">
        <v>0.0232365428203784</v>
      </c>
      <c r="V6" s="127" t="n">
        <v>0.736113290596093</v>
      </c>
      <c r="W6" s="127" t="n">
        <v>0.547904989</v>
      </c>
      <c r="X6" s="127" t="n">
        <v>0.02957903</v>
      </c>
      <c r="Y6" s="130" t="n">
        <v>5.39856920339158</v>
      </c>
      <c r="Z6" s="127" t="n">
        <v>0</v>
      </c>
      <c r="AA6" s="131">
        <f>I6-R6</f>
        <v/>
      </c>
      <c r="AB6" s="132">
        <f>J6-S6</f>
        <v/>
      </c>
      <c r="AC6" s="133">
        <f>K6-T6</f>
        <v/>
      </c>
      <c r="AD6" s="133">
        <f>L6-U6</f>
        <v/>
      </c>
      <c r="AE6" s="134">
        <f>M6-V6</f>
        <v/>
      </c>
      <c r="AF6" s="134">
        <f>N6-W6</f>
        <v/>
      </c>
      <c r="AG6" s="134">
        <f>O6-X6</f>
        <v/>
      </c>
      <c r="AH6" s="133">
        <f>P6-Y6</f>
        <v/>
      </c>
      <c r="AI6" s="135">
        <f>Q6-Z6</f>
        <v/>
      </c>
    </row>
    <row r="7">
      <c r="B7" t="inlineStr">
        <is>
          <t>BASEPRICE</t>
        </is>
      </c>
      <c r="C7" s="124" t="n">
        <v>46070</v>
      </c>
      <c r="D7" s="125" t="inlineStr">
        <is>
          <t>CRT-B2</t>
        </is>
      </c>
      <c r="E7" s="125" t="inlineStr">
        <is>
          <t>CAS 2022-R02 2B2</t>
        </is>
      </c>
      <c r="F7" s="126" t="inlineStr">
        <is>
          <t>20754BAJ0</t>
        </is>
      </c>
      <c r="G7" s="127" t="n">
        <v>11.34728</v>
      </c>
      <c r="H7" s="127" t="n">
        <v>105.45</v>
      </c>
      <c r="I7" s="128" t="n">
        <v>5.299273683</v>
      </c>
      <c r="J7" s="129" t="n">
        <v>182.43785752</v>
      </c>
      <c r="K7" s="130" t="n">
        <v>0.938888889</v>
      </c>
      <c r="L7" s="130" t="n">
        <v>0.0306291218587067</v>
      </c>
      <c r="M7" s="127" t="n">
        <v>0.88362839449977</v>
      </c>
      <c r="N7" s="127" t="n">
        <v>0.823896791</v>
      </c>
      <c r="O7" s="127" t="n">
        <v>0.046395903</v>
      </c>
      <c r="P7" s="130" t="n">
        <v>5.63127609025971</v>
      </c>
      <c r="Q7" s="127" t="n">
        <v>0</v>
      </c>
      <c r="R7" s="128" t="n">
        <v>5.299273683</v>
      </c>
      <c r="S7" s="129" t="n">
        <v>182.43785752</v>
      </c>
      <c r="T7" s="130" t="n">
        <v>0.938888889</v>
      </c>
      <c r="U7" s="130" t="n">
        <v>0.0306291218587067</v>
      </c>
      <c r="V7" s="127" t="n">
        <v>0.88362839449977</v>
      </c>
      <c r="W7" s="127" t="n">
        <v>0.629119026</v>
      </c>
      <c r="X7" s="127" t="n">
        <v>0.037493805</v>
      </c>
      <c r="Y7" s="130" t="n">
        <v>5.95973153735141</v>
      </c>
      <c r="Z7" s="127" t="n">
        <v>0</v>
      </c>
      <c r="AA7" s="131">
        <f>I7-R7</f>
        <v/>
      </c>
      <c r="AB7" s="132">
        <f>J7-S7</f>
        <v/>
      </c>
      <c r="AC7" s="133">
        <f>K7-T7</f>
        <v/>
      </c>
      <c r="AD7" s="133">
        <f>L7-U7</f>
        <v/>
      </c>
      <c r="AE7" s="134">
        <f>M7-V7</f>
        <v/>
      </c>
      <c r="AF7" s="134">
        <f>N7-W7</f>
        <v/>
      </c>
      <c r="AG7" s="134">
        <f>O7-X7</f>
        <v/>
      </c>
      <c r="AH7" s="133">
        <f>P7-Y7</f>
        <v/>
      </c>
      <c r="AI7" s="135">
        <f>Q7-Z7</f>
        <v/>
      </c>
    </row>
    <row r="8">
      <c r="B8" t="inlineStr">
        <is>
          <t>BASEPRICE</t>
        </is>
      </c>
      <c r="C8" s="124" t="n">
        <v>46070</v>
      </c>
      <c r="D8" s="125" t="inlineStr">
        <is>
          <t>CRT-B2</t>
        </is>
      </c>
      <c r="E8" s="125" t="inlineStr">
        <is>
          <t>CAS 2022-R04 1B2</t>
        </is>
      </c>
      <c r="F8" s="126" t="inlineStr">
        <is>
          <t>20753YAL6</t>
        </is>
      </c>
      <c r="G8" s="127" t="n">
        <v>13.19728</v>
      </c>
      <c r="H8" s="127" t="n">
        <v>108.5</v>
      </c>
      <c r="I8" s="128" t="n">
        <v>5.117282575</v>
      </c>
      <c r="J8" s="129" t="n">
        <v>164.924651441</v>
      </c>
      <c r="K8" s="130" t="n">
        <v>1.105555556</v>
      </c>
      <c r="L8" s="130" t="n">
        <v>0.0470599345622106</v>
      </c>
      <c r="M8" s="127" t="n">
        <v>1.02025482119816</v>
      </c>
      <c r="N8" s="127" t="n">
        <v>0.6217804179999999</v>
      </c>
      <c r="O8" s="127" t="n">
        <v>0.032547667</v>
      </c>
      <c r="P8" s="130" t="n">
        <v>5.23459183624532</v>
      </c>
      <c r="Q8" s="127" t="n">
        <v>0</v>
      </c>
      <c r="R8" s="128" t="n">
        <v>5.117282575</v>
      </c>
      <c r="S8" s="129" t="n">
        <v>164.924651441</v>
      </c>
      <c r="T8" s="130" t="n">
        <v>1.105555556</v>
      </c>
      <c r="U8" s="130" t="n">
        <v>0.0470599345622106</v>
      </c>
      <c r="V8" s="127" t="n">
        <v>1.02025482119816</v>
      </c>
      <c r="W8" s="127" t="n">
        <v>0.468045865</v>
      </c>
      <c r="X8" s="127" t="n">
        <v>0.026834089</v>
      </c>
      <c r="Y8" s="130" t="n">
        <v>5.73321783325658</v>
      </c>
      <c r="Z8" s="127" t="n">
        <v>0</v>
      </c>
      <c r="AA8" s="131">
        <f>I8-R8</f>
        <v/>
      </c>
      <c r="AB8" s="132">
        <f>J8-S8</f>
        <v/>
      </c>
      <c r="AC8" s="133">
        <f>K8-T8</f>
        <v/>
      </c>
      <c r="AD8" s="133">
        <f>L8-U8</f>
        <v/>
      </c>
      <c r="AE8" s="134">
        <f>M8-V8</f>
        <v/>
      </c>
      <c r="AF8" s="134">
        <f>N8-W8</f>
        <v/>
      </c>
      <c r="AG8" s="134">
        <f>O8-X8</f>
        <v/>
      </c>
      <c r="AH8" s="133">
        <f>P8-Y8</f>
        <v/>
      </c>
      <c r="AI8" s="135">
        <f>Q8-Z8</f>
        <v/>
      </c>
    </row>
    <row r="9">
      <c r="B9" t="inlineStr">
        <is>
          <t>BASEPRICE</t>
        </is>
      </c>
      <c r="C9" s="124" t="n">
        <v>46070</v>
      </c>
      <c r="D9" s="125" t="inlineStr">
        <is>
          <t>CRT-B2</t>
        </is>
      </c>
      <c r="E9" s="125" t="inlineStr">
        <is>
          <t>CAS 2022-R06 1B2</t>
        </is>
      </c>
      <c r="F9" s="126" t="inlineStr">
        <is>
          <t>20754NAR6</t>
        </is>
      </c>
      <c r="G9" s="127" t="n">
        <v>14.29728</v>
      </c>
      <c r="H9" s="127" t="n">
        <v>111.05</v>
      </c>
      <c r="I9" s="128" t="n">
        <v>5.119766505</v>
      </c>
      <c r="J9" s="129" t="n">
        <v>165.728257876</v>
      </c>
      <c r="K9" s="130" t="n">
        <v>1.272222222</v>
      </c>
      <c r="L9" s="130" t="n">
        <v>0.0637447375056327</v>
      </c>
      <c r="M9" s="127" t="n">
        <v>1.15820294822151</v>
      </c>
      <c r="N9" s="127" t="n">
        <v>0.731308802</v>
      </c>
      <c r="O9" s="127" t="n">
        <v>0.037705079</v>
      </c>
      <c r="P9" s="130" t="n">
        <v>5.15583552350024</v>
      </c>
      <c r="Q9" s="127" t="n">
        <v>0</v>
      </c>
      <c r="R9" s="128" t="n">
        <v>5.119766505</v>
      </c>
      <c r="S9" s="129" t="n">
        <v>165.728257876</v>
      </c>
      <c r="T9" s="130" t="n">
        <v>1.272222222</v>
      </c>
      <c r="U9" s="130" t="n">
        <v>0.0637447375056327</v>
      </c>
      <c r="V9" s="127" t="n">
        <v>1.15820294822151</v>
      </c>
      <c r="W9" s="127" t="n">
        <v>0.558185446</v>
      </c>
      <c r="X9" s="127" t="n">
        <v>0.031379673</v>
      </c>
      <c r="Y9" s="130" t="n">
        <v>5.62172898359661</v>
      </c>
      <c r="Z9" s="127" t="n">
        <v>0</v>
      </c>
      <c r="AA9" s="131">
        <f>I9-R9</f>
        <v/>
      </c>
      <c r="AB9" s="132">
        <f>J9-S9</f>
        <v/>
      </c>
      <c r="AC9" s="133">
        <f>K9-T9</f>
        <v/>
      </c>
      <c r="AD9" s="133">
        <f>L9-U9</f>
        <v/>
      </c>
      <c r="AE9" s="134">
        <f>M9-V9</f>
        <v/>
      </c>
      <c r="AF9" s="134">
        <f>N9-W9</f>
        <v/>
      </c>
      <c r="AG9" s="134">
        <f>O9-X9</f>
        <v/>
      </c>
      <c r="AH9" s="133">
        <f>P9-Y9</f>
        <v/>
      </c>
      <c r="AI9" s="135">
        <f>Q9-Z9</f>
        <v/>
      </c>
    </row>
    <row r="10">
      <c r="B10" t="inlineStr">
        <is>
          <t>BASEPRICE</t>
        </is>
      </c>
      <c r="C10" s="124" t="n">
        <v>46070</v>
      </c>
      <c r="D10" s="125" t="inlineStr">
        <is>
          <t>CRT-B2</t>
        </is>
      </c>
      <c r="E10" s="125" t="inlineStr">
        <is>
          <t>CAS 2022-R07 1B2</t>
        </is>
      </c>
      <c r="F10" s="126" t="inlineStr">
        <is>
          <t>20754MAL1</t>
        </is>
      </c>
      <c r="G10" s="127" t="n">
        <v>15.69728</v>
      </c>
      <c r="H10" s="127" t="n">
        <v>113.5</v>
      </c>
      <c r="I10" s="128" t="n">
        <v>5.181449151</v>
      </c>
      <c r="J10" s="129" t="n">
        <v>172.147032035</v>
      </c>
      <c r="K10" s="130" t="n">
        <v>1.355555556</v>
      </c>
      <c r="L10" s="130" t="n">
        <v>0.0794327885462621</v>
      </c>
      <c r="M10" s="127" t="n">
        <v>1.22071350660793</v>
      </c>
      <c r="N10" s="127" t="n">
        <v>0.784810723</v>
      </c>
      <c r="O10" s="127" t="n">
        <v>0.048101597</v>
      </c>
      <c r="P10" s="130" t="n">
        <v>6.12906979865513</v>
      </c>
      <c r="Q10" s="127" t="n">
        <v>0</v>
      </c>
      <c r="R10" s="128" t="n">
        <v>5.181449151</v>
      </c>
      <c r="S10" s="129" t="n">
        <v>172.147032035</v>
      </c>
      <c r="T10" s="130" t="n">
        <v>1.355555556</v>
      </c>
      <c r="U10" s="130" t="n">
        <v>0.0794327885462621</v>
      </c>
      <c r="V10" s="127" t="n">
        <v>1.22071350660793</v>
      </c>
      <c r="W10" s="127" t="n">
        <v>0.623965422</v>
      </c>
      <c r="X10" s="127" t="n">
        <v>0.040921246</v>
      </c>
      <c r="Y10" s="130" t="n">
        <v>6.55825540281301</v>
      </c>
      <c r="Z10" s="127" t="n">
        <v>0</v>
      </c>
      <c r="AA10" s="131">
        <f>I10-R10</f>
        <v/>
      </c>
      <c r="AB10" s="132">
        <f>J10-S10</f>
        <v/>
      </c>
      <c r="AC10" s="133">
        <f>K10-T10</f>
        <v/>
      </c>
      <c r="AD10" s="133">
        <f>L10-U10</f>
        <v/>
      </c>
      <c r="AE10" s="134">
        <f>M10-V10</f>
        <v/>
      </c>
      <c r="AF10" s="134">
        <f>N10-W10</f>
        <v/>
      </c>
      <c r="AG10" s="134">
        <f>O10-X10</f>
        <v/>
      </c>
      <c r="AH10" s="133">
        <f>P10-Y10</f>
        <v/>
      </c>
      <c r="AI10" s="135">
        <f>Q10-Z10</f>
        <v/>
      </c>
    </row>
    <row r="11">
      <c r="B11" t="inlineStr">
        <is>
          <t>BASEPRICE</t>
        </is>
      </c>
      <c r="C11" s="124" t="n">
        <v>46070</v>
      </c>
      <c r="D11" s="125" t="inlineStr">
        <is>
          <t>CRT-B2</t>
        </is>
      </c>
      <c r="E11" s="125" t="inlineStr">
        <is>
          <t>STACR 2020-HQA2 B2</t>
        </is>
      </c>
      <c r="F11" s="126" t="inlineStr">
        <is>
          <t>35565LBE5</t>
        </is>
      </c>
      <c r="G11" s="127" t="n">
        <v>11.41176</v>
      </c>
      <c r="H11" s="127" t="n">
        <v>121.985725</v>
      </c>
      <c r="I11" s="128" t="n">
        <v>5.142615771</v>
      </c>
      <c r="J11" s="129" t="n">
        <v>159.871389742</v>
      </c>
      <c r="K11" s="130" t="n">
        <v>4.105555556</v>
      </c>
      <c r="L11" s="130" t="n">
        <v>0.305500016497827</v>
      </c>
      <c r="M11" s="127" t="n">
        <v>3.36095594627978</v>
      </c>
      <c r="N11" s="127" t="n">
        <v>1.873841103</v>
      </c>
      <c r="O11" s="127" t="n">
        <v>0.134850498</v>
      </c>
      <c r="P11" s="130" t="n">
        <v>7.19647454547271</v>
      </c>
      <c r="Q11" s="127" t="n">
        <v>0</v>
      </c>
      <c r="R11" s="128" t="n">
        <v>5.142615771</v>
      </c>
      <c r="S11" s="129" t="n">
        <v>159.871389742</v>
      </c>
      <c r="T11" s="130" t="n">
        <v>4.105555556</v>
      </c>
      <c r="U11" s="130" t="n">
        <v>0.305500016497827</v>
      </c>
      <c r="V11" s="127" t="n">
        <v>3.36095594627978</v>
      </c>
      <c r="W11" s="127" t="n">
        <v>1.775881423</v>
      </c>
      <c r="X11" s="127" t="n">
        <v>0.133425161</v>
      </c>
      <c r="Y11" s="130" t="n">
        <v>7.51317961165474</v>
      </c>
      <c r="Z11" s="127" t="n">
        <v>0</v>
      </c>
      <c r="AA11" s="131">
        <f>I11-R11</f>
        <v/>
      </c>
      <c r="AB11" s="132">
        <f>J11-S11</f>
        <v/>
      </c>
      <c r="AC11" s="133">
        <f>K11-T11</f>
        <v/>
      </c>
      <c r="AD11" s="133">
        <f>L11-U11</f>
        <v/>
      </c>
      <c r="AE11" s="134">
        <f>M11-V11</f>
        <v/>
      </c>
      <c r="AF11" s="134">
        <f>N11-W11</f>
        <v/>
      </c>
      <c r="AG11" s="134">
        <f>O11-X11</f>
        <v/>
      </c>
      <c r="AH11" s="133">
        <f>P11-Y11</f>
        <v/>
      </c>
      <c r="AI11" s="135">
        <f>Q11-Z11</f>
        <v/>
      </c>
    </row>
    <row r="12">
      <c r="B12" t="inlineStr">
        <is>
          <t>BASEPRICE</t>
        </is>
      </c>
      <c r="C12" s="124" t="n">
        <v>46070</v>
      </c>
      <c r="D12" s="125" t="inlineStr">
        <is>
          <t>CRT-B2</t>
        </is>
      </c>
      <c r="E12" s="125" t="inlineStr">
        <is>
          <t>STACR 2021-DNA1 B2</t>
        </is>
      </c>
      <c r="F12" s="126" t="inlineStr">
        <is>
          <t>35564KBE8</t>
        </is>
      </c>
      <c r="G12" s="127" t="n">
        <v>8.447279999999999</v>
      </c>
      <c r="H12" s="127" t="n">
        <v>112.109375</v>
      </c>
      <c r="I12" s="128" t="n">
        <v>5.344434937</v>
      </c>
      <c r="J12" s="129" t="n">
        <v>173.621103549</v>
      </c>
      <c r="K12" s="130" t="n">
        <v>4.944444444</v>
      </c>
      <c r="L12" s="130" t="n">
        <v>0.178365945756096</v>
      </c>
      <c r="M12" s="127" t="n">
        <v>4.09380592033448</v>
      </c>
      <c r="N12" s="127" t="n">
        <v>0.338013195</v>
      </c>
      <c r="O12" s="127" t="n">
        <v>0.013423761</v>
      </c>
      <c r="P12" s="130" t="n">
        <v>3.97137188682826</v>
      </c>
      <c r="Q12" s="127" t="n">
        <v>0</v>
      </c>
      <c r="R12" s="128" t="n">
        <v>5.344434937</v>
      </c>
      <c r="S12" s="129" t="n">
        <v>173.621103549</v>
      </c>
      <c r="T12" s="130" t="n">
        <v>4.944444444</v>
      </c>
      <c r="U12" s="130" t="n">
        <v>0.178365945756096</v>
      </c>
      <c r="V12" s="127" t="n">
        <v>4.09380592033448</v>
      </c>
      <c r="W12" s="127" t="n">
        <v>0.296430359</v>
      </c>
      <c r="X12" s="127" t="n">
        <v>0.013082208</v>
      </c>
      <c r="Y12" s="130" t="n">
        <v>4.41324837446896</v>
      </c>
      <c r="Z12" s="127" t="n">
        <v>0</v>
      </c>
      <c r="AA12" s="131">
        <f>I12-R12</f>
        <v/>
      </c>
      <c r="AB12" s="132">
        <f>J12-S12</f>
        <v/>
      </c>
      <c r="AC12" s="133">
        <f>K12-T12</f>
        <v/>
      </c>
      <c r="AD12" s="133">
        <f>L12-U12</f>
        <v/>
      </c>
      <c r="AE12" s="134">
        <f>M12-V12</f>
        <v/>
      </c>
      <c r="AF12" s="134">
        <f>N12-W12</f>
        <v/>
      </c>
      <c r="AG12" s="134">
        <f>O12-X12</f>
        <v/>
      </c>
      <c r="AH12" s="133">
        <f>P12-Y12</f>
        <v/>
      </c>
      <c r="AI12" s="135">
        <f>Q12-Z12</f>
        <v/>
      </c>
    </row>
    <row r="13">
      <c r="B13" t="inlineStr">
        <is>
          <t>BASEPRICE</t>
        </is>
      </c>
      <c r="C13" s="124" t="n">
        <v>46070</v>
      </c>
      <c r="D13" s="125" t="inlineStr">
        <is>
          <t>CRT-B2</t>
        </is>
      </c>
      <c r="E13" s="125" t="inlineStr">
        <is>
          <t>STACR 2021-DNA5 B2</t>
        </is>
      </c>
      <c r="F13" s="126" t="inlineStr">
        <is>
          <t>35564KJB6</t>
        </is>
      </c>
      <c r="G13" s="127" t="n">
        <v>9.197279999999999</v>
      </c>
      <c r="H13" s="127" t="n">
        <v>121.261505</v>
      </c>
      <c r="I13" s="128" t="n">
        <v>5.718147254</v>
      </c>
      <c r="J13" s="129" t="n">
        <v>188.209899233</v>
      </c>
      <c r="K13" s="130" t="n">
        <v>7.902126356</v>
      </c>
      <c r="L13" s="130" t="n">
        <v>0.434108696737679</v>
      </c>
      <c r="M13" s="127" t="n">
        <v>5.83772571765458</v>
      </c>
      <c r="N13" s="127" t="n">
        <v>0.296000655</v>
      </c>
      <c r="O13" s="127" t="n">
        <v>0.013307164</v>
      </c>
      <c r="P13" s="130" t="n">
        <v>4.4956535653612</v>
      </c>
      <c r="Q13" s="127" t="n">
        <v>0</v>
      </c>
      <c r="R13" s="128" t="n">
        <v>5.721113208</v>
      </c>
      <c r="S13" s="129" t="n">
        <v>188.457525298</v>
      </c>
      <c r="T13" s="130" t="n">
        <v>7.910501634</v>
      </c>
      <c r="U13" s="130" t="n">
        <v>0.445130784909851</v>
      </c>
      <c r="V13" s="127" t="n">
        <v>5.84215999133443</v>
      </c>
      <c r="W13" s="127" t="n">
        <v>0.268108645</v>
      </c>
      <c r="X13" s="127" t="n">
        <v>0.012699697</v>
      </c>
      <c r="Y13" s="130" t="n">
        <v>4.73677266169467</v>
      </c>
      <c r="Z13" s="127" t="n">
        <v>0</v>
      </c>
      <c r="AA13" s="131">
        <f>I13-R13</f>
        <v/>
      </c>
      <c r="AB13" s="132">
        <f>J13-S13</f>
        <v/>
      </c>
      <c r="AC13" s="133">
        <f>K13-T13</f>
        <v/>
      </c>
      <c r="AD13" s="133">
        <f>L13-U13</f>
        <v/>
      </c>
      <c r="AE13" s="134">
        <f>M13-V13</f>
        <v/>
      </c>
      <c r="AF13" s="134">
        <f>N13-W13</f>
        <v/>
      </c>
      <c r="AG13" s="134">
        <f>O13-X13</f>
        <v/>
      </c>
      <c r="AH13" s="133">
        <f>P13-Y13</f>
        <v/>
      </c>
      <c r="AI13" s="135">
        <f>Q13-Z13</f>
        <v/>
      </c>
    </row>
    <row r="14">
      <c r="B14" t="inlineStr">
        <is>
          <t>BASEPRICE</t>
        </is>
      </c>
      <c r="C14" s="124" t="n">
        <v>46070</v>
      </c>
      <c r="D14" s="125" t="inlineStr">
        <is>
          <t>CRT-B2</t>
        </is>
      </c>
      <c r="E14" s="125" t="inlineStr">
        <is>
          <t>STACR 2021-DNA6 B2</t>
        </is>
      </c>
      <c r="F14" s="126" t="inlineStr">
        <is>
          <t>35564KLV9</t>
        </is>
      </c>
      <c r="G14" s="127" t="n">
        <v>11.19728</v>
      </c>
      <c r="H14" s="127" t="n">
        <v>104.09</v>
      </c>
      <c r="I14" s="128" t="n">
        <v>5.151252079</v>
      </c>
      <c r="J14" s="129" t="n">
        <v>160.397079625</v>
      </c>
      <c r="K14" s="130" t="n">
        <v>0.691666667</v>
      </c>
      <c r="L14" s="130" t="n">
        <v>0.0257608636756609</v>
      </c>
      <c r="M14" s="127" t="n">
        <v>0.657802215390525</v>
      </c>
      <c r="N14" s="127" t="n">
        <v>0.328197289</v>
      </c>
      <c r="O14" s="127" t="n">
        <v>0.013255776</v>
      </c>
      <c r="P14" s="130" t="n">
        <v>4.03896572101179</v>
      </c>
      <c r="Q14" s="127" t="n">
        <v>0</v>
      </c>
      <c r="R14" s="128" t="n">
        <v>5.151252079</v>
      </c>
      <c r="S14" s="129" t="n">
        <v>160.397079625</v>
      </c>
      <c r="T14" s="130" t="n">
        <v>0.691666667</v>
      </c>
      <c r="U14" s="130" t="n">
        <v>0.0257608636756609</v>
      </c>
      <c r="V14" s="127" t="n">
        <v>0.657802215390525</v>
      </c>
      <c r="W14" s="127" t="n">
        <v>0.298435994</v>
      </c>
      <c r="X14" s="127" t="n">
        <v>0.012738526</v>
      </c>
      <c r="Y14" s="130" t="n">
        <v>4.26842815749631</v>
      </c>
      <c r="Z14" s="127" t="n">
        <v>0</v>
      </c>
      <c r="AA14" s="131">
        <f>I14-R14</f>
        <v/>
      </c>
      <c r="AB14" s="132">
        <f>J14-S14</f>
        <v/>
      </c>
      <c r="AC14" s="133">
        <f>K14-T14</f>
        <v/>
      </c>
      <c r="AD14" s="133">
        <f>L14-U14</f>
        <v/>
      </c>
      <c r="AE14" s="134">
        <f>M14-V14</f>
        <v/>
      </c>
      <c r="AF14" s="134">
        <f>N14-W14</f>
        <v/>
      </c>
      <c r="AG14" s="134">
        <f>O14-X14</f>
        <v/>
      </c>
      <c r="AH14" s="133">
        <f>P14-Y14</f>
        <v/>
      </c>
      <c r="AI14" s="135">
        <f>Q14-Z14</f>
        <v/>
      </c>
    </row>
    <row r="15">
      <c r="B15" t="inlineStr">
        <is>
          <t>BASEPRICE</t>
        </is>
      </c>
      <c r="C15" s="124" t="n">
        <v>46070</v>
      </c>
      <c r="D15" s="125" t="inlineStr">
        <is>
          <t>CRT-B2</t>
        </is>
      </c>
      <c r="E15" s="125" t="inlineStr">
        <is>
          <t>STACR 2021-DNA7 B2</t>
        </is>
      </c>
      <c r="F15" s="126" t="inlineStr">
        <is>
          <t>35564KNE5</t>
        </is>
      </c>
      <c r="G15" s="127" t="n">
        <v>11.49728</v>
      </c>
      <c r="H15" s="127" t="n">
        <v>104.59375</v>
      </c>
      <c r="I15" s="128" t="n">
        <v>5.388109953</v>
      </c>
      <c r="J15" s="129" t="n">
        <v>186.738966229</v>
      </c>
      <c r="K15" s="130" t="n">
        <v>0.772222222</v>
      </c>
      <c r="L15" s="130" t="n">
        <v>0.0267161116223554</v>
      </c>
      <c r="M15" s="127" t="n">
        <v>0.7316980871227921</v>
      </c>
      <c r="N15" s="127" t="n">
        <v>0.391226525</v>
      </c>
      <c r="O15" s="127" t="n">
        <v>0.020079304</v>
      </c>
      <c r="P15" s="130" t="n">
        <v>5.13239842313862</v>
      </c>
      <c r="Q15" s="127" t="n">
        <v>0</v>
      </c>
      <c r="R15" s="128" t="n">
        <v>5.388109953</v>
      </c>
      <c r="S15" s="129" t="n">
        <v>186.738966229</v>
      </c>
      <c r="T15" s="130" t="n">
        <v>0.772222222</v>
      </c>
      <c r="U15" s="130" t="n">
        <v>0.0267161116223554</v>
      </c>
      <c r="V15" s="127" t="n">
        <v>0.7316980871227921</v>
      </c>
      <c r="W15" s="127" t="n">
        <v>0.352833554</v>
      </c>
      <c r="X15" s="127" t="n">
        <v>0.020105858</v>
      </c>
      <c r="Y15" s="130" t="n">
        <v>5.69839738087948</v>
      </c>
      <c r="Z15" s="127" t="n">
        <v>0</v>
      </c>
      <c r="AA15" s="131">
        <f>I15-R15</f>
        <v/>
      </c>
      <c r="AB15" s="132">
        <f>J15-S15</f>
        <v/>
      </c>
      <c r="AC15" s="133">
        <f>K15-T15</f>
        <v/>
      </c>
      <c r="AD15" s="133">
        <f>L15-U15</f>
        <v/>
      </c>
      <c r="AE15" s="134">
        <f>M15-V15</f>
        <v/>
      </c>
      <c r="AF15" s="134">
        <f>N15-W15</f>
        <v/>
      </c>
      <c r="AG15" s="134">
        <f>O15-X15</f>
        <v/>
      </c>
      <c r="AH15" s="133">
        <f>P15-Y15</f>
        <v/>
      </c>
      <c r="AI15" s="135">
        <f>Q15-Z15</f>
        <v/>
      </c>
    </row>
    <row r="16">
      <c r="B16" t="inlineStr">
        <is>
          <t>BASEPRICE</t>
        </is>
      </c>
      <c r="C16" s="124" t="n">
        <v>46070</v>
      </c>
      <c r="D16" s="125" t="inlineStr">
        <is>
          <t>CRT-B2</t>
        </is>
      </c>
      <c r="E16" s="125" t="inlineStr">
        <is>
          <t>STACR 2021-HQA3 B2</t>
        </is>
      </c>
      <c r="F16" s="126" t="inlineStr">
        <is>
          <t>35564KKL2</t>
        </is>
      </c>
      <c r="G16" s="127" t="n">
        <v>9.947279999999999</v>
      </c>
      <c r="H16" s="127" t="n">
        <v>102.71875</v>
      </c>
      <c r="I16" s="128" t="n">
        <v>5.387122591</v>
      </c>
      <c r="J16" s="129" t="n">
        <v>181.26764068</v>
      </c>
      <c r="K16" s="130" t="n">
        <v>0.605555556</v>
      </c>
      <c r="L16" s="130" t="n">
        <v>0.021283468694856</v>
      </c>
      <c r="M16" s="127" t="n">
        <v>0.580228009978707</v>
      </c>
      <c r="N16" s="127" t="n">
        <v>0.456632358</v>
      </c>
      <c r="O16" s="127" t="n">
        <v>0.028329632</v>
      </c>
      <c r="P16" s="130" t="n">
        <v>6.20403515074593</v>
      </c>
      <c r="Q16" s="127" t="n">
        <v>0</v>
      </c>
      <c r="R16" s="128" t="n">
        <v>5.387122591</v>
      </c>
      <c r="S16" s="129" t="n">
        <v>181.26764068</v>
      </c>
      <c r="T16" s="130" t="n">
        <v>0.605555556</v>
      </c>
      <c r="U16" s="130" t="n">
        <v>0.021283468694856</v>
      </c>
      <c r="V16" s="127" t="n">
        <v>0.580228009978707</v>
      </c>
      <c r="W16" s="127" t="n">
        <v>0.417237903</v>
      </c>
      <c r="X16" s="127" t="n">
        <v>0.027195671</v>
      </c>
      <c r="Y16" s="130" t="n">
        <v>6.51802504145938</v>
      </c>
      <c r="Z16" s="127" t="n">
        <v>0</v>
      </c>
      <c r="AA16" s="131">
        <f>I16-R16</f>
        <v/>
      </c>
      <c r="AB16" s="132">
        <f>J16-S16</f>
        <v/>
      </c>
      <c r="AC16" s="133">
        <f>K16-T16</f>
        <v/>
      </c>
      <c r="AD16" s="133">
        <f>L16-U16</f>
        <v/>
      </c>
      <c r="AE16" s="134">
        <f>M16-V16</f>
        <v/>
      </c>
      <c r="AF16" s="134">
        <f>N16-W16</f>
        <v/>
      </c>
      <c r="AG16" s="134">
        <f>O16-X16</f>
        <v/>
      </c>
      <c r="AH16" s="133">
        <f>P16-Y16</f>
        <v/>
      </c>
      <c r="AI16" s="135">
        <f>Q16-Z16</f>
        <v/>
      </c>
    </row>
    <row r="17">
      <c r="B17" t="inlineStr">
        <is>
          <t>BASEPRICE</t>
        </is>
      </c>
      <c r="C17" s="124" t="n">
        <v>46070</v>
      </c>
      <c r="D17" s="125" t="inlineStr">
        <is>
          <t>CRT-B2</t>
        </is>
      </c>
      <c r="E17" s="125" t="inlineStr">
        <is>
          <t>STACR 2021-HQA4 B2</t>
        </is>
      </c>
      <c r="F17" s="126" t="inlineStr">
        <is>
          <t>35564KPP8</t>
        </is>
      </c>
      <c r="G17" s="127" t="n">
        <v>10.69728</v>
      </c>
      <c r="H17" s="127" t="n">
        <v>104.476562</v>
      </c>
      <c r="I17" s="128" t="n">
        <v>5.310387577</v>
      </c>
      <c r="J17" s="129" t="n">
        <v>181.898929274</v>
      </c>
      <c r="K17" s="130" t="n">
        <v>0.863888889</v>
      </c>
      <c r="L17" s="130" t="n">
        <v>0.0263962208097872</v>
      </c>
      <c r="M17" s="127" t="n">
        <v>0.816348371034643</v>
      </c>
      <c r="N17" s="127" t="n">
        <v>0.544874493</v>
      </c>
      <c r="O17" s="127" t="n">
        <v>0.046987991</v>
      </c>
      <c r="P17" s="130" t="n">
        <v>8.623635645209029</v>
      </c>
      <c r="Q17" s="127" t="n">
        <v>0</v>
      </c>
      <c r="R17" s="128" t="n">
        <v>5.310387577</v>
      </c>
      <c r="S17" s="129" t="n">
        <v>181.898929274</v>
      </c>
      <c r="T17" s="130" t="n">
        <v>0.863888889</v>
      </c>
      <c r="U17" s="130" t="n">
        <v>0.0263962208097872</v>
      </c>
      <c r="V17" s="127" t="n">
        <v>0.816348371034643</v>
      </c>
      <c r="W17" s="127" t="n">
        <v>0.493607236</v>
      </c>
      <c r="X17" s="127" t="n">
        <v>0.036487896</v>
      </c>
      <c r="Y17" s="130" t="n">
        <v>7.39209098628368</v>
      </c>
      <c r="Z17" s="127" t="n">
        <v>0</v>
      </c>
      <c r="AA17" s="131">
        <f>I17-R17</f>
        <v/>
      </c>
      <c r="AB17" s="132">
        <f>J17-S17</f>
        <v/>
      </c>
      <c r="AC17" s="133">
        <f>K17-T17</f>
        <v/>
      </c>
      <c r="AD17" s="133">
        <f>L17-U17</f>
        <v/>
      </c>
      <c r="AE17" s="134">
        <f>M17-V17</f>
        <v/>
      </c>
      <c r="AF17" s="134">
        <f>N17-W17</f>
        <v/>
      </c>
      <c r="AG17" s="134">
        <f>O17-X17</f>
        <v/>
      </c>
      <c r="AH17" s="133">
        <f>P17-Y17</f>
        <v/>
      </c>
      <c r="AI17" s="135">
        <f>Q17-Z17</f>
        <v/>
      </c>
    </row>
    <row r="18">
      <c r="B18" t="inlineStr">
        <is>
          <t>BASEPRICE</t>
        </is>
      </c>
      <c r="C18" s="124" t="n">
        <v>46070</v>
      </c>
      <c r="D18" s="125" t="inlineStr">
        <is>
          <t>CRT-B2</t>
        </is>
      </c>
      <c r="E18" s="125" t="inlineStr">
        <is>
          <t>STACR 2022-DNA2 B2</t>
        </is>
      </c>
      <c r="F18" s="126" t="inlineStr">
        <is>
          <t>35564KSQ3</t>
        </is>
      </c>
      <c r="G18" s="127" t="n">
        <v>12.19728</v>
      </c>
      <c r="H18" s="127" t="n">
        <v>106.75</v>
      </c>
      <c r="I18" s="128" t="n">
        <v>5.304176806</v>
      </c>
      <c r="J18" s="129" t="n">
        <v>183.383016699</v>
      </c>
      <c r="K18" s="130" t="n">
        <v>1.022222222</v>
      </c>
      <c r="L18" s="130" t="n">
        <v>0.0370113348946158</v>
      </c>
      <c r="M18" s="127" t="n">
        <v>0.95617620421546</v>
      </c>
      <c r="N18" s="127" t="n">
        <v>0.601188152</v>
      </c>
      <c r="O18" s="127" t="n">
        <v>0.038936792</v>
      </c>
      <c r="P18" s="130" t="n">
        <v>6.47663994549247</v>
      </c>
      <c r="Q18" s="127" t="n">
        <v>0</v>
      </c>
      <c r="R18" s="128" t="n">
        <v>5.304176806</v>
      </c>
      <c r="S18" s="129" t="n">
        <v>183.383016699</v>
      </c>
      <c r="T18" s="130" t="n">
        <v>1.022222222</v>
      </c>
      <c r="U18" s="130" t="n">
        <v>0.0370113348946158</v>
      </c>
      <c r="V18" s="127" t="n">
        <v>0.95617620421546</v>
      </c>
      <c r="W18" s="127" t="n">
        <v>0.5662166320000001</v>
      </c>
      <c r="X18" s="127" t="n">
        <v>0.039610991</v>
      </c>
      <c r="Y18" s="130" t="n">
        <v>6.99573074356459</v>
      </c>
      <c r="Z18" s="127" t="n">
        <v>0</v>
      </c>
      <c r="AA18" s="131">
        <f>I18-R18</f>
        <v/>
      </c>
      <c r="AB18" s="132">
        <f>J18-S18</f>
        <v/>
      </c>
      <c r="AC18" s="133">
        <f>K18-T18</f>
        <v/>
      </c>
      <c r="AD18" s="133">
        <f>L18-U18</f>
        <v/>
      </c>
      <c r="AE18" s="134">
        <f>M18-V18</f>
        <v/>
      </c>
      <c r="AF18" s="134">
        <f>N18-W18</f>
        <v/>
      </c>
      <c r="AG18" s="134">
        <f>O18-X18</f>
        <v/>
      </c>
      <c r="AH18" s="133">
        <f>P18-Y18</f>
        <v/>
      </c>
      <c r="AI18" s="135">
        <f>Q18-Z18</f>
        <v/>
      </c>
    </row>
    <row r="19">
      <c r="B19" t="inlineStr">
        <is>
          <t>BASEPRICE</t>
        </is>
      </c>
      <c r="C19" s="124" t="n">
        <v>46070</v>
      </c>
      <c r="D19" s="125" t="inlineStr">
        <is>
          <t>CRT-B2</t>
        </is>
      </c>
      <c r="E19" s="125" t="inlineStr">
        <is>
          <t>STACR 2022-HQA1 B2</t>
        </is>
      </c>
      <c r="F19" s="126" t="inlineStr">
        <is>
          <t>35564KUL1</t>
        </is>
      </c>
      <c r="G19" s="127" t="n">
        <v>14.69728</v>
      </c>
      <c r="H19" s="127" t="n">
        <v>109.957031</v>
      </c>
      <c r="I19" s="128" t="n">
        <v>5.264490458</v>
      </c>
      <c r="J19" s="129" t="n">
        <v>179.591470091</v>
      </c>
      <c r="K19" s="130" t="n">
        <v>1.105555556</v>
      </c>
      <c r="L19" s="130" t="n">
        <v>0.0535126716908171</v>
      </c>
      <c r="M19" s="127" t="n">
        <v>1.01297831513839</v>
      </c>
      <c r="N19" s="127" t="n">
        <v>0.64888707</v>
      </c>
      <c r="O19" s="127" t="n">
        <v>0.050125886</v>
      </c>
      <c r="P19" s="130" t="n">
        <v>7.72490134531422</v>
      </c>
      <c r="Q19" s="127" t="n">
        <v>0</v>
      </c>
      <c r="R19" s="128" t="n">
        <v>5.264490458</v>
      </c>
      <c r="S19" s="129" t="n">
        <v>179.591470091</v>
      </c>
      <c r="T19" s="130" t="n">
        <v>1.105555556</v>
      </c>
      <c r="U19" s="130" t="n">
        <v>0.0535126716908171</v>
      </c>
      <c r="V19" s="127" t="n">
        <v>1.01297831513839</v>
      </c>
      <c r="W19" s="127" t="n">
        <v>0.6110857079999999</v>
      </c>
      <c r="X19" s="127" t="n">
        <v>0.049176924</v>
      </c>
      <c r="Y19" s="130" t="n">
        <v>8.04746754116527</v>
      </c>
      <c r="Z19" s="127" t="n">
        <v>0</v>
      </c>
      <c r="AA19" s="131">
        <f>I19-R19</f>
        <v/>
      </c>
      <c r="AB19" s="132">
        <f>J19-S19</f>
        <v/>
      </c>
      <c r="AC19" s="133">
        <f>K19-T19</f>
        <v/>
      </c>
      <c r="AD19" s="133">
        <f>L19-U19</f>
        <v/>
      </c>
      <c r="AE19" s="134">
        <f>M19-V19</f>
        <v/>
      </c>
      <c r="AF19" s="134">
        <f>N19-W19</f>
        <v/>
      </c>
      <c r="AG19" s="134">
        <f>O19-X19</f>
        <v/>
      </c>
      <c r="AH19" s="133">
        <f>P19-Y19</f>
        <v/>
      </c>
      <c r="AI19" s="135">
        <f>Q19-Z19</f>
        <v/>
      </c>
    </row>
    <row r="20">
      <c r="B20" t="inlineStr">
        <is>
          <t>BASEPRICE</t>
        </is>
      </c>
      <c r="C20" s="136" t="n">
        <v>46070</v>
      </c>
      <c r="D20" s="137" t="inlineStr">
        <is>
          <t>MI-CRT</t>
        </is>
      </c>
      <c r="E20" s="137" t="inlineStr">
        <is>
          <t>BMIR 2022-2 B1</t>
        </is>
      </c>
      <c r="F20" s="138" t="inlineStr">
        <is>
          <t>07876GAE0</t>
        </is>
      </c>
      <c r="G20" s="139" t="n">
        <v>15.69728</v>
      </c>
      <c r="H20" s="139" t="n">
        <v>114.749475</v>
      </c>
      <c r="I20" s="140" t="n">
        <v>5.871362578</v>
      </c>
      <c r="J20" s="141" t="n">
        <v>242.012083673</v>
      </c>
      <c r="K20" s="142" t="n">
        <v>1.611111111</v>
      </c>
      <c r="L20" s="142" t="n">
        <v>0.09282560987750781</v>
      </c>
      <c r="M20" s="139" t="n">
        <v>1.42468357872662</v>
      </c>
      <c r="N20" s="139" t="n">
        <v>1.042121973</v>
      </c>
      <c r="O20" s="139" t="n">
        <v>0.125603461</v>
      </c>
      <c r="P20" s="142" t="n">
        <v>12.0526641078702</v>
      </c>
      <c r="Q20" s="139" t="n">
        <v>0</v>
      </c>
      <c r="R20" s="140" t="n">
        <v>5.871362578</v>
      </c>
      <c r="S20" s="141" t="n">
        <v>242.012083673</v>
      </c>
      <c r="T20" s="142" t="n">
        <v>1.611111111</v>
      </c>
      <c r="U20" s="142" t="n">
        <v>0.09282560987750781</v>
      </c>
      <c r="V20" s="139" t="n">
        <v>1.42468357872662</v>
      </c>
      <c r="W20" s="139" t="n">
        <v>1.135873338</v>
      </c>
      <c r="X20" s="139" t="n">
        <v>0.140987656</v>
      </c>
      <c r="Y20" s="142" t="n">
        <v>12.4122691574261</v>
      </c>
      <c r="Z20" s="139" t="n">
        <v>0</v>
      </c>
      <c r="AA20" s="143">
        <f>I20-R20</f>
        <v/>
      </c>
      <c r="AB20" s="144">
        <f>J20-S20</f>
        <v/>
      </c>
      <c r="AC20" s="145">
        <f>K20-T20</f>
        <v/>
      </c>
      <c r="AD20" s="145">
        <f>L20-U20</f>
        <v/>
      </c>
      <c r="AE20" s="146">
        <f>M20-V20</f>
        <v/>
      </c>
      <c r="AF20" s="146">
        <f>N20-W20</f>
        <v/>
      </c>
      <c r="AG20" s="146">
        <f>O20-X20</f>
        <v/>
      </c>
      <c r="AH20" s="145">
        <f>P20-Y20</f>
        <v/>
      </c>
      <c r="AI20" s="147">
        <f>Q20-Z20</f>
        <v/>
      </c>
    </row>
    <row r="21">
      <c r="B21" t="inlineStr">
        <is>
          <t>BASEPRICE</t>
        </is>
      </c>
      <c r="C21" s="136" t="n">
        <v>46070</v>
      </c>
      <c r="D21" s="137" t="inlineStr">
        <is>
          <t>MI-CRT</t>
        </is>
      </c>
      <c r="E21" s="137" t="inlineStr">
        <is>
          <t>BMIR 2025-1 B1</t>
        </is>
      </c>
      <c r="F21" s="138" t="inlineStr">
        <is>
          <t>07876NAE5</t>
        </is>
      </c>
      <c r="G21" s="139" t="n">
        <v>8.74728</v>
      </c>
      <c r="H21" s="139" t="n">
        <v>103.87375</v>
      </c>
      <c r="I21" s="140" t="n">
        <v>6.715116264</v>
      </c>
      <c r="J21" s="141" t="n">
        <v>326.153779084</v>
      </c>
      <c r="K21" s="142" t="n">
        <v>2.522222222</v>
      </c>
      <c r="L21" s="142" t="n">
        <v>-1.31106260340077</v>
      </c>
      <c r="M21" s="139" t="n">
        <v>2.23986609610224</v>
      </c>
      <c r="N21" s="139" t="n">
        <v>0.509958528</v>
      </c>
      <c r="O21" s="139" t="n">
        <v>0.075301455</v>
      </c>
      <c r="P21" s="142" t="n">
        <v>14.7661919284542</v>
      </c>
      <c r="Q21" s="139" t="n">
        <v>0</v>
      </c>
      <c r="R21" s="140" t="n">
        <v>7.000111385</v>
      </c>
      <c r="S21" s="141" t="n">
        <v>352.483125198</v>
      </c>
      <c r="T21" s="142" t="n">
        <v>3.108333333</v>
      </c>
      <c r="U21" s="142" t="n">
        <v>-1.60823964764919</v>
      </c>
      <c r="V21" s="139" t="n">
        <v>2.69306349294216</v>
      </c>
      <c r="W21" s="139" t="n">
        <v>0.740337845</v>
      </c>
      <c r="X21" s="139" t="n">
        <v>0.124116743</v>
      </c>
      <c r="Y21" s="142" t="n">
        <v>16.7648788776967</v>
      </c>
      <c r="Z21" s="139" t="n">
        <v>0</v>
      </c>
      <c r="AA21" s="143">
        <f>I21-R21</f>
        <v/>
      </c>
      <c r="AB21" s="144">
        <f>J21-S21</f>
        <v/>
      </c>
      <c r="AC21" s="145">
        <f>K21-T21</f>
        <v/>
      </c>
      <c r="AD21" s="145">
        <f>L21-U21</f>
        <v/>
      </c>
      <c r="AE21" s="146">
        <f>M21-V21</f>
        <v/>
      </c>
      <c r="AF21" s="146">
        <f>N21-W21</f>
        <v/>
      </c>
      <c r="AG21" s="146">
        <f>O21-X21</f>
        <v/>
      </c>
      <c r="AH21" s="145">
        <f>P21-Y21</f>
        <v/>
      </c>
      <c r="AI21" s="147">
        <f>Q21-Z21</f>
        <v/>
      </c>
    </row>
    <row r="22">
      <c r="B22" t="inlineStr">
        <is>
          <t>BASEPRICE</t>
        </is>
      </c>
      <c r="C22" s="136" t="n">
        <v>46070</v>
      </c>
      <c r="D22" s="137" t="inlineStr">
        <is>
          <t>MI-CRT</t>
        </is>
      </c>
      <c r="E22" s="137" t="inlineStr">
        <is>
          <t>BMIR 2025-1 M1B</t>
        </is>
      </c>
      <c r="F22" s="138" t="inlineStr">
        <is>
          <t>07876NAB1</t>
        </is>
      </c>
      <c r="G22" s="139" t="n">
        <v>6.19728</v>
      </c>
      <c r="H22" s="139" t="n">
        <v>100.441375</v>
      </c>
      <c r="I22" s="140" t="n">
        <v>5.54288907</v>
      </c>
      <c r="J22" s="141" t="n">
        <v>205.082873469</v>
      </c>
      <c r="K22" s="142" t="n">
        <v>0.90766734</v>
      </c>
      <c r="L22" s="142" t="n">
        <v>-0.0406015907289131</v>
      </c>
      <c r="M22" s="139" t="n">
        <v>0.867896793527575</v>
      </c>
      <c r="N22" s="139" t="n">
        <v>0.509958528</v>
      </c>
      <c r="O22" s="139" t="n">
        <v>0.075301455</v>
      </c>
      <c r="P22" s="142" t="n">
        <v>14.7661919284542</v>
      </c>
      <c r="Q22" s="139" t="n">
        <v>0</v>
      </c>
      <c r="R22" s="140" t="n">
        <v>5.561485108</v>
      </c>
      <c r="S22" s="141" t="n">
        <v>208.031867308</v>
      </c>
      <c r="T22" s="142" t="n">
        <v>0.992786438</v>
      </c>
      <c r="U22" s="142" t="n">
        <v>-0.0331216373730514</v>
      </c>
      <c r="V22" s="139" t="n">
        <v>0.947372340332859</v>
      </c>
      <c r="W22" s="139" t="n">
        <v>0.740337845</v>
      </c>
      <c r="X22" s="139" t="n">
        <v>0.124116743</v>
      </c>
      <c r="Y22" s="142" t="n">
        <v>16.7648788776967</v>
      </c>
      <c r="Z22" s="139" t="n">
        <v>0</v>
      </c>
      <c r="AA22" s="143">
        <f>I22-R22</f>
        <v/>
      </c>
      <c r="AB22" s="144">
        <f>J22-S22</f>
        <v/>
      </c>
      <c r="AC22" s="145">
        <f>K22-T22</f>
        <v/>
      </c>
      <c r="AD22" s="145">
        <f>L22-U22</f>
        <v/>
      </c>
      <c r="AE22" s="146">
        <f>M22-V22</f>
        <v/>
      </c>
      <c r="AF22" s="146">
        <f>N22-W22</f>
        <v/>
      </c>
      <c r="AG22" s="146">
        <f>O22-X22</f>
        <v/>
      </c>
      <c r="AH22" s="145">
        <f>P22-Y22</f>
        <v/>
      </c>
      <c r="AI22" s="147">
        <f>Q22-Z22</f>
        <v/>
      </c>
    </row>
    <row r="23">
      <c r="B23" t="inlineStr">
        <is>
          <t>BASEPRICE</t>
        </is>
      </c>
      <c r="C23" s="136" t="n">
        <v>46070</v>
      </c>
      <c r="D23" s="137" t="inlineStr">
        <is>
          <t>MI-CRT</t>
        </is>
      </c>
      <c r="E23" s="137" t="inlineStr">
        <is>
          <t>BMIR 2025-1 M1C</t>
        </is>
      </c>
      <c r="F23" s="138" t="inlineStr">
        <is>
          <t>07876NAC9</t>
        </is>
      </c>
      <c r="G23" s="139" t="n">
        <v>6.94728</v>
      </c>
      <c r="H23" s="139" t="n">
        <v>100.687955</v>
      </c>
      <c r="I23" s="140" t="n">
        <v>6.166659655</v>
      </c>
      <c r="J23" s="141" t="n">
        <v>271.279576089</v>
      </c>
      <c r="K23" s="142" t="n">
        <v>1.416307333</v>
      </c>
      <c r="L23" s="142" t="n">
        <v>-0.123051362002538</v>
      </c>
      <c r="M23" s="139" t="n">
        <v>1.32635992458086</v>
      </c>
      <c r="N23" s="139" t="n">
        <v>0.509958528</v>
      </c>
      <c r="O23" s="139" t="n">
        <v>0.075301455</v>
      </c>
      <c r="P23" s="142" t="n">
        <v>14.7661919284542</v>
      </c>
      <c r="Q23" s="139" t="n">
        <v>0</v>
      </c>
      <c r="R23" s="140" t="n">
        <v>6.193698395</v>
      </c>
      <c r="S23" s="141" t="n">
        <v>274.576192071</v>
      </c>
      <c r="T23" s="142" t="n">
        <v>1.658410107</v>
      </c>
      <c r="U23" s="142" t="n">
        <v>-0.137596252699744</v>
      </c>
      <c r="V23" s="139" t="n">
        <v>1.54109616388575</v>
      </c>
      <c r="W23" s="139" t="n">
        <v>0.740337845</v>
      </c>
      <c r="X23" s="139" t="n">
        <v>0.124116743</v>
      </c>
      <c r="Y23" s="142" t="n">
        <v>16.7648788776967</v>
      </c>
      <c r="Z23" s="139" t="n">
        <v>0</v>
      </c>
      <c r="AA23" s="143">
        <f>I23-R23</f>
        <v/>
      </c>
      <c r="AB23" s="144">
        <f>J23-S23</f>
        <v/>
      </c>
      <c r="AC23" s="145">
        <f>K23-T23</f>
        <v/>
      </c>
      <c r="AD23" s="145">
        <f>L23-U23</f>
        <v/>
      </c>
      <c r="AE23" s="146">
        <f>M23-V23</f>
        <v/>
      </c>
      <c r="AF23" s="146">
        <f>N23-W23</f>
        <v/>
      </c>
      <c r="AG23" s="146">
        <f>O23-X23</f>
        <v/>
      </c>
      <c r="AH23" s="145">
        <f>P23-Y23</f>
        <v/>
      </c>
      <c r="AI23" s="147">
        <f>Q23-Z23</f>
        <v/>
      </c>
    </row>
    <row r="24">
      <c r="B24" t="inlineStr">
        <is>
          <t>BASEPRICE</t>
        </is>
      </c>
      <c r="C24" s="136" t="n">
        <v>46070</v>
      </c>
      <c r="D24" s="137" t="inlineStr">
        <is>
          <t>MI-CRT</t>
        </is>
      </c>
      <c r="E24" s="137" t="inlineStr">
        <is>
          <t>BMIR 2025-1 M2</t>
        </is>
      </c>
      <c r="F24" s="138" t="inlineStr">
        <is>
          <t>07876NAD7</t>
        </is>
      </c>
      <c r="G24" s="139" t="n">
        <v>7.59728</v>
      </c>
      <c r="H24" s="139" t="n">
        <v>102.938</v>
      </c>
      <c r="I24" s="140" t="n">
        <v>5.790310744</v>
      </c>
      <c r="J24" s="141" t="n">
        <v>234.534508606</v>
      </c>
      <c r="K24" s="142" t="n">
        <v>2.183887782</v>
      </c>
      <c r="L24" s="142" t="n">
        <v>-1.01774367094756</v>
      </c>
      <c r="M24" s="139" t="n">
        <v>1.9944394353883</v>
      </c>
      <c r="N24" s="139" t="n">
        <v>0.509958528</v>
      </c>
      <c r="O24" s="139" t="n">
        <v>0.075301455</v>
      </c>
      <c r="P24" s="142" t="n">
        <v>14.7661919284542</v>
      </c>
      <c r="Q24" s="139" t="n">
        <v>0</v>
      </c>
      <c r="R24" s="140" t="n">
        <v>5.950417626</v>
      </c>
      <c r="S24" s="141" t="n">
        <v>249.591141254</v>
      </c>
      <c r="T24" s="142" t="n">
        <v>2.505249733</v>
      </c>
      <c r="U24" s="142" t="n">
        <v>-1.05866864908975</v>
      </c>
      <c r="V24" s="139" t="n">
        <v>2.26109501544619</v>
      </c>
      <c r="W24" s="139" t="n">
        <v>0.740337845</v>
      </c>
      <c r="X24" s="139" t="n">
        <v>0.124116743</v>
      </c>
      <c r="Y24" s="142" t="n">
        <v>16.7648788776967</v>
      </c>
      <c r="Z24" s="139" t="n">
        <v>0</v>
      </c>
      <c r="AA24" s="143">
        <f>I24-R24</f>
        <v/>
      </c>
      <c r="AB24" s="144">
        <f>J24-S24</f>
        <v/>
      </c>
      <c r="AC24" s="145">
        <f>K24-T24</f>
        <v/>
      </c>
      <c r="AD24" s="145">
        <f>L24-U24</f>
        <v/>
      </c>
      <c r="AE24" s="146">
        <f>M24-V24</f>
        <v/>
      </c>
      <c r="AF24" s="146">
        <f>N24-W24</f>
        <v/>
      </c>
      <c r="AG24" s="146">
        <f>O24-X24</f>
        <v/>
      </c>
      <c r="AH24" s="145">
        <f>P24-Y24</f>
        <v/>
      </c>
      <c r="AI24" s="147">
        <f>Q24-Z24</f>
        <v/>
      </c>
    </row>
    <row r="25">
      <c r="B25" t="inlineStr">
        <is>
          <t>BASEPRICE</t>
        </is>
      </c>
      <c r="C25" s="136" t="n">
        <v>46070</v>
      </c>
      <c r="D25" s="137" t="inlineStr">
        <is>
          <t>MI-CRT</t>
        </is>
      </c>
      <c r="E25" s="137" t="inlineStr">
        <is>
          <t>EMIR 2023-1 M2</t>
        </is>
      </c>
      <c r="F25" s="138" t="inlineStr">
        <is>
          <t>26982EAG1</t>
        </is>
      </c>
      <c r="G25" s="139" t="n">
        <v>8.89728</v>
      </c>
      <c r="H25" s="139" t="n">
        <v>106.59389</v>
      </c>
      <c r="I25" s="140" t="n">
        <v>5.795090977</v>
      </c>
      <c r="J25" s="141" t="n">
        <v>233.934359549</v>
      </c>
      <c r="K25" s="142" t="n">
        <v>2.605555556</v>
      </c>
      <c r="L25" s="142" t="n">
        <v>-0.0600807813655993</v>
      </c>
      <c r="M25" s="139" t="n">
        <v>2.31802516166734</v>
      </c>
      <c r="N25" s="139" t="n">
        <v>1.924514531</v>
      </c>
      <c r="O25" s="139" t="n">
        <v>0.233610391</v>
      </c>
      <c r="P25" s="142" t="n">
        <v>12.1386659979446</v>
      </c>
      <c r="Q25" s="139" t="n">
        <v>0</v>
      </c>
      <c r="R25" s="140" t="n">
        <v>5.795090977</v>
      </c>
      <c r="S25" s="141" t="n">
        <v>233.934359549</v>
      </c>
      <c r="T25" s="142" t="n">
        <v>2.605555556</v>
      </c>
      <c r="U25" s="142" t="n">
        <v>0.0372996970088987</v>
      </c>
      <c r="V25" s="139" t="n">
        <v>2.31802516166734</v>
      </c>
      <c r="W25" s="139" t="n">
        <v>2.173259416</v>
      </c>
      <c r="X25" s="139" t="n">
        <v>0.273404913</v>
      </c>
      <c r="Y25" s="142" t="n">
        <v>12.5804085323241</v>
      </c>
      <c r="Z25" s="139" t="n">
        <v>0</v>
      </c>
      <c r="AA25" s="143">
        <f>I25-R25</f>
        <v/>
      </c>
      <c r="AB25" s="144">
        <f>J25-S25</f>
        <v/>
      </c>
      <c r="AC25" s="145">
        <f>K25-T25</f>
        <v/>
      </c>
      <c r="AD25" s="145">
        <f>L25-U25</f>
        <v/>
      </c>
      <c r="AE25" s="146">
        <f>M25-V25</f>
        <v/>
      </c>
      <c r="AF25" s="146">
        <f>N25-W25</f>
        <v/>
      </c>
      <c r="AG25" s="146">
        <f>O25-X25</f>
        <v/>
      </c>
      <c r="AH25" s="145">
        <f>P25-Y25</f>
        <v/>
      </c>
      <c r="AI25" s="147">
        <f>Q25-Z25</f>
        <v/>
      </c>
    </row>
    <row r="26">
      <c r="B26" t="inlineStr">
        <is>
          <t>BASEPRICE</t>
        </is>
      </c>
      <c r="C26" s="136" t="n">
        <v>46070</v>
      </c>
      <c r="D26" s="137" t="inlineStr">
        <is>
          <t>MI-CRT</t>
        </is>
      </c>
      <c r="E26" s="137" t="inlineStr">
        <is>
          <t>HMIR 2023-1 B1</t>
        </is>
      </c>
      <c r="F26" s="138" t="inlineStr">
        <is>
          <t>43731BAD3</t>
        </is>
      </c>
      <c r="G26" s="139" t="n">
        <v>10.94728</v>
      </c>
      <c r="H26" s="139" t="n">
        <v>110.808905</v>
      </c>
      <c r="I26" s="140" t="n">
        <v>6.232104535</v>
      </c>
      <c r="J26" s="141" t="n">
        <v>277.407455596</v>
      </c>
      <c r="K26" s="142" t="n">
        <v>2.688888889</v>
      </c>
      <c r="L26" s="142" t="n">
        <v>0.0888163843871633</v>
      </c>
      <c r="M26" s="139" t="n">
        <v>2.32838717610287</v>
      </c>
      <c r="N26" s="139" t="n">
        <v>1.757160484</v>
      </c>
      <c r="O26" s="139" t="n">
        <v>0.262420283</v>
      </c>
      <c r="P26" s="142" t="n">
        <v>14.9343378359287</v>
      </c>
      <c r="Q26" s="139" t="n">
        <v>0</v>
      </c>
      <c r="R26" s="140" t="n">
        <v>6.232104535</v>
      </c>
      <c r="S26" s="141" t="n">
        <v>277.407455596</v>
      </c>
      <c r="T26" s="142" t="n">
        <v>2.688888889</v>
      </c>
      <c r="U26" s="142" t="n">
        <v>0.0888163843871633</v>
      </c>
      <c r="V26" s="139" t="n">
        <v>2.32838717610287</v>
      </c>
      <c r="W26" s="139" t="n">
        <v>2.043633489</v>
      </c>
      <c r="X26" s="139" t="n">
        <v>0.302391651</v>
      </c>
      <c r="Y26" s="142" t="n">
        <v>14.7967653019802</v>
      </c>
      <c r="Z26" s="139" t="n">
        <v>0</v>
      </c>
      <c r="AA26" s="143">
        <f>I26-R26</f>
        <v/>
      </c>
      <c r="AB26" s="144">
        <f>J26-S26</f>
        <v/>
      </c>
      <c r="AC26" s="145">
        <f>K26-T26</f>
        <v/>
      </c>
      <c r="AD26" s="145">
        <f>L26-U26</f>
        <v/>
      </c>
      <c r="AE26" s="146">
        <f>M26-V26</f>
        <v/>
      </c>
      <c r="AF26" s="146">
        <f>N26-W26</f>
        <v/>
      </c>
      <c r="AG26" s="146">
        <f>O26-X26</f>
        <v/>
      </c>
      <c r="AH26" s="145">
        <f>P26-Y26</f>
        <v/>
      </c>
      <c r="AI26" s="147">
        <f>Q26-Z26</f>
        <v/>
      </c>
    </row>
    <row r="27">
      <c r="B27" t="inlineStr">
        <is>
          <t>BASEPRICE</t>
        </is>
      </c>
      <c r="C27" s="136" t="n">
        <v>46070</v>
      </c>
      <c r="D27" s="137" t="inlineStr">
        <is>
          <t>MI-CRT</t>
        </is>
      </c>
      <c r="E27" s="137" t="inlineStr">
        <is>
          <t>RMIR 2022-1 M1B</t>
        </is>
      </c>
      <c r="F27" s="138" t="inlineStr">
        <is>
          <t>75049XAB8</t>
        </is>
      </c>
      <c r="G27" s="139" t="n">
        <v>10.44728</v>
      </c>
      <c r="H27" s="139" t="n">
        <v>103.26507</v>
      </c>
      <c r="I27" s="140" t="n">
        <v>6.253895012</v>
      </c>
      <c r="J27" s="141" t="n">
        <v>276.288174237</v>
      </c>
      <c r="K27" s="142" t="n">
        <v>0.838205008</v>
      </c>
      <c r="L27" s="142" t="n">
        <v>-0.173076675394684</v>
      </c>
      <c r="M27" s="139" t="n">
        <v>0.786710025955535</v>
      </c>
      <c r="N27" s="139" t="n">
        <v>1.939618646</v>
      </c>
      <c r="O27" s="139" t="n">
        <v>0.185328232</v>
      </c>
      <c r="P27" s="142" t="n">
        <v>9.554879892611631</v>
      </c>
      <c r="Q27" s="139" t="n">
        <v>0</v>
      </c>
      <c r="R27" s="140" t="n">
        <v>6.416873065</v>
      </c>
      <c r="S27" s="141" t="n">
        <v>292.974948852</v>
      </c>
      <c r="T27" s="142" t="n">
        <v>0.877453907</v>
      </c>
      <c r="U27" s="142" t="n">
        <v>-0.15449819285456</v>
      </c>
      <c r="V27" s="139" t="n">
        <v>0.821030938147817</v>
      </c>
      <c r="W27" s="139" t="n">
        <v>2.030881968</v>
      </c>
      <c r="X27" s="139" t="n">
        <v>0.207226614</v>
      </c>
      <c r="Y27" s="142" t="n">
        <v>10.2037743830123</v>
      </c>
      <c r="Z27" s="139" t="n">
        <v>0</v>
      </c>
      <c r="AA27" s="143">
        <f>I27-R27</f>
        <v/>
      </c>
      <c r="AB27" s="144">
        <f>J27-S27</f>
        <v/>
      </c>
      <c r="AC27" s="145">
        <f>K27-T27</f>
        <v/>
      </c>
      <c r="AD27" s="145">
        <f>L27-U27</f>
        <v/>
      </c>
      <c r="AE27" s="146">
        <f>M27-V27</f>
        <v/>
      </c>
      <c r="AF27" s="146">
        <f>N27-W27</f>
        <v/>
      </c>
      <c r="AG27" s="146">
        <f>O27-X27</f>
        <v/>
      </c>
      <c r="AH27" s="145">
        <f>P27-Y27</f>
        <v/>
      </c>
      <c r="AI27" s="147">
        <f>Q27-Z27</f>
        <v/>
      </c>
    </row>
    <row r="28">
      <c r="B28" t="inlineStr">
        <is>
          <t>BASEPRICE</t>
        </is>
      </c>
      <c r="C28" s="136" t="n">
        <v>46070</v>
      </c>
      <c r="D28" s="137" t="inlineStr">
        <is>
          <t>MI-CRT</t>
        </is>
      </c>
      <c r="E28" s="137" t="inlineStr">
        <is>
          <t>RMIR 2023-1 B1</t>
        </is>
      </c>
      <c r="F28" s="138" t="inlineStr">
        <is>
          <t>75050KAD8</t>
        </is>
      </c>
      <c r="G28" s="139" t="n">
        <v>10.94728</v>
      </c>
      <c r="H28" s="139" t="n">
        <v>111.60411</v>
      </c>
      <c r="I28" s="140" t="n">
        <v>5.505270014</v>
      </c>
      <c r="J28" s="141" t="n">
        <v>205.362302456</v>
      </c>
      <c r="K28" s="142" t="n">
        <v>2.438888889</v>
      </c>
      <c r="L28" s="142" t="n">
        <v>0.097339536151501</v>
      </c>
      <c r="M28" s="139" t="n">
        <v>2.143695389892</v>
      </c>
      <c r="N28" s="139" t="n">
        <v>2.319654131</v>
      </c>
      <c r="O28" s="139" t="n">
        <v>0.295421743</v>
      </c>
      <c r="P28" s="142" t="n">
        <v>12.7355944600519</v>
      </c>
      <c r="Q28" s="139" t="n">
        <v>0</v>
      </c>
      <c r="R28" s="140" t="n">
        <v>5.505270014</v>
      </c>
      <c r="S28" s="141" t="n">
        <v>205.362302456</v>
      </c>
      <c r="T28" s="142" t="n">
        <v>2.438888889</v>
      </c>
      <c r="U28" s="142" t="n">
        <v>0.097339536151501</v>
      </c>
      <c r="V28" s="139" t="n">
        <v>2.143695389892</v>
      </c>
      <c r="W28" s="139" t="n">
        <v>2.567662365</v>
      </c>
      <c r="X28" s="139" t="n">
        <v>0.33141277</v>
      </c>
      <c r="Y28" s="142" t="n">
        <v>12.907178705328</v>
      </c>
      <c r="Z28" s="139" t="n">
        <v>0</v>
      </c>
      <c r="AA28" s="143">
        <f>I28-R28</f>
        <v/>
      </c>
      <c r="AB28" s="144">
        <f>J28-S28</f>
        <v/>
      </c>
      <c r="AC28" s="145">
        <f>K28-T28</f>
        <v/>
      </c>
      <c r="AD28" s="145">
        <f>L28-U28</f>
        <v/>
      </c>
      <c r="AE28" s="146">
        <f>M28-V28</f>
        <v/>
      </c>
      <c r="AF28" s="146">
        <f>N28-W28</f>
        <v/>
      </c>
      <c r="AG28" s="146">
        <f>O28-X28</f>
        <v/>
      </c>
      <c r="AH28" s="145">
        <f>P28-Y28</f>
        <v/>
      </c>
      <c r="AI28" s="147">
        <f>Q28-Z28</f>
        <v/>
      </c>
    </row>
    <row r="29">
      <c r="B29" t="inlineStr">
        <is>
          <t>BASEPRICE</t>
        </is>
      </c>
      <c r="C29" s="136" t="n">
        <v>46070</v>
      </c>
      <c r="D29" s="137" t="inlineStr">
        <is>
          <t>MI-CRT</t>
        </is>
      </c>
      <c r="E29" s="137" t="inlineStr">
        <is>
          <t>RMIR 2024-1 M1B</t>
        </is>
      </c>
      <c r="F29" s="138" t="inlineStr">
        <is>
          <t>75049AAB8</t>
        </is>
      </c>
      <c r="G29" s="139" t="n">
        <v>6.59728</v>
      </c>
      <c r="H29" s="139" t="n">
        <v>100.736545</v>
      </c>
      <c r="I29" s="140" t="n">
        <v>4.559215653</v>
      </c>
      <c r="J29" s="141" t="n">
        <v>95.015440743</v>
      </c>
      <c r="K29" s="142" t="n">
        <v>0.370639355</v>
      </c>
      <c r="L29" s="142" t="n">
        <v>-0.00686892924509572</v>
      </c>
      <c r="M29" s="139" t="n">
        <v>0.358360596941256</v>
      </c>
      <c r="N29" s="139" t="n">
        <v>1.613616491</v>
      </c>
      <c r="O29" s="139" t="n">
        <v>0.233804775</v>
      </c>
      <c r="P29" s="142" t="n">
        <v>14.4894884443766</v>
      </c>
      <c r="Q29" s="139" t="n">
        <v>0</v>
      </c>
      <c r="R29" s="140" t="n">
        <v>4.76728877</v>
      </c>
      <c r="S29" s="141" t="n">
        <v>117.363148413</v>
      </c>
      <c r="T29" s="142" t="n">
        <v>0.415211388</v>
      </c>
      <c r="U29" s="142" t="n">
        <v>-0.0186450269859887</v>
      </c>
      <c r="V29" s="139" t="n">
        <v>0.401151713114641</v>
      </c>
      <c r="W29" s="139" t="n">
        <v>2.082655418</v>
      </c>
      <c r="X29" s="139" t="n">
        <v>0.298381179</v>
      </c>
      <c r="Y29" s="142" t="n">
        <v>14.3269585751511</v>
      </c>
      <c r="Z29" s="139" t="n">
        <v>0</v>
      </c>
      <c r="AA29" s="143">
        <f>I29-R29</f>
        <v/>
      </c>
      <c r="AB29" s="144">
        <f>J29-S29</f>
        <v/>
      </c>
      <c r="AC29" s="145">
        <f>K29-T29</f>
        <v/>
      </c>
      <c r="AD29" s="145">
        <f>L29-U29</f>
        <v/>
      </c>
      <c r="AE29" s="146">
        <f>M29-V29</f>
        <v/>
      </c>
      <c r="AF29" s="146">
        <f>N29-W29</f>
        <v/>
      </c>
      <c r="AG29" s="146">
        <f>O29-X29</f>
        <v/>
      </c>
      <c r="AH29" s="145">
        <f>P29-Y29</f>
        <v/>
      </c>
      <c r="AI29" s="147">
        <f>Q29-Z29</f>
        <v/>
      </c>
    </row>
    <row r="30">
      <c r="B30" t="inlineStr">
        <is>
          <t>BASEPRICE</t>
        </is>
      </c>
      <c r="C30" s="136" t="n">
        <v>46070</v>
      </c>
      <c r="D30" s="137" t="inlineStr">
        <is>
          <t>MI-CRT</t>
        </is>
      </c>
      <c r="E30" s="137" t="inlineStr">
        <is>
          <t>TMIR 2021-3 B1</t>
        </is>
      </c>
      <c r="F30" s="138" t="inlineStr">
        <is>
          <t>89600HAG4</t>
        </is>
      </c>
      <c r="G30" s="139" t="n">
        <v>8.64728</v>
      </c>
      <c r="H30" s="139" t="n">
        <v>102.27056</v>
      </c>
      <c r="I30" s="140" t="n">
        <v>5.585561093</v>
      </c>
      <c r="J30" s="141" t="n">
        <v>206.566421512</v>
      </c>
      <c r="K30" s="142" t="n">
        <v>0.772222222</v>
      </c>
      <c r="L30" s="142" t="n">
        <v>0.0172155916619512</v>
      </c>
      <c r="M30" s="139" t="n">
        <v>0.737595488867958</v>
      </c>
      <c r="N30" s="139" t="n">
        <v>1.049571825</v>
      </c>
      <c r="O30" s="139" t="n">
        <v>0.097346417</v>
      </c>
      <c r="P30" s="142" t="n">
        <v>9.27486949261429</v>
      </c>
      <c r="Q30" s="139" t="n">
        <v>0</v>
      </c>
      <c r="R30" s="140" t="n">
        <v>5.585561093</v>
      </c>
      <c r="S30" s="141" t="n">
        <v>206.566421512</v>
      </c>
      <c r="T30" s="142" t="n">
        <v>0.772222222</v>
      </c>
      <c r="U30" s="142" t="n">
        <v>0.0172155916619512</v>
      </c>
      <c r="V30" s="139" t="n">
        <v>0.737595488867958</v>
      </c>
      <c r="W30" s="139" t="n">
        <v>1.025737478</v>
      </c>
      <c r="X30" s="139" t="n">
        <v>0.100629487</v>
      </c>
      <c r="Y30" s="142" t="n">
        <v>9.81045239725559</v>
      </c>
      <c r="Z30" s="139" t="n">
        <v>0</v>
      </c>
      <c r="AA30" s="143">
        <f>I30-R30</f>
        <v/>
      </c>
      <c r="AB30" s="144">
        <f>J30-S30</f>
        <v/>
      </c>
      <c r="AC30" s="145">
        <f>K30-T30</f>
        <v/>
      </c>
      <c r="AD30" s="145">
        <f>L30-U30</f>
        <v/>
      </c>
      <c r="AE30" s="146">
        <f>M30-V30</f>
        <v/>
      </c>
      <c r="AF30" s="146">
        <f>N30-W30</f>
        <v/>
      </c>
      <c r="AG30" s="146">
        <f>O30-X30</f>
        <v/>
      </c>
      <c r="AH30" s="145">
        <f>P30-Y30</f>
        <v/>
      </c>
      <c r="AI30" s="147">
        <f>Q30-Z30</f>
        <v/>
      </c>
    </row>
    <row r="31">
      <c r="B31" t="inlineStr">
        <is>
          <t>BASEPRICE</t>
        </is>
      </c>
      <c r="C31" s="136" t="n">
        <v>46070</v>
      </c>
      <c r="D31" s="137" t="inlineStr">
        <is>
          <t>MI-CRT</t>
        </is>
      </c>
      <c r="E31" s="137" t="inlineStr">
        <is>
          <t>TMIR 2023-1 B1</t>
        </is>
      </c>
      <c r="F31" s="138" t="inlineStr">
        <is>
          <t>89589AAD1</t>
        </is>
      </c>
      <c r="G31" s="139" t="n">
        <v>11.09728</v>
      </c>
      <c r="H31" s="139" t="n">
        <v>111.56115</v>
      </c>
      <c r="I31" s="140" t="n">
        <v>6.219322925</v>
      </c>
      <c r="J31" s="141" t="n">
        <v>275.902681374</v>
      </c>
      <c r="K31" s="142" t="n">
        <v>2.777777778</v>
      </c>
      <c r="L31" s="142" t="n">
        <v>-0.48550738406695</v>
      </c>
      <c r="M31" s="139" t="n">
        <v>2.39390279949606</v>
      </c>
      <c r="N31" s="139" t="n">
        <v>2.031602099</v>
      </c>
      <c r="O31" s="139" t="n">
        <v>0.35056391</v>
      </c>
      <c r="P31" s="142" t="n">
        <v>17.2555398605148</v>
      </c>
      <c r="Q31" s="139" t="n">
        <v>0</v>
      </c>
      <c r="R31" s="140" t="n">
        <v>6.219322925</v>
      </c>
      <c r="S31" s="141" t="n">
        <v>275.902681374</v>
      </c>
      <c r="T31" s="142" t="n">
        <v>2.777777778</v>
      </c>
      <c r="U31" s="142" t="n">
        <v>0.0996569648125628</v>
      </c>
      <c r="V31" s="139" t="n">
        <v>2.39390279949606</v>
      </c>
      <c r="W31" s="139" t="n">
        <v>2.283699901</v>
      </c>
      <c r="X31" s="139" t="n">
        <v>0.402160114</v>
      </c>
      <c r="Y31" s="142" t="n">
        <v>17.6100245843992</v>
      </c>
      <c r="Z31" s="139" t="n">
        <v>0</v>
      </c>
      <c r="AA31" s="143">
        <f>I31-R31</f>
        <v/>
      </c>
      <c r="AB31" s="144">
        <f>J31-S31</f>
        <v/>
      </c>
      <c r="AC31" s="145">
        <f>K31-T31</f>
        <v/>
      </c>
      <c r="AD31" s="145">
        <f>L31-U31</f>
        <v/>
      </c>
      <c r="AE31" s="146">
        <f>M31-V31</f>
        <v/>
      </c>
      <c r="AF31" s="146">
        <f>N31-W31</f>
        <v/>
      </c>
      <c r="AG31" s="146">
        <f>O31-X31</f>
        <v/>
      </c>
      <c r="AH31" s="145">
        <f>P31-Y31</f>
        <v/>
      </c>
      <c r="AI31" s="147">
        <f>Q31-Z31</f>
        <v/>
      </c>
    </row>
    <row r="32">
      <c r="B32" t="inlineStr">
        <is>
          <t>BASEPRICE</t>
        </is>
      </c>
      <c r="C32" s="136" t="n">
        <v>46070</v>
      </c>
      <c r="D32" s="137" t="inlineStr">
        <is>
          <t>MI-CRT</t>
        </is>
      </c>
      <c r="E32" s="137" t="inlineStr">
        <is>
          <t>TMIR 2023-1 M1B</t>
        </is>
      </c>
      <c r="F32" s="138" t="inlineStr">
        <is>
          <t>89589AAB5</t>
        </is>
      </c>
      <c r="G32" s="139" t="n">
        <v>8.947279999999999</v>
      </c>
      <c r="H32" s="139" t="n">
        <v>104.345385</v>
      </c>
      <c r="I32" s="140" t="n">
        <v>5.248816281</v>
      </c>
      <c r="J32" s="141" t="n">
        <v>178.749150354</v>
      </c>
      <c r="K32" s="142" t="n">
        <v>1.308602319</v>
      </c>
      <c r="L32" s="142" t="n">
        <v>-1.33263234689296</v>
      </c>
      <c r="M32" s="139" t="n">
        <v>1.22242477422456</v>
      </c>
      <c r="N32" s="139" t="n">
        <v>2.031602099</v>
      </c>
      <c r="O32" s="139" t="n">
        <v>0.35056391</v>
      </c>
      <c r="P32" s="142" t="n">
        <v>17.2555398605148</v>
      </c>
      <c r="Q32" s="139" t="n">
        <v>0</v>
      </c>
      <c r="R32" s="140" t="n">
        <v>5.622025002</v>
      </c>
      <c r="S32" s="141" t="n">
        <v>216.689613304</v>
      </c>
      <c r="T32" s="142" t="n">
        <v>1.494193739</v>
      </c>
      <c r="U32" s="142" t="n">
        <v>-1.35579776623566</v>
      </c>
      <c r="V32" s="139" t="n">
        <v>1.38221387941593</v>
      </c>
      <c r="W32" s="139" t="n">
        <v>2.283699901</v>
      </c>
      <c r="X32" s="139" t="n">
        <v>0.402160114</v>
      </c>
      <c r="Y32" s="142" t="n">
        <v>17.6100245843992</v>
      </c>
      <c r="Z32" s="139" t="n">
        <v>0</v>
      </c>
      <c r="AA32" s="143">
        <f>I32-R32</f>
        <v/>
      </c>
      <c r="AB32" s="144">
        <f>J32-S32</f>
        <v/>
      </c>
      <c r="AC32" s="145">
        <f>K32-T32</f>
        <v/>
      </c>
      <c r="AD32" s="145">
        <f>L32-U32</f>
        <v/>
      </c>
      <c r="AE32" s="146">
        <f>M32-V32</f>
        <v/>
      </c>
      <c r="AF32" s="146">
        <f>N32-W32</f>
        <v/>
      </c>
      <c r="AG32" s="146">
        <f>O32-X32</f>
        <v/>
      </c>
      <c r="AH32" s="145">
        <f>P32-Y32</f>
        <v/>
      </c>
      <c r="AI32" s="147">
        <f>Q32-Z32</f>
        <v/>
      </c>
    </row>
    <row r="33">
      <c r="B33" t="inlineStr">
        <is>
          <t>BASEPRICE</t>
        </is>
      </c>
      <c r="C33" s="136" t="n">
        <v>46070</v>
      </c>
      <c r="D33" s="137" t="inlineStr">
        <is>
          <t>MI-CRT</t>
        </is>
      </c>
      <c r="E33" s="137" t="inlineStr">
        <is>
          <t>TMIR 2023-1 M2</t>
        </is>
      </c>
      <c r="F33" s="138" t="inlineStr">
        <is>
          <t>89589AAC3</t>
        </is>
      </c>
      <c r="G33" s="139" t="n">
        <v>10.19728</v>
      </c>
      <c r="H33" s="139" t="n">
        <v>109.35919</v>
      </c>
      <c r="I33" s="140" t="n">
        <v>5.918944228</v>
      </c>
      <c r="J33" s="141" t="n">
        <v>246.330324924</v>
      </c>
      <c r="K33" s="142" t="n">
        <v>2.575395036</v>
      </c>
      <c r="L33" s="142" t="n">
        <v>-1.76994383005214</v>
      </c>
      <c r="M33" s="139" t="n">
        <v>2.2615701670797</v>
      </c>
      <c r="N33" s="139" t="n">
        <v>2.031602099</v>
      </c>
      <c r="O33" s="139" t="n">
        <v>0.35056391</v>
      </c>
      <c r="P33" s="142" t="n">
        <v>17.2555398605148</v>
      </c>
      <c r="Q33" s="139" t="n">
        <v>0</v>
      </c>
      <c r="R33" s="140" t="n">
        <v>6.095086454</v>
      </c>
      <c r="S33" s="141" t="n">
        <v>263.635971215</v>
      </c>
      <c r="T33" s="142" t="n">
        <v>2.712254216</v>
      </c>
      <c r="U33" s="142" t="n">
        <v>-0.944520426678357</v>
      </c>
      <c r="V33" s="139" t="n">
        <v>2.36658604091709</v>
      </c>
      <c r="W33" s="139" t="n">
        <v>2.283699901</v>
      </c>
      <c r="X33" s="139" t="n">
        <v>0.402160114</v>
      </c>
      <c r="Y33" s="142" t="n">
        <v>17.6100245843992</v>
      </c>
      <c r="Z33" s="139" t="n">
        <v>0</v>
      </c>
      <c r="AA33" s="143">
        <f>I33-R33</f>
        <v/>
      </c>
      <c r="AB33" s="144">
        <f>J33-S33</f>
        <v/>
      </c>
      <c r="AC33" s="145">
        <f>K33-T33</f>
        <v/>
      </c>
      <c r="AD33" s="145">
        <f>L33-U33</f>
        <v/>
      </c>
      <c r="AE33" s="146">
        <f>M33-V33</f>
        <v/>
      </c>
      <c r="AF33" s="146">
        <f>N33-W33</f>
        <v/>
      </c>
      <c r="AG33" s="146">
        <f>O33-X33</f>
        <v/>
      </c>
      <c r="AH33" s="145">
        <f>P33-Y33</f>
        <v/>
      </c>
      <c r="AI33" s="147">
        <f>Q33-Z33</f>
        <v/>
      </c>
    </row>
    <row r="34">
      <c r="B34" t="inlineStr">
        <is>
          <t>BASEPRICE</t>
        </is>
      </c>
      <c r="C34" s="148" t="n">
        <v>46070</v>
      </c>
      <c r="D34" s="149" t="inlineStr">
        <is>
          <t>Non-QM</t>
        </is>
      </c>
      <c r="E34" s="149" t="inlineStr">
        <is>
          <t>ADMT 2023-NQM3 B2</t>
        </is>
      </c>
      <c r="F34" s="150" t="inlineStr">
        <is>
          <t>00249FAF4</t>
        </is>
      </c>
      <c r="G34" s="151" t="n">
        <v>8.065424999999999</v>
      </c>
      <c r="H34" s="151" t="n">
        <v>100.2329</v>
      </c>
      <c r="I34" s="152" t="n">
        <v>6.617248284</v>
      </c>
      <c r="J34" s="153" t="n">
        <v>301.4332051</v>
      </c>
      <c r="K34" s="154" t="n">
        <v>0.522222222</v>
      </c>
      <c r="L34" s="154" t="n">
        <v>0.499303838360453</v>
      </c>
      <c r="M34" s="151" t="n">
        <v>0.499336380569654</v>
      </c>
      <c r="N34" s="151" t="n">
        <v>4.153915501</v>
      </c>
      <c r="O34" s="151" t="n">
        <v>2.312035398</v>
      </c>
      <c r="P34" s="154" t="n">
        <v>55.6591822208085</v>
      </c>
      <c r="Q34" s="151" t="n">
        <v>0</v>
      </c>
      <c r="R34" s="152" t="n">
        <v>6.619059642</v>
      </c>
      <c r="S34" s="153" t="n">
        <v>301.614322134</v>
      </c>
      <c r="T34" s="154" t="n">
        <v>0.522222222</v>
      </c>
      <c r="U34" s="154" t="n">
        <v>0.49931626641551</v>
      </c>
      <c r="V34" s="151" t="n">
        <v>0.49933085244465</v>
      </c>
      <c r="W34" s="151" t="n">
        <v>5.494608018</v>
      </c>
      <c r="X34" s="151" t="n">
        <v>2.900337697</v>
      </c>
      <c r="Y34" s="154" t="n">
        <v>52.7851611525094</v>
      </c>
      <c r="Z34" s="151" t="n">
        <v>0</v>
      </c>
      <c r="AA34" s="155">
        <f>I34-R34</f>
        <v/>
      </c>
      <c r="AB34" s="156">
        <f>J34-S34</f>
        <v/>
      </c>
      <c r="AC34" s="157">
        <f>K34-T34</f>
        <v/>
      </c>
      <c r="AD34" s="157">
        <f>L34-U34</f>
        <v/>
      </c>
      <c r="AE34" s="158">
        <f>M34-V34</f>
        <v/>
      </c>
      <c r="AF34" s="158">
        <f>N34-W34</f>
        <v/>
      </c>
      <c r="AG34" s="158">
        <f>O34-X34</f>
        <v/>
      </c>
      <c r="AH34" s="157">
        <f>P34-Y34</f>
        <v/>
      </c>
      <c r="AI34" s="159">
        <f>Q34-Z34</f>
        <v/>
      </c>
    </row>
    <row r="35">
      <c r="B35" t="inlineStr">
        <is>
          <t>BASEPRICE</t>
        </is>
      </c>
      <c r="C35" s="148" t="n">
        <v>46070</v>
      </c>
      <c r="D35" s="149" t="inlineStr">
        <is>
          <t>Non-QM</t>
        </is>
      </c>
      <c r="E35" s="149" t="inlineStr">
        <is>
          <t>ADMT 2024-NQM1 B1</t>
        </is>
      </c>
      <c r="F35" s="150" t="inlineStr">
        <is>
          <t>00039GAE9</t>
        </is>
      </c>
      <c r="G35" s="151" t="n">
        <v>8.450137</v>
      </c>
      <c r="H35" s="151" t="n">
        <v>101.768925</v>
      </c>
      <c r="I35" s="152" t="n">
        <v>7.182176844</v>
      </c>
      <c r="J35" s="153" t="n">
        <v>374.259098672</v>
      </c>
      <c r="K35" s="154" t="n">
        <v>1.938888889</v>
      </c>
      <c r="L35" s="154" t="n">
        <v>1.74507028053996</v>
      </c>
      <c r="M35" s="151" t="n">
        <v>1.74543014874138</v>
      </c>
      <c r="N35" s="151" t="n">
        <v>3.547640876</v>
      </c>
      <c r="O35" s="151" t="n">
        <v>2.004709627</v>
      </c>
      <c r="P35" s="154" t="n">
        <v>56.5082458194114</v>
      </c>
      <c r="Q35" s="151" t="n">
        <v>0</v>
      </c>
      <c r="R35" s="152" t="n">
        <v>7.195667301</v>
      </c>
      <c r="S35" s="153" t="n">
        <v>375.607747747</v>
      </c>
      <c r="T35" s="154" t="n">
        <v>1.938888889</v>
      </c>
      <c r="U35" s="154" t="n">
        <v>1.74216640688697</v>
      </c>
      <c r="V35" s="151" t="n">
        <v>1.74517751563161</v>
      </c>
      <c r="W35" s="151" t="n">
        <v>4.915310299</v>
      </c>
      <c r="X35" s="151" t="n">
        <v>2.676348029</v>
      </c>
      <c r="Y35" s="154" t="n">
        <v>54.4492181814949</v>
      </c>
      <c r="Z35" s="151" t="n">
        <v>0</v>
      </c>
      <c r="AA35" s="155">
        <f>I35-R35</f>
        <v/>
      </c>
      <c r="AB35" s="156">
        <f>J35-S35</f>
        <v/>
      </c>
      <c r="AC35" s="157">
        <f>K35-T35</f>
        <v/>
      </c>
      <c r="AD35" s="157">
        <f>L35-U35</f>
        <v/>
      </c>
      <c r="AE35" s="158">
        <f>M35-V35</f>
        <v/>
      </c>
      <c r="AF35" s="158">
        <f>N35-W35</f>
        <v/>
      </c>
      <c r="AG35" s="158">
        <f>O35-X35</f>
        <v/>
      </c>
      <c r="AH35" s="157">
        <f>P35-Y35</f>
        <v/>
      </c>
      <c r="AI35" s="159">
        <f>Q35-Z35</f>
        <v/>
      </c>
    </row>
    <row r="36">
      <c r="B36" t="inlineStr">
        <is>
          <t>BASEPRICE</t>
        </is>
      </c>
      <c r="C36" s="148" t="n">
        <v>46070</v>
      </c>
      <c r="D36" s="149" t="inlineStr">
        <is>
          <t>Non-QM</t>
        </is>
      </c>
      <c r="E36" s="149" t="inlineStr">
        <is>
          <t>BRAVO 2021-NQM1 B1</t>
        </is>
      </c>
      <c r="F36" s="150" t="inlineStr">
        <is>
          <t>10569TAE8</t>
        </is>
      </c>
      <c r="G36" s="151" t="n">
        <v>3.172</v>
      </c>
      <c r="H36" s="151" t="n">
        <v>90.54235</v>
      </c>
      <c r="I36" s="152" t="n">
        <v>8.286427439000001</v>
      </c>
      <c r="J36" s="153" t="n">
        <v>484.821823834</v>
      </c>
      <c r="K36" s="154" t="n">
        <v>2.022222222</v>
      </c>
      <c r="L36" s="154" t="n">
        <v>1.88400455367019</v>
      </c>
      <c r="M36" s="151" t="n">
        <v>1.88400455367019</v>
      </c>
      <c r="N36" s="151" t="n">
        <v>2.153969873</v>
      </c>
      <c r="O36" s="151" t="n">
        <v>1.206977463</v>
      </c>
      <c r="P36" s="154" t="n">
        <v>56.0350206439494</v>
      </c>
      <c r="Q36" s="151" t="n">
        <v>0</v>
      </c>
      <c r="R36" s="152" t="n">
        <v>8.286427439000001</v>
      </c>
      <c r="S36" s="153" t="n">
        <v>484.821823834</v>
      </c>
      <c r="T36" s="154" t="n">
        <v>2.022222222</v>
      </c>
      <c r="U36" s="154" t="n">
        <v>1.88400455367019</v>
      </c>
      <c r="V36" s="151" t="n">
        <v>1.88400455367019</v>
      </c>
      <c r="W36" s="151" t="n">
        <v>2.670301951</v>
      </c>
      <c r="X36" s="151" t="n">
        <v>1.323676808</v>
      </c>
      <c r="Y36" s="154" t="n">
        <v>49.5703044932539</v>
      </c>
      <c r="Z36" s="151" t="n">
        <v>0</v>
      </c>
      <c r="AA36" s="155">
        <f>I36-R36</f>
        <v/>
      </c>
      <c r="AB36" s="156">
        <f>J36-S36</f>
        <v/>
      </c>
      <c r="AC36" s="157">
        <f>K36-T36</f>
        <v/>
      </c>
      <c r="AD36" s="157">
        <f>L36-U36</f>
        <v/>
      </c>
      <c r="AE36" s="158">
        <f>M36-V36</f>
        <v/>
      </c>
      <c r="AF36" s="158">
        <f>N36-W36</f>
        <v/>
      </c>
      <c r="AG36" s="158">
        <f>O36-X36</f>
        <v/>
      </c>
      <c r="AH36" s="157">
        <f>P36-Y36</f>
        <v/>
      </c>
      <c r="AI36" s="159">
        <f>Q36-Z36</f>
        <v/>
      </c>
    </row>
    <row r="37">
      <c r="B37" t="inlineStr">
        <is>
          <t>BASEPRICE</t>
        </is>
      </c>
      <c r="C37" s="148" t="n">
        <v>46070</v>
      </c>
      <c r="D37" s="149" t="inlineStr">
        <is>
          <t>Non-QM</t>
        </is>
      </c>
      <c r="E37" s="149" t="inlineStr">
        <is>
          <t>CHNGE 2022-1 B1</t>
        </is>
      </c>
      <c r="F37" s="150" t="inlineStr">
        <is>
          <t>17030JAC0</t>
        </is>
      </c>
      <c r="G37" s="151" t="n">
        <v>4.554605</v>
      </c>
      <c r="H37" s="151" t="n">
        <v>90.82789</v>
      </c>
      <c r="I37" s="152" t="n">
        <v>6.578352592</v>
      </c>
      <c r="J37" s="153" t="n">
        <v>288.677725792</v>
      </c>
      <c r="K37" s="154" t="n">
        <v>5.855555556</v>
      </c>
      <c r="L37" s="154" t="n">
        <v>6.62160931625739</v>
      </c>
      <c r="M37" s="151" t="n">
        <v>4.94171758916783</v>
      </c>
      <c r="N37" s="151" t="n">
        <v>2.162127256</v>
      </c>
      <c r="O37" s="151" t="n">
        <v>0.780528439</v>
      </c>
      <c r="P37" s="154" t="n">
        <v>36.100023106133</v>
      </c>
      <c r="Q37" s="151" t="n">
        <v>0</v>
      </c>
      <c r="R37" s="152" t="n">
        <v>6.404182164</v>
      </c>
      <c r="S37" s="153" t="n">
        <v>263.760282493</v>
      </c>
      <c r="T37" s="154" t="n">
        <v>6.688888889</v>
      </c>
      <c r="U37" s="154" t="n">
        <v>6.82260494986727</v>
      </c>
      <c r="V37" s="151" t="n">
        <v>5.53281947097968</v>
      </c>
      <c r="W37" s="151" t="n">
        <v>3.175185408</v>
      </c>
      <c r="X37" s="151" t="n">
        <v>1.050347947</v>
      </c>
      <c r="Y37" s="154" t="n">
        <v>33.0798933616163</v>
      </c>
      <c r="Z37" s="151" t="n">
        <v>0</v>
      </c>
      <c r="AA37" s="155">
        <f>I37-R37</f>
        <v/>
      </c>
      <c r="AB37" s="156">
        <f>J37-S37</f>
        <v/>
      </c>
      <c r="AC37" s="157">
        <f>K37-T37</f>
        <v/>
      </c>
      <c r="AD37" s="157">
        <f>L37-U37</f>
        <v/>
      </c>
      <c r="AE37" s="158">
        <f>M37-V37</f>
        <v/>
      </c>
      <c r="AF37" s="158">
        <f>N37-W37</f>
        <v/>
      </c>
      <c r="AG37" s="158">
        <f>O37-X37</f>
        <v/>
      </c>
      <c r="AH37" s="157">
        <f>P37-Y37</f>
        <v/>
      </c>
      <c r="AI37" s="159">
        <f>Q37-Z37</f>
        <v/>
      </c>
    </row>
    <row r="38">
      <c r="B38" t="inlineStr">
        <is>
          <t>BASEPRICE</t>
        </is>
      </c>
      <c r="C38" s="148" t="n">
        <v>46070</v>
      </c>
      <c r="D38" s="149" t="inlineStr">
        <is>
          <t>Non-QM</t>
        </is>
      </c>
      <c r="E38" s="149" t="inlineStr">
        <is>
          <t>CHNGE 2022-2 B2</t>
        </is>
      </c>
      <c r="F38" s="150" t="inlineStr">
        <is>
          <t>12546YAD3</t>
        </is>
      </c>
      <c r="G38" s="151" t="n">
        <v>4.588167</v>
      </c>
      <c r="H38" s="151" t="n">
        <v>83.88513</v>
      </c>
      <c r="I38" s="152" t="n">
        <v>6.914203937</v>
      </c>
      <c r="J38" s="153" t="n">
        <v>294.815302425</v>
      </c>
      <c r="K38" s="154" t="n">
        <v>9.605555556000001</v>
      </c>
      <c r="L38" s="154" t="n">
        <v>9.54286094925286</v>
      </c>
      <c r="M38" s="151" t="n">
        <v>7.33767899030496</v>
      </c>
      <c r="N38" s="151" t="n">
        <v>2.541156118</v>
      </c>
      <c r="O38" s="151" t="n">
        <v>0.723666706</v>
      </c>
      <c r="P38" s="154" t="n">
        <v>28.4778530871829</v>
      </c>
      <c r="Q38" s="151" t="n">
        <v>0</v>
      </c>
      <c r="R38" s="152" t="n">
        <v>6.797398169</v>
      </c>
      <c r="S38" s="153" t="n">
        <v>278.847951296</v>
      </c>
      <c r="T38" s="154" t="n">
        <v>10.355555556</v>
      </c>
      <c r="U38" s="154" t="n">
        <v>9.29339268354237</v>
      </c>
      <c r="V38" s="151" t="n">
        <v>7.76414034644757</v>
      </c>
      <c r="W38" s="151" t="n">
        <v>3.471654334</v>
      </c>
      <c r="X38" s="151" t="n">
        <v>0.922560798</v>
      </c>
      <c r="Y38" s="154" t="n">
        <v>26.574097224047</v>
      </c>
      <c r="Z38" s="151" t="n">
        <v>0</v>
      </c>
      <c r="AA38" s="155">
        <f>I38-R38</f>
        <v/>
      </c>
      <c r="AB38" s="156">
        <f>J38-S38</f>
        <v/>
      </c>
      <c r="AC38" s="157">
        <f>K38-T38</f>
        <v/>
      </c>
      <c r="AD38" s="157">
        <f>L38-U38</f>
        <v/>
      </c>
      <c r="AE38" s="158">
        <f>M38-V38</f>
        <v/>
      </c>
      <c r="AF38" s="158">
        <f>N38-W38</f>
        <v/>
      </c>
      <c r="AG38" s="158">
        <f>O38-X38</f>
        <v/>
      </c>
      <c r="AH38" s="157">
        <f>P38-Y38</f>
        <v/>
      </c>
      <c r="AI38" s="159">
        <f>Q38-Z38</f>
        <v/>
      </c>
    </row>
    <row r="39">
      <c r="B39" t="inlineStr">
        <is>
          <t>BASEPRICE</t>
        </is>
      </c>
      <c r="C39" s="148" t="n">
        <v>46070</v>
      </c>
      <c r="D39" s="149" t="inlineStr">
        <is>
          <t>Non-QM</t>
        </is>
      </c>
      <c r="E39" s="149" t="inlineStr">
        <is>
          <t>CHNGE 2023-4 B2</t>
        </is>
      </c>
      <c r="F39" s="150" t="inlineStr">
        <is>
          <t>12569QAG5</t>
        </is>
      </c>
      <c r="G39" s="151" t="n">
        <v>8.398600999999999</v>
      </c>
      <c r="H39" s="151" t="n">
        <v>101</v>
      </c>
      <c r="I39" s="152" t="n">
        <v>5.420785512</v>
      </c>
      <c r="J39" s="153" t="n">
        <v>181.78322826</v>
      </c>
      <c r="K39" s="154" t="n">
        <v>0.522222222</v>
      </c>
      <c r="L39" s="154" t="n">
        <v>0.501996911881187</v>
      </c>
      <c r="M39" s="151" t="n">
        <v>0.501990296039597</v>
      </c>
      <c r="N39" s="151" t="n">
        <v>3.862817893</v>
      </c>
      <c r="O39" s="151" t="n">
        <v>1.902810586</v>
      </c>
      <c r="P39" s="154" t="n">
        <v>49.2596503047212</v>
      </c>
      <c r="Q39" s="151" t="n">
        <v>0</v>
      </c>
      <c r="R39" s="152" t="n">
        <v>5.421031638</v>
      </c>
      <c r="S39" s="153" t="n">
        <v>181.807839208</v>
      </c>
      <c r="T39" s="154" t="n">
        <v>0.522222222</v>
      </c>
      <c r="U39" s="154" t="n">
        <v>0.501993527722765</v>
      </c>
      <c r="V39" s="151" t="n">
        <v>0.5019896059405971</v>
      </c>
      <c r="W39" s="151" t="n">
        <v>5.067093883</v>
      </c>
      <c r="X39" s="151" t="n">
        <v>2.27469866</v>
      </c>
      <c r="Y39" s="154" t="n">
        <v>44.8915830754897</v>
      </c>
      <c r="Z39" s="151" t="n">
        <v>0</v>
      </c>
      <c r="AA39" s="155">
        <f>I39-R39</f>
        <v/>
      </c>
      <c r="AB39" s="156">
        <f>J39-S39</f>
        <v/>
      </c>
      <c r="AC39" s="157">
        <f>K39-T39</f>
        <v/>
      </c>
      <c r="AD39" s="157">
        <f>L39-U39</f>
        <v/>
      </c>
      <c r="AE39" s="158">
        <f>M39-V39</f>
        <v/>
      </c>
      <c r="AF39" s="158">
        <f>N39-W39</f>
        <v/>
      </c>
      <c r="AG39" s="158">
        <f>O39-X39</f>
        <v/>
      </c>
      <c r="AH39" s="157">
        <f>P39-Y39</f>
        <v/>
      </c>
      <c r="AI39" s="159">
        <f>Q39-Z39</f>
        <v/>
      </c>
    </row>
    <row r="40">
      <c r="B40" t="inlineStr">
        <is>
          <t>BASEPRICE</t>
        </is>
      </c>
      <c r="C40" s="148" t="n">
        <v>46070</v>
      </c>
      <c r="D40" s="149" t="inlineStr">
        <is>
          <t>Non-QM</t>
        </is>
      </c>
      <c r="E40" s="149" t="inlineStr">
        <is>
          <t>COLT 2022-3 B2</t>
        </is>
      </c>
      <c r="F40" s="150" t="inlineStr">
        <is>
          <t>12659YAF1</t>
        </is>
      </c>
      <c r="G40" s="151" t="n">
        <v>4.218155</v>
      </c>
      <c r="H40" s="151" t="n">
        <v>84.06952</v>
      </c>
      <c r="I40" s="152" t="n">
        <v>6.63784875</v>
      </c>
      <c r="J40" s="153" t="n">
        <v>268.497985685</v>
      </c>
      <c r="K40" s="154" t="n">
        <v>9.355555556000001</v>
      </c>
      <c r="L40" s="154" t="n">
        <v>8.49448582435107</v>
      </c>
      <c r="M40" s="151" t="n">
        <v>7.30144876050201</v>
      </c>
      <c r="N40" s="151" t="n">
        <v>2.778708844</v>
      </c>
      <c r="O40" s="151" t="n">
        <v>1.2373671</v>
      </c>
      <c r="P40" s="154" t="n">
        <v>44.5302897664798</v>
      </c>
      <c r="Q40" s="151" t="n">
        <v>0</v>
      </c>
      <c r="R40" s="152" t="n">
        <v>6.520927056</v>
      </c>
      <c r="S40" s="153" t="n">
        <v>252.493081815</v>
      </c>
      <c r="T40" s="154" t="n">
        <v>10.022222222</v>
      </c>
      <c r="U40" s="154" t="n">
        <v>8.5391823100691</v>
      </c>
      <c r="V40" s="151" t="n">
        <v>7.70137323729218</v>
      </c>
      <c r="W40" s="151" t="n">
        <v>3.630627656</v>
      </c>
      <c r="X40" s="151" t="n">
        <v>1.492149018</v>
      </c>
      <c r="Y40" s="154" t="n">
        <v>41.098927220864</v>
      </c>
      <c r="Z40" s="151" t="n">
        <v>0</v>
      </c>
      <c r="AA40" s="155">
        <f>I40-R40</f>
        <v/>
      </c>
      <c r="AB40" s="156">
        <f>J40-S40</f>
        <v/>
      </c>
      <c r="AC40" s="157">
        <f>K40-T40</f>
        <v/>
      </c>
      <c r="AD40" s="157">
        <f>L40-U40</f>
        <v/>
      </c>
      <c r="AE40" s="158">
        <f>M40-V40</f>
        <v/>
      </c>
      <c r="AF40" s="158">
        <f>N40-W40</f>
        <v/>
      </c>
      <c r="AG40" s="158">
        <f>O40-X40</f>
        <v/>
      </c>
      <c r="AH40" s="157">
        <f>P40-Y40</f>
        <v/>
      </c>
      <c r="AI40" s="159">
        <f>Q40-Z40</f>
        <v/>
      </c>
    </row>
    <row r="41">
      <c r="B41" t="inlineStr">
        <is>
          <t>BASEPRICE</t>
        </is>
      </c>
      <c r="C41" s="148" t="n">
        <v>46070</v>
      </c>
      <c r="D41" s="149" t="inlineStr">
        <is>
          <t>Non-QM</t>
        </is>
      </c>
      <c r="E41" s="149" t="inlineStr">
        <is>
          <t>VERUS 2022-1 B2</t>
        </is>
      </c>
      <c r="F41" s="150" t="inlineStr">
        <is>
          <t>92538WAF4</t>
        </is>
      </c>
      <c r="G41" s="151" t="n">
        <v>3.975287</v>
      </c>
      <c r="H41" s="151" t="n">
        <v>77.753906</v>
      </c>
      <c r="I41" s="152" t="n">
        <v>6.843316505</v>
      </c>
      <c r="J41" s="153" t="n">
        <v>278.537463602</v>
      </c>
      <c r="K41" s="154" t="n">
        <v>11.188888889</v>
      </c>
      <c r="L41" s="154" t="n">
        <v>10.2831465470043</v>
      </c>
      <c r="M41" s="151" t="n">
        <v>8.41477360635748</v>
      </c>
      <c r="N41" s="151" t="n">
        <v>2.618265598</v>
      </c>
      <c r="O41" s="151" t="n">
        <v>1.049706987</v>
      </c>
      <c r="P41" s="154" t="n">
        <v>40.0916922943888</v>
      </c>
      <c r="Q41" s="151" t="n">
        <v>0</v>
      </c>
      <c r="R41" s="152" t="n">
        <v>6.737540596</v>
      </c>
      <c r="S41" s="153" t="n">
        <v>265.462657193</v>
      </c>
      <c r="T41" s="154" t="n">
        <v>11.688888889</v>
      </c>
      <c r="U41" s="154" t="n">
        <v>10.2917929229176</v>
      </c>
      <c r="V41" s="151" t="n">
        <v>8.698975102292611</v>
      </c>
      <c r="W41" s="151" t="n">
        <v>3.306794</v>
      </c>
      <c r="X41" s="151" t="n">
        <v>1.275862689</v>
      </c>
      <c r="Y41" s="154" t="n">
        <v>38.5830713676147</v>
      </c>
      <c r="Z41" s="151" t="n">
        <v>0</v>
      </c>
      <c r="AA41" s="155">
        <f>I41-R41</f>
        <v/>
      </c>
      <c r="AB41" s="156">
        <f>J41-S41</f>
        <v/>
      </c>
      <c r="AC41" s="157">
        <f>K41-T41</f>
        <v/>
      </c>
      <c r="AD41" s="157">
        <f>L41-U41</f>
        <v/>
      </c>
      <c r="AE41" s="158">
        <f>M41-V41</f>
        <v/>
      </c>
      <c r="AF41" s="158">
        <f>N41-W41</f>
        <v/>
      </c>
      <c r="AG41" s="158">
        <f>O41-X41</f>
        <v/>
      </c>
      <c r="AH41" s="157">
        <f>P41-Y41</f>
        <v/>
      </c>
      <c r="AI41" s="159">
        <f>Q41-Z41</f>
        <v/>
      </c>
    </row>
    <row r="42">
      <c r="B42" t="inlineStr">
        <is>
          <t>BASEPRICE</t>
        </is>
      </c>
      <c r="C42" s="148" t="n">
        <v>46070</v>
      </c>
      <c r="D42" s="149" t="inlineStr">
        <is>
          <t>Non-QM</t>
        </is>
      </c>
      <c r="E42" s="149" t="inlineStr">
        <is>
          <t>VERUS 2022-3 B2</t>
        </is>
      </c>
      <c r="F42" s="150" t="inlineStr">
        <is>
          <t>92538UAF8</t>
        </is>
      </c>
      <c r="G42" s="151" t="n">
        <v>4.045894</v>
      </c>
      <c r="H42" s="151" t="n">
        <v>79.01873000000001</v>
      </c>
      <c r="I42" s="152" t="n">
        <v>6.741778544</v>
      </c>
      <c r="J42" s="153" t="n">
        <v>268.845168324</v>
      </c>
      <c r="K42" s="154" t="n">
        <v>11.105555556</v>
      </c>
      <c r="L42" s="154" t="n">
        <v>10.1627273483135</v>
      </c>
      <c r="M42" s="151" t="n">
        <v>8.366034571803411</v>
      </c>
      <c r="N42" s="151" t="n">
        <v>2.915264542</v>
      </c>
      <c r="O42" s="151" t="n">
        <v>1.127423392</v>
      </c>
      <c r="P42" s="154" t="n">
        <v>38.6731075604733</v>
      </c>
      <c r="Q42" s="151" t="n">
        <v>0</v>
      </c>
      <c r="R42" s="152" t="n">
        <v>6.634503431</v>
      </c>
      <c r="S42" s="153" t="n">
        <v>254.832813237</v>
      </c>
      <c r="T42" s="154" t="n">
        <v>11.772222222</v>
      </c>
      <c r="U42" s="154" t="n">
        <v>10.2426067224821</v>
      </c>
      <c r="V42" s="151" t="n">
        <v>8.73311614853845</v>
      </c>
      <c r="W42" s="151" t="n">
        <v>3.814695048</v>
      </c>
      <c r="X42" s="151" t="n">
        <v>1.386752009</v>
      </c>
      <c r="Y42" s="154" t="n">
        <v>36.3528929980146</v>
      </c>
      <c r="Z42" s="151" t="n">
        <v>0</v>
      </c>
      <c r="AA42" s="155">
        <f>I42-R42</f>
        <v/>
      </c>
      <c r="AB42" s="156">
        <f>J42-S42</f>
        <v/>
      </c>
      <c r="AC42" s="157">
        <f>K42-T42</f>
        <v/>
      </c>
      <c r="AD42" s="157">
        <f>L42-U42</f>
        <v/>
      </c>
      <c r="AE42" s="158">
        <f>M42-V42</f>
        <v/>
      </c>
      <c r="AF42" s="158">
        <f>N42-W42</f>
        <v/>
      </c>
      <c r="AG42" s="158">
        <f>O42-X42</f>
        <v/>
      </c>
      <c r="AH42" s="157">
        <f>P42-Y42</f>
        <v/>
      </c>
      <c r="AI42" s="159">
        <f>Q42-Z42</f>
        <v/>
      </c>
    </row>
    <row r="43">
      <c r="B43" t="inlineStr">
        <is>
          <t>BASEPRICE</t>
        </is>
      </c>
      <c r="C43" s="148" t="n">
        <v>46070</v>
      </c>
      <c r="D43" s="149" t="inlineStr">
        <is>
          <t>Non-QM</t>
        </is>
      </c>
      <c r="E43" s="149" t="inlineStr">
        <is>
          <t>VISIO 2023-1 B1</t>
        </is>
      </c>
      <c r="F43" s="150" t="inlineStr">
        <is>
          <t>927958AE8</t>
        </is>
      </c>
      <c r="G43" s="151" t="n">
        <v>7.80731</v>
      </c>
      <c r="H43" s="151" t="n">
        <v>99.95143</v>
      </c>
      <c r="I43" s="152" t="n">
        <v>3.346527872</v>
      </c>
      <c r="J43" s="153" t="n">
        <v>-34.018946118</v>
      </c>
      <c r="K43" s="154" t="n">
        <v>0.105555556</v>
      </c>
      <c r="L43" s="154" t="n">
        <v>0.104178853669216</v>
      </c>
      <c r="M43" s="151" t="n">
        <v>0.104178853669216</v>
      </c>
      <c r="N43" s="151" t="n">
        <v>3.896990054</v>
      </c>
      <c r="O43" s="151" t="n">
        <v>2.692204556</v>
      </c>
      <c r="P43" s="154" t="n">
        <v>69.084203929046</v>
      </c>
      <c r="Q43" s="151" t="n">
        <v>0</v>
      </c>
      <c r="R43" s="152" t="n">
        <v>3.346670927</v>
      </c>
      <c r="S43" s="153" t="n">
        <v>-34.004640624</v>
      </c>
      <c r="T43" s="154" t="n">
        <v>0.105555556</v>
      </c>
      <c r="U43" s="154" t="n">
        <v>0.104178797642027</v>
      </c>
      <c r="V43" s="151" t="n">
        <v>0.104178797642027</v>
      </c>
      <c r="W43" s="151" t="n">
        <v>5.127215429</v>
      </c>
      <c r="X43" s="151" t="n">
        <v>3.346007787</v>
      </c>
      <c r="Y43" s="154" t="n">
        <v>65.2597464127346</v>
      </c>
      <c r="Z43" s="151" t="n">
        <v>0</v>
      </c>
      <c r="AA43" s="155">
        <f>I43-R43</f>
        <v/>
      </c>
      <c r="AB43" s="156">
        <f>J43-S43</f>
        <v/>
      </c>
      <c r="AC43" s="157">
        <f>K43-T43</f>
        <v/>
      </c>
      <c r="AD43" s="157">
        <f>L43-U43</f>
        <v/>
      </c>
      <c r="AE43" s="158">
        <f>M43-V43</f>
        <v/>
      </c>
      <c r="AF43" s="158">
        <f>N43-W43</f>
        <v/>
      </c>
      <c r="AG43" s="158">
        <f>O43-X43</f>
        <v/>
      </c>
      <c r="AH43" s="157">
        <f>P43-Y43</f>
        <v/>
      </c>
      <c r="AI43" s="159">
        <f>Q43-Z43</f>
        <v/>
      </c>
    </row>
    <row r="44">
      <c r="B44" t="inlineStr">
        <is>
          <t>BASEPRICE</t>
        </is>
      </c>
      <c r="C44" s="160" t="n">
        <v>46070</v>
      </c>
      <c r="D44" s="161" t="inlineStr">
        <is>
          <t>Prime Fixed</t>
        </is>
      </c>
      <c r="E44" s="161" t="inlineStr">
        <is>
          <t>CHASE 2024-6 A11X</t>
        </is>
      </c>
      <c r="F44" s="162" t="inlineStr">
        <is>
          <t>161931AQ3</t>
        </is>
      </c>
      <c r="G44" s="163" t="n">
        <v>3.05272</v>
      </c>
      <c r="H44" s="163" t="n">
        <v>4.938545</v>
      </c>
      <c r="I44" s="164" t="n">
        <v>-0.611499055</v>
      </c>
      <c r="J44" s="165" t="n">
        <v>-408.893331932</v>
      </c>
      <c r="K44" s="166" t="n">
        <v>1.421242348</v>
      </c>
      <c r="L44" s="166" t="n">
        <v>-33.6186655786269</v>
      </c>
      <c r="M44" s="163" t="n">
        <v>1.34254674200599</v>
      </c>
      <c r="N44" s="163" t="n">
        <v>0.345502672</v>
      </c>
      <c r="O44" s="163" t="n">
        <v>0.121235372</v>
      </c>
      <c r="P44" s="166" t="n">
        <v>35.089561333407</v>
      </c>
      <c r="Q44" s="163" t="n">
        <v>0</v>
      </c>
      <c r="R44" s="164" t="n">
        <v>1.20916137</v>
      </c>
      <c r="S44" s="165" t="n">
        <v>-226.936199163</v>
      </c>
      <c r="T44" s="166" t="n">
        <v>1.455996462</v>
      </c>
      <c r="U44" s="166" t="n">
        <v>-32.9746163698012</v>
      </c>
      <c r="V44" s="163" t="n">
        <v>1.34108817475592</v>
      </c>
      <c r="W44" s="163" t="n">
        <v>0.432271564</v>
      </c>
      <c r="X44" s="163" t="n">
        <v>0.153476096</v>
      </c>
      <c r="Y44" s="166" t="n">
        <v>35.5045551874423</v>
      </c>
      <c r="Z44" s="163" t="n">
        <v>0</v>
      </c>
      <c r="AA44" s="167">
        <f>I44-R44</f>
        <v/>
      </c>
      <c r="AB44" s="168">
        <f>J44-S44</f>
        <v/>
      </c>
      <c r="AC44" s="169">
        <f>K44-T44</f>
        <v/>
      </c>
      <c r="AD44" s="169">
        <f>L44-U44</f>
        <v/>
      </c>
      <c r="AE44" s="170">
        <f>M44-V44</f>
        <v/>
      </c>
      <c r="AF44" s="170">
        <f>N44-W44</f>
        <v/>
      </c>
      <c r="AG44" s="170">
        <f>O44-X44</f>
        <v/>
      </c>
      <c r="AH44" s="169">
        <f>P44-Y44</f>
        <v/>
      </c>
      <c r="AI44" s="171">
        <f>Q44-Z44</f>
        <v/>
      </c>
    </row>
    <row r="45">
      <c r="B45" t="inlineStr">
        <is>
          <t>BASEPRICE</t>
        </is>
      </c>
      <c r="C45" s="160" t="n">
        <v>46070</v>
      </c>
      <c r="D45" s="161" t="inlineStr">
        <is>
          <t>Prime Fixed</t>
        </is>
      </c>
      <c r="E45" s="161" t="inlineStr">
        <is>
          <t>CHASE 2024-9 A11X</t>
        </is>
      </c>
      <c r="F45" s="162" t="inlineStr">
        <is>
          <t>16160QAY0</t>
        </is>
      </c>
      <c r="G45" s="163" t="n">
        <v>2.55272</v>
      </c>
      <c r="H45" s="163" t="n">
        <v>4.292795</v>
      </c>
      <c r="I45" s="164" t="n">
        <v>-10.391305214</v>
      </c>
      <c r="J45" s="165" t="n">
        <v>-1386.536583823</v>
      </c>
      <c r="K45" s="166" t="n">
        <v>1.276044763</v>
      </c>
      <c r="L45" s="166" t="n">
        <v>-45.5851602976615</v>
      </c>
      <c r="M45" s="163" t="n">
        <v>1.39426094188053</v>
      </c>
      <c r="N45" s="163" t="n">
        <v>0.197966905</v>
      </c>
      <c r="O45" s="163" t="n">
        <v>0.056704269</v>
      </c>
      <c r="P45" s="166" t="n">
        <v>28.6433073245248</v>
      </c>
      <c r="Q45" s="163" t="n">
        <v>0</v>
      </c>
      <c r="R45" s="164" t="n">
        <v>-8.467437345</v>
      </c>
      <c r="S45" s="165" t="n">
        <v>-1194.246898787</v>
      </c>
      <c r="T45" s="166" t="n">
        <v>1.306236875</v>
      </c>
      <c r="U45" s="166" t="n">
        <v>-46.6585970678777</v>
      </c>
      <c r="V45" s="163" t="n">
        <v>1.39410318918093</v>
      </c>
      <c r="W45" s="163" t="n">
        <v>0.238582649</v>
      </c>
      <c r="X45" s="163" t="n">
        <v>0.06962469</v>
      </c>
      <c r="Y45" s="166" t="n">
        <v>29.1826292866754</v>
      </c>
      <c r="Z45" s="163" t="n">
        <v>0</v>
      </c>
      <c r="AA45" s="167">
        <f>I45-R45</f>
        <v/>
      </c>
      <c r="AB45" s="168">
        <f>J45-S45</f>
        <v/>
      </c>
      <c r="AC45" s="169">
        <f>K45-T45</f>
        <v/>
      </c>
      <c r="AD45" s="169">
        <f>L45-U45</f>
        <v/>
      </c>
      <c r="AE45" s="170">
        <f>M45-V45</f>
        <v/>
      </c>
      <c r="AF45" s="170">
        <f>N45-W45</f>
        <v/>
      </c>
      <c r="AG45" s="170">
        <f>O45-X45</f>
        <v/>
      </c>
      <c r="AH45" s="169">
        <f>P45-Y45</f>
        <v/>
      </c>
      <c r="AI45" s="171">
        <f>Q45-Z45</f>
        <v/>
      </c>
    </row>
    <row r="46">
      <c r="B46" t="inlineStr">
        <is>
          <t>BASEPRICE</t>
        </is>
      </c>
      <c r="C46" s="160" t="n">
        <v>46070</v>
      </c>
      <c r="D46" s="161" t="inlineStr">
        <is>
          <t>Prime Fixed</t>
        </is>
      </c>
      <c r="E46" s="161" t="inlineStr">
        <is>
          <t>CHASE 2025-10 A3X</t>
        </is>
      </c>
      <c r="F46" s="162" t="inlineStr">
        <is>
          <t>16160BAC1</t>
        </is>
      </c>
      <c r="G46" s="163" t="n">
        <v>0.5</v>
      </c>
      <c r="H46" s="163" t="n">
        <v>1.11069</v>
      </c>
      <c r="I46" s="164" t="n">
        <v>-0.748525686</v>
      </c>
      <c r="J46" s="165" t="n">
        <v>-434.618966681</v>
      </c>
      <c r="K46" s="166" t="n">
        <v>2.249201187</v>
      </c>
      <c r="L46" s="166" t="n">
        <v>-97.59633741187911</v>
      </c>
      <c r="M46" s="163" t="n">
        <v>2.46841909083542</v>
      </c>
      <c r="N46" s="163" t="n">
        <v>0.175652706</v>
      </c>
      <c r="O46" s="163" t="n">
        <v>0.047356425</v>
      </c>
      <c r="P46" s="166" t="n">
        <v>26.9602592971155</v>
      </c>
      <c r="Q46" s="163" t="n">
        <v>0</v>
      </c>
      <c r="R46" s="164" t="n">
        <v>0.835905722</v>
      </c>
      <c r="S46" s="165" t="n">
        <v>-277.074638377</v>
      </c>
      <c r="T46" s="166" t="n">
        <v>2.337126881</v>
      </c>
      <c r="U46" s="166" t="n">
        <v>-96.7602573175234</v>
      </c>
      <c r="V46" s="163" t="n">
        <v>2.48447019420359</v>
      </c>
      <c r="W46" s="163" t="n">
        <v>0.22213852</v>
      </c>
      <c r="X46" s="163" t="n">
        <v>0.061785588</v>
      </c>
      <c r="Y46" s="166" t="n">
        <v>27.8139910178568</v>
      </c>
      <c r="Z46" s="163" t="n">
        <v>0</v>
      </c>
      <c r="AA46" s="167">
        <f>I46-R46</f>
        <v/>
      </c>
      <c r="AB46" s="168">
        <f>J46-S46</f>
        <v/>
      </c>
      <c r="AC46" s="169">
        <f>K46-T46</f>
        <v/>
      </c>
      <c r="AD46" s="169">
        <f>L46-U46</f>
        <v/>
      </c>
      <c r="AE46" s="170">
        <f>M46-V46</f>
        <v/>
      </c>
      <c r="AF46" s="170">
        <f>N46-W46</f>
        <v/>
      </c>
      <c r="AG46" s="170">
        <f>O46-X46</f>
        <v/>
      </c>
      <c r="AH46" s="169">
        <f>P46-Y46</f>
        <v/>
      </c>
      <c r="AI46" s="171">
        <f>Q46-Z46</f>
        <v/>
      </c>
    </row>
    <row r="47">
      <c r="B47" t="inlineStr">
        <is>
          <t>BASEPRICE</t>
        </is>
      </c>
      <c r="C47" s="160" t="n">
        <v>46070</v>
      </c>
      <c r="D47" s="161" t="inlineStr">
        <is>
          <t>Prime Fixed</t>
        </is>
      </c>
      <c r="E47" s="161" t="inlineStr">
        <is>
          <t>CHASE 2025-12 A11X</t>
        </is>
      </c>
      <c r="F47" s="162" t="inlineStr">
        <is>
          <t>16160CCC7</t>
        </is>
      </c>
      <c r="G47" s="163" t="n">
        <v>2.55272</v>
      </c>
      <c r="H47" s="163" t="n">
        <v>4.918335</v>
      </c>
      <c r="I47" s="164" t="n">
        <v>16.07299371</v>
      </c>
      <c r="J47" s="165" t="n">
        <v>1251.634973519</v>
      </c>
      <c r="K47" s="166" t="n">
        <v>2.386395905</v>
      </c>
      <c r="L47" s="166" t="n">
        <v>-51.8543703509419</v>
      </c>
      <c r="M47" s="163" t="n">
        <v>1.74507204165637</v>
      </c>
      <c r="N47" s="163" t="n">
        <v>0.224623751</v>
      </c>
      <c r="O47" s="163" t="n">
        <v>0.057903284</v>
      </c>
      <c r="P47" s="166" t="n">
        <v>25.7778991501215</v>
      </c>
      <c r="Q47" s="163" t="n">
        <v>0</v>
      </c>
      <c r="R47" s="164" t="n">
        <v>17.318643883</v>
      </c>
      <c r="S47" s="165" t="n">
        <v>1375.932750453</v>
      </c>
      <c r="T47" s="166" t="n">
        <v>2.465638793</v>
      </c>
      <c r="U47" s="166" t="n">
        <v>-51.2175166596013</v>
      </c>
      <c r="V47" s="163" t="n">
        <v>1.74015468649452</v>
      </c>
      <c r="W47" s="163" t="n">
        <v>0.26036104</v>
      </c>
      <c r="X47" s="163" t="n">
        <v>0.07193825399999999</v>
      </c>
      <c r="Y47" s="166" t="n">
        <v>27.6301915217423</v>
      </c>
      <c r="Z47" s="163" t="n">
        <v>0</v>
      </c>
      <c r="AA47" s="167">
        <f>I47-R47</f>
        <v/>
      </c>
      <c r="AB47" s="168">
        <f>J47-S47</f>
        <v/>
      </c>
      <c r="AC47" s="169">
        <f>K47-T47</f>
        <v/>
      </c>
      <c r="AD47" s="169">
        <f>L47-U47</f>
        <v/>
      </c>
      <c r="AE47" s="170">
        <f>M47-V47</f>
        <v/>
      </c>
      <c r="AF47" s="170">
        <f>N47-W47</f>
        <v/>
      </c>
      <c r="AG47" s="170">
        <f>O47-X47</f>
        <v/>
      </c>
      <c r="AH47" s="169">
        <f>P47-Y47</f>
        <v/>
      </c>
      <c r="AI47" s="171">
        <f>Q47-Z47</f>
        <v/>
      </c>
    </row>
    <row r="48">
      <c r="B48" t="inlineStr">
        <is>
          <t>BASEPRICE</t>
        </is>
      </c>
      <c r="C48" s="160" t="n">
        <v>46070</v>
      </c>
      <c r="D48" s="161" t="inlineStr">
        <is>
          <t>Prime Fixed</t>
        </is>
      </c>
      <c r="E48" s="161" t="inlineStr">
        <is>
          <t>CHASE 2025-2 AX1</t>
        </is>
      </c>
      <c r="F48" s="162" t="inlineStr">
        <is>
          <t>16159VBH8</t>
        </is>
      </c>
      <c r="G48" s="163" t="n">
        <v>0.185622</v>
      </c>
      <c r="H48" s="163" t="n">
        <v>0.23147</v>
      </c>
      <c r="I48" s="164" t="n">
        <v>-28.829635981</v>
      </c>
      <c r="J48" s="165" t="n">
        <v>-3230.770278746</v>
      </c>
      <c r="K48" s="166" t="n">
        <v>3.50231056</v>
      </c>
      <c r="L48" s="166" t="n">
        <v>-78.86246425022679</v>
      </c>
      <c r="M48" s="163" t="n">
        <v>1.27587635546722</v>
      </c>
      <c r="N48" s="163" t="n">
        <v>0.364444875</v>
      </c>
      <c r="O48" s="163" t="n">
        <v>0.122485596</v>
      </c>
      <c r="P48" s="166" t="n">
        <v>33.6088128554421</v>
      </c>
      <c r="Q48" s="163" t="n">
        <v>0</v>
      </c>
      <c r="R48" s="164" t="n">
        <v>-25.766347369</v>
      </c>
      <c r="S48" s="165" t="n">
        <v>-2924.425814049</v>
      </c>
      <c r="T48" s="166" t="n">
        <v>3.612407478</v>
      </c>
      <c r="U48" s="166" t="n">
        <v>-79.06655894932391</v>
      </c>
      <c r="V48" s="163" t="n">
        <v>1.27131420918477</v>
      </c>
      <c r="W48" s="163" t="n">
        <v>0.449716371</v>
      </c>
      <c r="X48" s="163" t="n">
        <v>0.152791368</v>
      </c>
      <c r="Y48" s="166" t="n">
        <v>33.9750513552018</v>
      </c>
      <c r="Z48" s="163" t="n">
        <v>0</v>
      </c>
      <c r="AA48" s="167">
        <f>I48-R48</f>
        <v/>
      </c>
      <c r="AB48" s="168">
        <f>J48-S48</f>
        <v/>
      </c>
      <c r="AC48" s="169">
        <f>K48-T48</f>
        <v/>
      </c>
      <c r="AD48" s="169">
        <f>L48-U48</f>
        <v/>
      </c>
      <c r="AE48" s="170">
        <f>M48-V48</f>
        <v/>
      </c>
      <c r="AF48" s="170">
        <f>N48-W48</f>
        <v/>
      </c>
      <c r="AG48" s="170">
        <f>O48-X48</f>
        <v/>
      </c>
      <c r="AH48" s="169">
        <f>P48-Y48</f>
        <v/>
      </c>
      <c r="AI48" s="171">
        <f>Q48-Z48</f>
        <v/>
      </c>
    </row>
    <row r="49">
      <c r="B49" t="inlineStr">
        <is>
          <t>BASEPRICE</t>
        </is>
      </c>
      <c r="C49" s="160" t="n">
        <v>46070</v>
      </c>
      <c r="D49" s="161" t="inlineStr">
        <is>
          <t>Prime Fixed</t>
        </is>
      </c>
      <c r="E49" s="161" t="inlineStr">
        <is>
          <t>CHASE 2025-5 A11X</t>
        </is>
      </c>
      <c r="F49" s="162" t="inlineStr">
        <is>
          <t>161935BB6</t>
        </is>
      </c>
      <c r="G49" s="163" t="n">
        <v>2.30272</v>
      </c>
      <c r="H49" s="163" t="n">
        <v>4.179655</v>
      </c>
      <c r="I49" s="164" t="n">
        <v>14.734255084</v>
      </c>
      <c r="J49" s="165" t="n">
        <v>1120.363601271</v>
      </c>
      <c r="K49" s="166" t="n">
        <v>2.070983178</v>
      </c>
      <c r="L49" s="166" t="n">
        <v>-39.5070417055953</v>
      </c>
      <c r="M49" s="163" t="n">
        <v>1.62610059921213</v>
      </c>
      <c r="N49" s="163" t="n">
        <v>0.277398806</v>
      </c>
      <c r="O49" s="163" t="n">
        <v>0.08086969500000001</v>
      </c>
      <c r="P49" s="166" t="n">
        <v>29.1528634048987</v>
      </c>
      <c r="Q49" s="163" t="n">
        <v>0</v>
      </c>
      <c r="R49" s="164" t="n">
        <v>16.177297898</v>
      </c>
      <c r="S49" s="165" t="n">
        <v>1264.449859401</v>
      </c>
      <c r="T49" s="166" t="n">
        <v>2.137176002</v>
      </c>
      <c r="U49" s="166" t="n">
        <v>-38.5678808896907</v>
      </c>
      <c r="V49" s="163" t="n">
        <v>1.6192216343215</v>
      </c>
      <c r="W49" s="163" t="n">
        <v>0.350818987</v>
      </c>
      <c r="X49" s="163" t="n">
        <v>0.105891365</v>
      </c>
      <c r="Y49" s="166" t="n">
        <v>30.1840461673758</v>
      </c>
      <c r="Z49" s="163" t="n">
        <v>0</v>
      </c>
      <c r="AA49" s="167">
        <f>I49-R49</f>
        <v/>
      </c>
      <c r="AB49" s="168">
        <f>J49-S49</f>
        <v/>
      </c>
      <c r="AC49" s="169">
        <f>K49-T49</f>
        <v/>
      </c>
      <c r="AD49" s="169">
        <f>L49-U49</f>
        <v/>
      </c>
      <c r="AE49" s="170">
        <f>M49-V49</f>
        <v/>
      </c>
      <c r="AF49" s="170">
        <f>N49-W49</f>
        <v/>
      </c>
      <c r="AG49" s="170">
        <f>O49-X49</f>
        <v/>
      </c>
      <c r="AH49" s="169">
        <f>P49-Y49</f>
        <v/>
      </c>
      <c r="AI49" s="171">
        <f>Q49-Z49</f>
        <v/>
      </c>
    </row>
    <row r="50">
      <c r="B50" t="inlineStr">
        <is>
          <t>BASEPRICE</t>
        </is>
      </c>
      <c r="C50" s="160" t="n">
        <v>46070</v>
      </c>
      <c r="D50" s="161" t="inlineStr">
        <is>
          <t>Prime Fixed</t>
        </is>
      </c>
      <c r="E50" s="161" t="inlineStr">
        <is>
          <t>CHASE 2025-6 AX1</t>
        </is>
      </c>
      <c r="F50" s="162" t="inlineStr">
        <is>
          <t>161922BL2</t>
        </is>
      </c>
      <c r="G50" s="163" t="n">
        <v>0.364537</v>
      </c>
      <c r="H50" s="163" t="n">
        <v>0.668635</v>
      </c>
      <c r="I50" s="164" t="n">
        <v>-8.754104870999999</v>
      </c>
      <c r="J50" s="165" t="n">
        <v>-1228.985098243</v>
      </c>
      <c r="K50" s="166" t="n">
        <v>2.193581</v>
      </c>
      <c r="L50" s="166" t="n">
        <v>-78.7859453962177</v>
      </c>
      <c r="M50" s="163" t="n">
        <v>2.01354520777404</v>
      </c>
      <c r="N50" s="163" t="n">
        <v>0.267493747</v>
      </c>
      <c r="O50" s="163" t="n">
        <v>0.07694559400000001</v>
      </c>
      <c r="P50" s="166" t="n">
        <v>28.7653804483138</v>
      </c>
      <c r="Q50" s="163" t="n">
        <v>0</v>
      </c>
      <c r="R50" s="164" t="n">
        <v>-6.940590727</v>
      </c>
      <c r="S50" s="165" t="n">
        <v>-1047.945983926</v>
      </c>
      <c r="T50" s="166" t="n">
        <v>2.262532588</v>
      </c>
      <c r="U50" s="166" t="n">
        <v>-78.1052272166429</v>
      </c>
      <c r="V50" s="163" t="n">
        <v>2.0068864178513</v>
      </c>
      <c r="W50" s="163" t="n">
        <v>0.318206624</v>
      </c>
      <c r="X50" s="163" t="n">
        <v>0.094092168</v>
      </c>
      <c r="Y50" s="166" t="n">
        <v>29.56951895508</v>
      </c>
      <c r="Z50" s="163" t="n">
        <v>0</v>
      </c>
      <c r="AA50" s="167">
        <f>I50-R50</f>
        <v/>
      </c>
      <c r="AB50" s="168">
        <f>J50-S50</f>
        <v/>
      </c>
      <c r="AC50" s="169">
        <f>K50-T50</f>
        <v/>
      </c>
      <c r="AD50" s="169">
        <f>L50-U50</f>
        <v/>
      </c>
      <c r="AE50" s="170">
        <f>M50-V50</f>
        <v/>
      </c>
      <c r="AF50" s="170">
        <f>N50-W50</f>
        <v/>
      </c>
      <c r="AG50" s="170">
        <f>O50-X50</f>
        <v/>
      </c>
      <c r="AH50" s="169">
        <f>P50-Y50</f>
        <v/>
      </c>
      <c r="AI50" s="171">
        <f>Q50-Z50</f>
        <v/>
      </c>
    </row>
    <row r="51">
      <c r="B51" t="inlineStr">
        <is>
          <t>BASEPRICE</t>
        </is>
      </c>
      <c r="C51" s="160" t="n">
        <v>46070</v>
      </c>
      <c r="D51" s="162" t="inlineStr">
        <is>
          <t>Prime Fixed</t>
        </is>
      </c>
      <c r="E51" s="162" t="inlineStr">
        <is>
          <t>GCAT 2024-INV3 AX1</t>
        </is>
      </c>
      <c r="F51" s="162" t="inlineStr">
        <is>
          <t>36830FBA3</t>
        </is>
      </c>
      <c r="G51" s="172" t="n">
        <v>0.499171</v>
      </c>
      <c r="H51" s="172" t="n">
        <v>1.083835</v>
      </c>
      <c r="I51" s="173" t="n">
        <v>-9.350427578</v>
      </c>
      <c r="J51" s="174" t="n">
        <v>-1288.607113413</v>
      </c>
      <c r="K51" s="175" t="n">
        <v>2.905689384</v>
      </c>
      <c r="L51" s="175" t="n">
        <v>-26.6332194476097</v>
      </c>
      <c r="M51" s="172" t="n">
        <v>2.16085095978631</v>
      </c>
      <c r="N51" s="172" t="n">
        <v>0.6937255960000001</v>
      </c>
      <c r="O51" s="172" t="n">
        <v>0.231936171</v>
      </c>
      <c r="P51" s="175" t="n">
        <v>33.4334169500645</v>
      </c>
      <c r="Q51" s="172" t="n">
        <v>0</v>
      </c>
      <c r="R51" s="173" t="n">
        <v>-8.454633088</v>
      </c>
      <c r="S51" s="174" t="n">
        <v>-1199.238070415</v>
      </c>
      <c r="T51" s="175" t="n">
        <v>2.954285845</v>
      </c>
      <c r="U51" s="175" t="n">
        <v>-27.869973935147</v>
      </c>
      <c r="V51" s="172" t="n">
        <v>2.16014716262163</v>
      </c>
      <c r="W51" s="172" t="n">
        <v>0.82990064</v>
      </c>
      <c r="X51" s="172" t="n">
        <v>0.283928374</v>
      </c>
      <c r="Y51" s="175" t="n">
        <v>34.2123334186126</v>
      </c>
      <c r="Z51" s="172" t="n">
        <v>0</v>
      </c>
      <c r="AA51" s="167">
        <f>I51-R51</f>
        <v/>
      </c>
      <c r="AB51" s="168">
        <f>J51-S51</f>
        <v/>
      </c>
      <c r="AC51" s="169">
        <f>K51-T51</f>
        <v/>
      </c>
      <c r="AD51" s="169">
        <f>L51-U51</f>
        <v/>
      </c>
      <c r="AE51" s="170">
        <f>M51-V51</f>
        <v/>
      </c>
      <c r="AF51" s="170">
        <f>N51-W51</f>
        <v/>
      </c>
      <c r="AG51" s="170">
        <f>O51-X51</f>
        <v/>
      </c>
      <c r="AH51" s="169">
        <f>P51-Y51</f>
        <v/>
      </c>
      <c r="AI51" s="171">
        <f>Q51-Z51</f>
        <v/>
      </c>
    </row>
    <row r="52">
      <c r="B52" t="inlineStr">
        <is>
          <t>BASEPRICE</t>
        </is>
      </c>
      <c r="C52" s="160" t="n">
        <v>46070</v>
      </c>
      <c r="D52" s="162" t="inlineStr">
        <is>
          <t>Prime Fixed</t>
        </is>
      </c>
      <c r="E52" s="162" t="inlineStr">
        <is>
          <t>GSMBS 2024-INV1 AX</t>
        </is>
      </c>
      <c r="F52" s="162" t="inlineStr">
        <is>
          <t>362952BQ5</t>
        </is>
      </c>
      <c r="G52" s="172" t="n">
        <v>1.02212</v>
      </c>
      <c r="H52" s="172" t="n">
        <v>1.845455</v>
      </c>
      <c r="I52" s="173" t="n">
        <v>0.739253058</v>
      </c>
      <c r="J52" s="174" t="n">
        <v>-276.792251364</v>
      </c>
      <c r="K52" s="175" t="n">
        <v>4.081907114</v>
      </c>
      <c r="L52" s="175" t="n">
        <v>-22.3811893543869</v>
      </c>
      <c r="M52" s="172" t="n">
        <v>1.70597245665702</v>
      </c>
      <c r="N52" s="172" t="n">
        <v>0.687608112</v>
      </c>
      <c r="O52" s="172" t="n">
        <v>0.250996262</v>
      </c>
      <c r="P52" s="175" t="n">
        <v>36.5028069942258</v>
      </c>
      <c r="Q52" s="172" t="n">
        <v>0</v>
      </c>
      <c r="R52" s="173" t="n">
        <v>1.494765869</v>
      </c>
      <c r="S52" s="174" t="n">
        <v>-201.327456199</v>
      </c>
      <c r="T52" s="175" t="n">
        <v>4.121122122</v>
      </c>
      <c r="U52" s="175" t="n">
        <v>-22.9061702398595</v>
      </c>
      <c r="V52" s="172" t="n">
        <v>1.70317195488376</v>
      </c>
      <c r="W52" s="172" t="n">
        <v>0.8063454370000001</v>
      </c>
      <c r="X52" s="172" t="n">
        <v>0.299790786</v>
      </c>
      <c r="Y52" s="175" t="n">
        <v>37.1789523749733</v>
      </c>
      <c r="Z52" s="172" t="n">
        <v>0</v>
      </c>
      <c r="AA52" s="167">
        <f>I52-R52</f>
        <v/>
      </c>
      <c r="AB52" s="168">
        <f>J52-S52</f>
        <v/>
      </c>
      <c r="AC52" s="169">
        <f>K52-T52</f>
        <v/>
      </c>
      <c r="AD52" s="169">
        <f>L52-U52</f>
        <v/>
      </c>
      <c r="AE52" s="170">
        <f>M52-V52</f>
        <v/>
      </c>
      <c r="AF52" s="170">
        <f>N52-W52</f>
        <v/>
      </c>
      <c r="AG52" s="170">
        <f>O52-X52</f>
        <v/>
      </c>
      <c r="AH52" s="169">
        <f>P52-Y52</f>
        <v/>
      </c>
      <c r="AI52" s="171">
        <f>Q52-Z52</f>
        <v/>
      </c>
    </row>
    <row r="53">
      <c r="B53" t="inlineStr">
        <is>
          <t>BASEPRICE</t>
        </is>
      </c>
      <c r="C53" s="160" t="n">
        <v>46070</v>
      </c>
      <c r="D53" s="162" t="inlineStr">
        <is>
          <t>Prime Fixed</t>
        </is>
      </c>
      <c r="E53" s="162" t="inlineStr">
        <is>
          <t>GSMBS 2024-PJ1 A3X</t>
        </is>
      </c>
      <c r="F53" s="162" t="inlineStr">
        <is>
          <t>36268VAF9</t>
        </is>
      </c>
      <c r="G53" s="172" t="n">
        <v>0.5</v>
      </c>
      <c r="H53" s="172" t="n">
        <v>0.67</v>
      </c>
      <c r="I53" s="173" t="n">
        <v>10.870451613</v>
      </c>
      <c r="J53" s="174" t="n">
        <v>738.194847158</v>
      </c>
      <c r="K53" s="175" t="n">
        <v>1.713490233</v>
      </c>
      <c r="L53" s="175" t="n">
        <v>-32.0205752238806</v>
      </c>
      <c r="M53" s="172" t="n">
        <v>1.27661179104478</v>
      </c>
      <c r="N53" s="172" t="n">
        <v>1.493488835</v>
      </c>
      <c r="O53" s="172" t="n">
        <v>0.50616941</v>
      </c>
      <c r="P53" s="175" t="n">
        <v>33.8917438241177</v>
      </c>
      <c r="Q53" s="172" t="n">
        <v>0</v>
      </c>
      <c r="R53" s="173" t="n">
        <v>12.074743422</v>
      </c>
      <c r="S53" s="174" t="n">
        <v>858.556235347</v>
      </c>
      <c r="T53" s="175" t="n">
        <v>1.745336164</v>
      </c>
      <c r="U53" s="175" t="n">
        <v>-32.6025665671642</v>
      </c>
      <c r="V53" s="172" t="n">
        <v>1.27416447761194</v>
      </c>
      <c r="W53" s="172" t="n">
        <v>1.734021106</v>
      </c>
      <c r="X53" s="172" t="n">
        <v>0.599242444</v>
      </c>
      <c r="Y53" s="175" t="n">
        <v>34.5579671392996</v>
      </c>
      <c r="Z53" s="172" t="n">
        <v>0</v>
      </c>
      <c r="AA53" s="167">
        <f>I53-R53</f>
        <v/>
      </c>
      <c r="AB53" s="168">
        <f>J53-S53</f>
        <v/>
      </c>
      <c r="AC53" s="169">
        <f>K53-T53</f>
        <v/>
      </c>
      <c r="AD53" s="169">
        <f>L53-U53</f>
        <v/>
      </c>
      <c r="AE53" s="170">
        <f>M53-V53</f>
        <v/>
      </c>
      <c r="AF53" s="170">
        <f>N53-W53</f>
        <v/>
      </c>
      <c r="AG53" s="170">
        <f>O53-X53</f>
        <v/>
      </c>
      <c r="AH53" s="169">
        <f>P53-Y53</f>
        <v/>
      </c>
      <c r="AI53" s="171">
        <f>Q53-Z53</f>
        <v/>
      </c>
    </row>
    <row r="54">
      <c r="B54" t="inlineStr">
        <is>
          <t>BASEPRICE</t>
        </is>
      </c>
      <c r="C54" s="160" t="n">
        <v>46070</v>
      </c>
      <c r="D54" s="162" t="inlineStr">
        <is>
          <t>Prime Fixed</t>
        </is>
      </c>
      <c r="E54" s="162" t="inlineStr">
        <is>
          <t>JPMMT 2019-5 AX4</t>
        </is>
      </c>
      <c r="F54" s="162" t="inlineStr">
        <is>
          <t>46591FAX2</t>
        </is>
      </c>
      <c r="G54" s="172" t="n">
        <v>0.2</v>
      </c>
      <c r="H54" s="172" t="n">
        <v>0.7668700000000001</v>
      </c>
      <c r="I54" s="173" t="n">
        <v>8.312564665</v>
      </c>
      <c r="J54" s="174" t="n">
        <v>455.137175182</v>
      </c>
      <c r="K54" s="175" t="n">
        <v>5.505850236</v>
      </c>
      <c r="L54" s="175" t="n">
        <v>-10.8185301289658</v>
      </c>
      <c r="M54" s="172" t="n">
        <v>3.62687378564816</v>
      </c>
      <c r="N54" s="172" t="n">
        <v>0.781493982</v>
      </c>
      <c r="O54" s="172" t="n">
        <v>-0.717894605</v>
      </c>
      <c r="P54" s="175" t="n">
        <v>-91.8618212724765</v>
      </c>
      <c r="Q54" s="172" t="n">
        <v>0</v>
      </c>
      <c r="R54" s="173" t="n">
        <v>8.428955071000001</v>
      </c>
      <c r="S54" s="174" t="n">
        <v>466.640647995</v>
      </c>
      <c r="T54" s="175" t="n">
        <v>5.538829401</v>
      </c>
      <c r="U54" s="175" t="n">
        <v>-11.1564937994706</v>
      </c>
      <c r="V54" s="172" t="n">
        <v>3.6305093431742</v>
      </c>
      <c r="W54" s="172" t="n">
        <v>0.92818323</v>
      </c>
      <c r="X54" s="172" t="n">
        <v>-0.688224189</v>
      </c>
      <c r="Y54" s="175" t="n">
        <v>-74.1474492056919</v>
      </c>
      <c r="Z54" s="172" t="n">
        <v>0</v>
      </c>
      <c r="AA54" s="167">
        <f>I54-R54</f>
        <v/>
      </c>
      <c r="AB54" s="168">
        <f>J54-S54</f>
        <v/>
      </c>
      <c r="AC54" s="169">
        <f>K54-T54</f>
        <v/>
      </c>
      <c r="AD54" s="169">
        <f>L54-U54</f>
        <v/>
      </c>
      <c r="AE54" s="170">
        <f>M54-V54</f>
        <v/>
      </c>
      <c r="AF54" s="170">
        <f>N54-W54</f>
        <v/>
      </c>
      <c r="AG54" s="170">
        <f>O54-X54</f>
        <v/>
      </c>
      <c r="AH54" s="169">
        <f>P54-Y54</f>
        <v/>
      </c>
      <c r="AI54" s="171">
        <f>Q54-Z54</f>
        <v/>
      </c>
    </row>
    <row r="55">
      <c r="B55" t="inlineStr">
        <is>
          <t>BASEPRICE</t>
        </is>
      </c>
      <c r="C55" s="160" t="n">
        <v>46070</v>
      </c>
      <c r="D55" s="162" t="inlineStr">
        <is>
          <t>Prime Fixed</t>
        </is>
      </c>
      <c r="E55" s="162" t="inlineStr">
        <is>
          <t>JPMMT 2024-12 AX1</t>
        </is>
      </c>
      <c r="F55" s="162" t="inlineStr">
        <is>
          <t>46658TBH6</t>
        </is>
      </c>
      <c r="G55" s="172" t="n">
        <v>0.467004</v>
      </c>
      <c r="H55" s="172" t="n">
        <v>0.6418700000000001</v>
      </c>
      <c r="I55" s="173" t="n">
        <v>8.010125386</v>
      </c>
      <c r="J55" s="174" t="n">
        <v>449.260044009</v>
      </c>
      <c r="K55" s="175" t="n">
        <v>2.304293891</v>
      </c>
      <c r="L55" s="175" t="n">
        <v>-52.3617162353748</v>
      </c>
      <c r="M55" s="172" t="n">
        <v>1.50963341486594</v>
      </c>
      <c r="N55" s="172" t="n">
        <v>0.342224385</v>
      </c>
      <c r="O55" s="172" t="n">
        <v>0.102943501</v>
      </c>
      <c r="P55" s="175" t="n">
        <v>30.0807030451673</v>
      </c>
      <c r="Q55" s="172" t="n">
        <v>0</v>
      </c>
      <c r="R55" s="173" t="n">
        <v>9.521082574999999</v>
      </c>
      <c r="S55" s="174" t="n">
        <v>600.1696128999999</v>
      </c>
      <c r="T55" s="175" t="n">
        <v>2.371519563</v>
      </c>
      <c r="U55" s="175" t="n">
        <v>-52.2814597971552</v>
      </c>
      <c r="V55" s="172" t="n">
        <v>1.50513780048918</v>
      </c>
      <c r="W55" s="172" t="n">
        <v>0.430606903</v>
      </c>
      <c r="X55" s="172" t="n">
        <v>0.131959016</v>
      </c>
      <c r="Y55" s="175" t="n">
        <v>30.64489098541</v>
      </c>
      <c r="Z55" s="172" t="n">
        <v>0</v>
      </c>
      <c r="AA55" s="167">
        <f>I55-R55</f>
        <v/>
      </c>
      <c r="AB55" s="168">
        <f>J55-S55</f>
        <v/>
      </c>
      <c r="AC55" s="169">
        <f>K55-T55</f>
        <v/>
      </c>
      <c r="AD55" s="169">
        <f>L55-U55</f>
        <v/>
      </c>
      <c r="AE55" s="170">
        <f>M55-V55</f>
        <v/>
      </c>
      <c r="AF55" s="170">
        <f>N55-W55</f>
        <v/>
      </c>
      <c r="AG55" s="170">
        <f>O55-X55</f>
        <v/>
      </c>
      <c r="AH55" s="169">
        <f>P55-Y55</f>
        <v/>
      </c>
      <c r="AI55" s="171">
        <f>Q55-Z55</f>
        <v/>
      </c>
    </row>
    <row r="56">
      <c r="B56" t="inlineStr">
        <is>
          <t>BASEPRICE</t>
        </is>
      </c>
      <c r="C56" s="160" t="n">
        <v>46070</v>
      </c>
      <c r="D56" s="162" t="inlineStr">
        <is>
          <t>Prime Fixed</t>
        </is>
      </c>
      <c r="E56" s="162" t="inlineStr">
        <is>
          <t>JPMMT 2024-4 AX1</t>
        </is>
      </c>
      <c r="F56" s="162" t="inlineStr">
        <is>
          <t>46657WAX6</t>
        </is>
      </c>
      <c r="G56" s="172" t="n">
        <v>0.58272</v>
      </c>
      <c r="H56" s="172" t="n">
        <v>0.75008</v>
      </c>
      <c r="I56" s="173" t="n">
        <v>4.587454217</v>
      </c>
      <c r="J56" s="174" t="n">
        <v>109.966153512</v>
      </c>
      <c r="K56" s="175" t="n">
        <v>1.640697491</v>
      </c>
      <c r="L56" s="175" t="n">
        <v>-32.8235361561433</v>
      </c>
      <c r="M56" s="172" t="n">
        <v>1.33310380226109</v>
      </c>
      <c r="N56" s="172" t="n">
        <v>0.5101243090000001</v>
      </c>
      <c r="O56" s="172" t="n">
        <v>0.158363447</v>
      </c>
      <c r="P56" s="175" t="n">
        <v>31.0440894907441</v>
      </c>
      <c r="Q56" s="172" t="n">
        <v>0</v>
      </c>
      <c r="R56" s="173" t="n">
        <v>5.931515392</v>
      </c>
      <c r="S56" s="174" t="n">
        <v>244.267653138</v>
      </c>
      <c r="T56" s="175" t="n">
        <v>1.678246655</v>
      </c>
      <c r="U56" s="175" t="n">
        <v>-32.6088499893345</v>
      </c>
      <c r="V56" s="172" t="n">
        <v>1.33094843216724</v>
      </c>
      <c r="W56" s="172" t="n">
        <v>0.601840698</v>
      </c>
      <c r="X56" s="172" t="n">
        <v>0.189739605</v>
      </c>
      <c r="Y56" s="175" t="n">
        <v>31.526549405936</v>
      </c>
      <c r="Z56" s="172" t="n">
        <v>0</v>
      </c>
      <c r="AA56" s="167">
        <f>I56-R56</f>
        <v/>
      </c>
      <c r="AB56" s="168">
        <f>J56-S56</f>
        <v/>
      </c>
      <c r="AC56" s="169">
        <f>K56-T56</f>
        <v/>
      </c>
      <c r="AD56" s="169">
        <f>L56-U56</f>
        <v/>
      </c>
      <c r="AE56" s="170">
        <f>M56-V56</f>
        <v/>
      </c>
      <c r="AF56" s="170">
        <f>N56-W56</f>
        <v/>
      </c>
      <c r="AG56" s="170">
        <f>O56-X56</f>
        <v/>
      </c>
      <c r="AH56" s="169">
        <f>P56-Y56</f>
        <v/>
      </c>
      <c r="AI56" s="171">
        <f>Q56-Z56</f>
        <v/>
      </c>
    </row>
    <row r="57">
      <c r="B57" t="inlineStr">
        <is>
          <t>BASEPRICE</t>
        </is>
      </c>
      <c r="C57" s="160" t="n">
        <v>46070</v>
      </c>
      <c r="D57" s="162" t="inlineStr">
        <is>
          <t>Prime Fixed</t>
        </is>
      </c>
      <c r="E57" s="162" t="inlineStr">
        <is>
          <t>JPMMT 2024-4 AX2</t>
        </is>
      </c>
      <c r="F57" s="162" t="inlineStr">
        <is>
          <t>46657WAY4</t>
        </is>
      </c>
      <c r="G57" s="172" t="n">
        <v>0.5</v>
      </c>
      <c r="H57" s="172" t="n">
        <v>0.762505</v>
      </c>
      <c r="I57" s="173" t="n">
        <v>0.154356104</v>
      </c>
      <c r="J57" s="174" t="n">
        <v>-333.261163005</v>
      </c>
      <c r="K57" s="175" t="n">
        <v>1.640697491</v>
      </c>
      <c r="L57" s="175" t="n">
        <v>-51.6174498527879</v>
      </c>
      <c r="M57" s="172" t="n">
        <v>1.44520232654211</v>
      </c>
      <c r="N57" s="172" t="n">
        <v>0.5101243090000001</v>
      </c>
      <c r="O57" s="172" t="n">
        <v>0.158363447</v>
      </c>
      <c r="P57" s="175" t="n">
        <v>31.0440894907441</v>
      </c>
      <c r="Q57" s="172" t="n">
        <v>0</v>
      </c>
      <c r="R57" s="173" t="n">
        <v>1.527402105</v>
      </c>
      <c r="S57" s="174" t="n">
        <v>-196.071468394</v>
      </c>
      <c r="T57" s="175" t="n">
        <v>1.678246655</v>
      </c>
      <c r="U57" s="175" t="n">
        <v>-51.1696579038826</v>
      </c>
      <c r="V57" s="172" t="n">
        <v>1.44290699733116</v>
      </c>
      <c r="W57" s="172" t="n">
        <v>0.601840698</v>
      </c>
      <c r="X57" s="172" t="n">
        <v>0.189739605</v>
      </c>
      <c r="Y57" s="175" t="n">
        <v>31.526549405936</v>
      </c>
      <c r="Z57" s="172" t="n">
        <v>0</v>
      </c>
      <c r="AA57" s="167">
        <f>I57-R57</f>
        <v/>
      </c>
      <c r="AB57" s="168">
        <f>J57-S57</f>
        <v/>
      </c>
      <c r="AC57" s="169">
        <f>K57-T57</f>
        <v/>
      </c>
      <c r="AD57" s="169">
        <f>L57-U57</f>
        <v/>
      </c>
      <c r="AE57" s="170">
        <f>M57-V57</f>
        <v/>
      </c>
      <c r="AF57" s="170">
        <f>N57-W57</f>
        <v/>
      </c>
      <c r="AG57" s="170">
        <f>O57-X57</f>
        <v/>
      </c>
      <c r="AH57" s="169">
        <f>P57-Y57</f>
        <v/>
      </c>
      <c r="AI57" s="171">
        <f>Q57-Z57</f>
        <v/>
      </c>
    </row>
    <row r="58">
      <c r="B58" t="inlineStr">
        <is>
          <t>BASEPRICE</t>
        </is>
      </c>
      <c r="C58" s="160" t="n">
        <v>46070</v>
      </c>
      <c r="D58" s="162" t="inlineStr">
        <is>
          <t>Prime Fixed</t>
        </is>
      </c>
      <c r="E58" s="162" t="inlineStr">
        <is>
          <t>JPMMT 2024-INV1 AX1</t>
        </is>
      </c>
      <c r="F58" s="162" t="inlineStr">
        <is>
          <t>46658PAX0</t>
        </is>
      </c>
      <c r="G58" s="172" t="n">
        <v>1.038638</v>
      </c>
      <c r="H58" s="172" t="n">
        <v>2.050615</v>
      </c>
      <c r="I58" s="173" t="n">
        <v>-8.149143017</v>
      </c>
      <c r="J58" s="174" t="n">
        <v>-1169.489079478</v>
      </c>
      <c r="K58" s="175" t="n">
        <v>2.144396492</v>
      </c>
      <c r="L58" s="175" t="n">
        <v>-60.5812966353996</v>
      </c>
      <c r="M58" s="172" t="n">
        <v>2.12601824330749</v>
      </c>
      <c r="N58" s="172" t="n">
        <v>0.6392875609999999</v>
      </c>
      <c r="O58" s="172" t="n">
        <v>0.309490874</v>
      </c>
      <c r="P58" s="175" t="n">
        <v>48.4118404424891</v>
      </c>
      <c r="Q58" s="172" t="n">
        <v>0</v>
      </c>
      <c r="R58" s="173" t="n">
        <v>-6.80750854</v>
      </c>
      <c r="S58" s="174" t="n">
        <v>-1035.722645411</v>
      </c>
      <c r="T58" s="175" t="n">
        <v>2.200591763</v>
      </c>
      <c r="U58" s="175" t="n">
        <v>-61.1429185878383</v>
      </c>
      <c r="V58" s="172" t="n">
        <v>2.12760284109888</v>
      </c>
      <c r="W58" s="172" t="n">
        <v>0.748806966</v>
      </c>
      <c r="X58" s="172" t="n">
        <v>0.359900957</v>
      </c>
      <c r="Y58" s="175" t="n">
        <v>48.0632490536954</v>
      </c>
      <c r="Z58" s="172" t="n">
        <v>0</v>
      </c>
      <c r="AA58" s="167">
        <f>I58-R58</f>
        <v/>
      </c>
      <c r="AB58" s="168">
        <f>J58-S58</f>
        <v/>
      </c>
      <c r="AC58" s="169">
        <f>K58-T58</f>
        <v/>
      </c>
      <c r="AD58" s="169">
        <f>L58-U58</f>
        <v/>
      </c>
      <c r="AE58" s="170">
        <f>M58-V58</f>
        <v/>
      </c>
      <c r="AF58" s="170">
        <f>N58-W58</f>
        <v/>
      </c>
      <c r="AG58" s="170">
        <f>O58-X58</f>
        <v/>
      </c>
      <c r="AH58" s="169">
        <f>P58-Y58</f>
        <v/>
      </c>
      <c r="AI58" s="171">
        <f>Q58-Z58</f>
        <v/>
      </c>
    </row>
    <row r="59">
      <c r="B59" t="inlineStr">
        <is>
          <t>BASEPRICE</t>
        </is>
      </c>
      <c r="C59" s="160" t="n">
        <v>46070</v>
      </c>
      <c r="D59" s="162" t="inlineStr">
        <is>
          <t>Prime Fixed</t>
        </is>
      </c>
      <c r="E59" s="162" t="inlineStr">
        <is>
          <t>JPMMT 2025-3 B1</t>
        </is>
      </c>
      <c r="F59" s="162" t="inlineStr">
        <is>
          <t>46593RAJ5</t>
        </is>
      </c>
      <c r="G59" s="172" t="n">
        <v>6.87581</v>
      </c>
      <c r="H59" s="172" t="n">
        <v>101.057985</v>
      </c>
      <c r="I59" s="173" t="n">
        <v>5.940320534</v>
      </c>
      <c r="J59" s="174" t="n">
        <v>249.387881134</v>
      </c>
      <c r="K59" s="175" t="n">
        <v>1.688888889</v>
      </c>
      <c r="L59" s="175" t="n">
        <v>0.411452661558611</v>
      </c>
      <c r="M59" s="172" t="n">
        <v>1.56163405494381</v>
      </c>
      <c r="N59" s="172" t="n">
        <v>0.472852809</v>
      </c>
      <c r="O59" s="172" t="n">
        <v>0.157810125</v>
      </c>
      <c r="P59" s="175" t="n">
        <v>33.3740483288532</v>
      </c>
      <c r="Q59" s="172" t="n">
        <v>0</v>
      </c>
      <c r="R59" s="173" t="n">
        <v>5.981869609</v>
      </c>
      <c r="S59" s="174" t="n">
        <v>253.817333458</v>
      </c>
      <c r="T59" s="175" t="n">
        <v>1.772222222</v>
      </c>
      <c r="U59" s="175" t="n">
        <v>0.47564908502778</v>
      </c>
      <c r="V59" s="172" t="n">
        <v>1.63387298984835</v>
      </c>
      <c r="W59" s="172" t="n">
        <v>0.587675183</v>
      </c>
      <c r="X59" s="172" t="n">
        <v>0.194701337</v>
      </c>
      <c r="Y59" s="175" t="n">
        <v>33.1307740452943</v>
      </c>
      <c r="Z59" s="172" t="n">
        <v>0</v>
      </c>
      <c r="AA59" s="167">
        <f>I59-R59</f>
        <v/>
      </c>
      <c r="AB59" s="168">
        <f>J59-S59</f>
        <v/>
      </c>
      <c r="AC59" s="169">
        <f>K59-T59</f>
        <v/>
      </c>
      <c r="AD59" s="169">
        <f>L59-U59</f>
        <v/>
      </c>
      <c r="AE59" s="170">
        <f>M59-V59</f>
        <v/>
      </c>
      <c r="AF59" s="170">
        <f>N59-W59</f>
        <v/>
      </c>
      <c r="AG59" s="170">
        <f>O59-X59</f>
        <v/>
      </c>
      <c r="AH59" s="169">
        <f>P59-Y59</f>
        <v/>
      </c>
      <c r="AI59" s="171">
        <f>Q59-Z59</f>
        <v/>
      </c>
    </row>
    <row r="60">
      <c r="B60" t="inlineStr">
        <is>
          <t>BASEPRICE</t>
        </is>
      </c>
      <c r="C60" s="160" t="n">
        <v>46070</v>
      </c>
      <c r="D60" s="162" t="inlineStr">
        <is>
          <t>Prime Fixed</t>
        </is>
      </c>
      <c r="E60" s="162" t="inlineStr">
        <is>
          <t>JPMMT 2025-5MPR B1</t>
        </is>
      </c>
      <c r="F60" s="162" t="inlineStr">
        <is>
          <t>46593VAK3</t>
        </is>
      </c>
      <c r="G60" s="172" t="n">
        <v>7.217904</v>
      </c>
      <c r="H60" s="172" t="n">
        <v>101.45633</v>
      </c>
      <c r="I60" s="173" t="n">
        <v>5.319096253</v>
      </c>
      <c r="J60" s="174" t="n">
        <v>185.021477125</v>
      </c>
      <c r="K60" s="175" t="n">
        <v>1.022222222</v>
      </c>
      <c r="L60" s="175" t="n">
        <v>-0.641739320750111</v>
      </c>
      <c r="M60" s="172" t="n">
        <v>0.967808365431716</v>
      </c>
      <c r="N60" s="172" t="n">
        <v>0.431156567</v>
      </c>
      <c r="O60" s="172" t="n">
        <v>0.14420692</v>
      </c>
      <c r="P60" s="175" t="n">
        <v>33.4465321967368</v>
      </c>
      <c r="Q60" s="172" t="n">
        <v>0</v>
      </c>
      <c r="R60" s="173" t="n">
        <v>5.463189708</v>
      </c>
      <c r="S60" s="174" t="n">
        <v>199.704693598</v>
      </c>
      <c r="T60" s="175" t="n">
        <v>1.105555556</v>
      </c>
      <c r="U60" s="175" t="n">
        <v>-0.510088854978286</v>
      </c>
      <c r="V60" s="172" t="n">
        <v>1.04293296041756</v>
      </c>
      <c r="W60" s="172" t="n">
        <v>0.5394648399999999</v>
      </c>
      <c r="X60" s="172" t="n">
        <v>0.182406739</v>
      </c>
      <c r="Y60" s="175" t="n">
        <v>33.8125352154554</v>
      </c>
      <c r="Z60" s="172" t="n">
        <v>0</v>
      </c>
      <c r="AA60" s="167">
        <f>I60-R60</f>
        <v/>
      </c>
      <c r="AB60" s="168">
        <f>J60-S60</f>
        <v/>
      </c>
      <c r="AC60" s="169">
        <f>K60-T60</f>
        <v/>
      </c>
      <c r="AD60" s="169">
        <f>L60-U60</f>
        <v/>
      </c>
      <c r="AE60" s="170">
        <f>M60-V60</f>
        <v/>
      </c>
      <c r="AF60" s="170">
        <f>N60-W60</f>
        <v/>
      </c>
      <c r="AG60" s="170">
        <f>O60-X60</f>
        <v/>
      </c>
      <c r="AH60" s="169">
        <f>P60-Y60</f>
        <v/>
      </c>
      <c r="AI60" s="171">
        <f>Q60-Z60</f>
        <v/>
      </c>
    </row>
    <row r="61">
      <c r="B61" t="inlineStr">
        <is>
          <t>BASEPRICE</t>
        </is>
      </c>
      <c r="C61" s="160" t="n">
        <v>46070</v>
      </c>
      <c r="D61" s="162" t="inlineStr">
        <is>
          <t>Prime Fixed</t>
        </is>
      </c>
      <c r="E61" s="162" t="inlineStr">
        <is>
          <t>JPMMT 2025-7MPR B1</t>
        </is>
      </c>
      <c r="F61" s="162" t="inlineStr">
        <is>
          <t>46594CAK4</t>
        </is>
      </c>
      <c r="G61" s="172" t="n">
        <v>7.174238</v>
      </c>
      <c r="H61" s="172" t="n">
        <v>101.86067</v>
      </c>
      <c r="I61" s="173" t="n">
        <v>6.481370035</v>
      </c>
      <c r="J61" s="174" t="n">
        <v>297.89047228</v>
      </c>
      <c r="K61" s="175" t="n">
        <v>3.522222222</v>
      </c>
      <c r="L61" s="175" t="n">
        <v>3.27714927557417</v>
      </c>
      <c r="M61" s="172" t="n">
        <v>3.04559783967648</v>
      </c>
      <c r="N61" s="172" t="n">
        <v>0.300520285</v>
      </c>
      <c r="O61" s="172" t="n">
        <v>0.095784726</v>
      </c>
      <c r="P61" s="175" t="n">
        <v>31.8729652475872</v>
      </c>
      <c r="Q61" s="172" t="n">
        <v>0</v>
      </c>
      <c r="R61" s="173" t="n">
        <v>6.481503003</v>
      </c>
      <c r="S61" s="174" t="n">
        <v>297.903778733</v>
      </c>
      <c r="T61" s="175" t="n">
        <v>3.522222222</v>
      </c>
      <c r="U61" s="175" t="n">
        <v>3.27414367782973</v>
      </c>
      <c r="V61" s="172" t="n">
        <v>3.0455960558673</v>
      </c>
      <c r="W61" s="172" t="n">
        <v>0.373362957</v>
      </c>
      <c r="X61" s="172" t="n">
        <v>0.121290759</v>
      </c>
      <c r="Y61" s="175" t="n">
        <v>32.4860184241577</v>
      </c>
      <c r="Z61" s="172" t="n">
        <v>0</v>
      </c>
      <c r="AA61" s="167">
        <f>I61-R61</f>
        <v/>
      </c>
      <c r="AB61" s="168">
        <f>J61-S61</f>
        <v/>
      </c>
      <c r="AC61" s="169">
        <f>K61-T61</f>
        <v/>
      </c>
      <c r="AD61" s="169">
        <f>L61-U61</f>
        <v/>
      </c>
      <c r="AE61" s="170">
        <f>M61-V61</f>
        <v/>
      </c>
      <c r="AF61" s="170">
        <f>N61-W61</f>
        <v/>
      </c>
      <c r="AG61" s="170">
        <f>O61-X61</f>
        <v/>
      </c>
      <c r="AH61" s="169">
        <f>P61-Y61</f>
        <v/>
      </c>
      <c r="AI61" s="171">
        <f>Q61-Z61</f>
        <v/>
      </c>
    </row>
    <row r="62">
      <c r="B62" t="inlineStr">
        <is>
          <t>BASEPRICE</t>
        </is>
      </c>
      <c r="C62" s="160" t="n">
        <v>46070</v>
      </c>
      <c r="D62" s="162" t="inlineStr">
        <is>
          <t>Prime Fixed</t>
        </is>
      </c>
      <c r="E62" s="162" t="inlineStr">
        <is>
          <t>JPMMT 2025-7MPR B2</t>
        </is>
      </c>
      <c r="F62" s="162" t="inlineStr">
        <is>
          <t>46594CAL2</t>
        </is>
      </c>
      <c r="G62" s="172" t="n">
        <v>7.174238</v>
      </c>
      <c r="H62" s="172" t="n">
        <v>98.99930999999999</v>
      </c>
      <c r="I62" s="173" t="n">
        <v>7.420065434</v>
      </c>
      <c r="J62" s="174" t="n">
        <v>391.763749043</v>
      </c>
      <c r="K62" s="175" t="n">
        <v>3.522222222</v>
      </c>
      <c r="L62" s="175" t="n">
        <v>3.25889997415133</v>
      </c>
      <c r="M62" s="172" t="n">
        <v>3.02535391812327</v>
      </c>
      <c r="N62" s="172" t="n">
        <v>0.300520285</v>
      </c>
      <c r="O62" s="172" t="n">
        <v>0.095784726</v>
      </c>
      <c r="P62" s="175" t="n">
        <v>31.8729652475872</v>
      </c>
      <c r="Q62" s="172" t="n">
        <v>0</v>
      </c>
      <c r="R62" s="173" t="n">
        <v>7.420198947</v>
      </c>
      <c r="S62" s="174" t="n">
        <v>391.777110068</v>
      </c>
      <c r="T62" s="175" t="n">
        <v>3.522222222</v>
      </c>
      <c r="U62" s="175" t="n">
        <v>3.2558716964795</v>
      </c>
      <c r="V62" s="172" t="n">
        <v>3.02535217164645</v>
      </c>
      <c r="W62" s="172" t="n">
        <v>0.373362957</v>
      </c>
      <c r="X62" s="172" t="n">
        <v>0.121290759</v>
      </c>
      <c r="Y62" s="175" t="n">
        <v>32.4860184241577</v>
      </c>
      <c r="Z62" s="172" t="n">
        <v>0</v>
      </c>
      <c r="AA62" s="167">
        <f>I62-R62</f>
        <v/>
      </c>
      <c r="AB62" s="168">
        <f>J62-S62</f>
        <v/>
      </c>
      <c r="AC62" s="169">
        <f>K62-T62</f>
        <v/>
      </c>
      <c r="AD62" s="169">
        <f>L62-U62</f>
        <v/>
      </c>
      <c r="AE62" s="170">
        <f>M62-V62</f>
        <v/>
      </c>
      <c r="AF62" s="170">
        <f>N62-W62</f>
        <v/>
      </c>
      <c r="AG62" s="170">
        <f>O62-X62</f>
        <v/>
      </c>
      <c r="AH62" s="169">
        <f>P62-Y62</f>
        <v/>
      </c>
      <c r="AI62" s="171">
        <f>Q62-Z62</f>
        <v/>
      </c>
    </row>
    <row r="63">
      <c r="B63" t="inlineStr">
        <is>
          <t>BASEPRICE</t>
        </is>
      </c>
      <c r="C63" s="160" t="n">
        <v>46070</v>
      </c>
      <c r="D63" s="162" t="inlineStr">
        <is>
          <t>Prime Fixed</t>
        </is>
      </c>
      <c r="E63" s="162" t="inlineStr">
        <is>
          <t>JPMMT 2025-7MPR B3</t>
        </is>
      </c>
      <c r="F63" s="162" t="inlineStr">
        <is>
          <t>46594CAM0</t>
        </is>
      </c>
      <c r="G63" s="172" t="n">
        <v>7.174238</v>
      </c>
      <c r="H63" s="172" t="n">
        <v>92.528935</v>
      </c>
      <c r="I63" s="173" t="n">
        <v>9.672251623999999</v>
      </c>
      <c r="J63" s="174" t="n">
        <v>616.991341703</v>
      </c>
      <c r="K63" s="175" t="n">
        <v>3.522222222</v>
      </c>
      <c r="L63" s="175" t="n">
        <v>3.21556127064468</v>
      </c>
      <c r="M63" s="172" t="n">
        <v>2.97719747774034</v>
      </c>
      <c r="N63" s="172" t="n">
        <v>0.300520285</v>
      </c>
      <c r="O63" s="172" t="n">
        <v>0.095784726</v>
      </c>
      <c r="P63" s="175" t="n">
        <v>31.8729652475872</v>
      </c>
      <c r="Q63" s="172" t="n">
        <v>0</v>
      </c>
      <c r="R63" s="173" t="n">
        <v>9.672386415</v>
      </c>
      <c r="S63" s="174" t="n">
        <v>617.004830419</v>
      </c>
      <c r="T63" s="175" t="n">
        <v>3.522222222</v>
      </c>
      <c r="U63" s="175" t="n">
        <v>3.21247837554814</v>
      </c>
      <c r="V63" s="172" t="n">
        <v>2.97719581988057</v>
      </c>
      <c r="W63" s="172" t="n">
        <v>0.373362957</v>
      </c>
      <c r="X63" s="172" t="n">
        <v>0.121290759</v>
      </c>
      <c r="Y63" s="175" t="n">
        <v>32.4860184241577</v>
      </c>
      <c r="Z63" s="172" t="n">
        <v>0</v>
      </c>
      <c r="AA63" s="167">
        <f>I63-R63</f>
        <v/>
      </c>
      <c r="AB63" s="168">
        <f>J63-S63</f>
        <v/>
      </c>
      <c r="AC63" s="169">
        <f>K63-T63</f>
        <v/>
      </c>
      <c r="AD63" s="169">
        <f>L63-U63</f>
        <v/>
      </c>
      <c r="AE63" s="170">
        <f>M63-V63</f>
        <v/>
      </c>
      <c r="AF63" s="170">
        <f>N63-W63</f>
        <v/>
      </c>
      <c r="AG63" s="170">
        <f>O63-X63</f>
        <v/>
      </c>
      <c r="AH63" s="169">
        <f>P63-Y63</f>
        <v/>
      </c>
      <c r="AI63" s="171">
        <f>Q63-Z63</f>
        <v/>
      </c>
    </row>
    <row r="64">
      <c r="B64" t="inlineStr">
        <is>
          <t>BASEPRICE</t>
        </is>
      </c>
      <c r="C64" s="160" t="n">
        <v>46070</v>
      </c>
      <c r="D64" s="162" t="inlineStr">
        <is>
          <t>Prime Fixed</t>
        </is>
      </c>
      <c r="E64" s="162" t="inlineStr">
        <is>
          <t>JPMMT 2025-INV1 AX1</t>
        </is>
      </c>
      <c r="F64" s="162" t="inlineStr">
        <is>
          <t>466910AW6</t>
        </is>
      </c>
      <c r="G64" s="172" t="n">
        <v>0.36008</v>
      </c>
      <c r="H64" s="172" t="n">
        <v>0.5464</v>
      </c>
      <c r="I64" s="173" t="n">
        <v>-34.438773498</v>
      </c>
      <c r="J64" s="174" t="n">
        <v>-3791.545208521</v>
      </c>
      <c r="K64" s="175" t="n">
        <v>2.686104775</v>
      </c>
      <c r="L64" s="175" t="n">
        <v>-51.5483345534407</v>
      </c>
      <c r="M64" s="172" t="n">
        <v>1.69004593704246</v>
      </c>
      <c r="N64" s="172" t="n">
        <v>0.382602445</v>
      </c>
      <c r="O64" s="172" t="n">
        <v>0.15009821</v>
      </c>
      <c r="P64" s="175" t="n">
        <v>39.2308548890742</v>
      </c>
      <c r="Q64" s="172" t="n">
        <v>0</v>
      </c>
      <c r="R64" s="173" t="n">
        <v>-32.108493256</v>
      </c>
      <c r="S64" s="174" t="n">
        <v>-3558.632902987</v>
      </c>
      <c r="T64" s="175" t="n">
        <v>2.772626881</v>
      </c>
      <c r="U64" s="175" t="n">
        <v>-53.430539897511</v>
      </c>
      <c r="V64" s="172" t="n">
        <v>1.68370186676428</v>
      </c>
      <c r="W64" s="172" t="n">
        <v>0.458801763</v>
      </c>
      <c r="X64" s="172" t="n">
        <v>0.179253988</v>
      </c>
      <c r="Y64" s="175" t="n">
        <v>39.0700303390072</v>
      </c>
      <c r="Z64" s="172" t="n">
        <v>0</v>
      </c>
      <c r="AA64" s="167">
        <f>I64-R64</f>
        <v/>
      </c>
      <c r="AB64" s="168">
        <f>J64-S64</f>
        <v/>
      </c>
      <c r="AC64" s="169">
        <f>K64-T64</f>
        <v/>
      </c>
      <c r="AD64" s="169">
        <f>L64-U64</f>
        <v/>
      </c>
      <c r="AE64" s="170">
        <f>M64-V64</f>
        <v/>
      </c>
      <c r="AF64" s="170">
        <f>N64-W64</f>
        <v/>
      </c>
      <c r="AG64" s="170">
        <f>O64-X64</f>
        <v/>
      </c>
      <c r="AH64" s="169">
        <f>P64-Y64</f>
        <v/>
      </c>
      <c r="AI64" s="171">
        <f>Q64-Z64</f>
        <v/>
      </c>
    </row>
    <row r="65">
      <c r="B65" t="inlineStr">
        <is>
          <t>BASEPRICE</t>
        </is>
      </c>
      <c r="C65" s="160" t="n">
        <v>46070</v>
      </c>
      <c r="D65" s="162" t="inlineStr">
        <is>
          <t>Prime Fixed</t>
        </is>
      </c>
      <c r="E65" s="162" t="inlineStr">
        <is>
          <t>MSRM 2024-3 A7IO</t>
        </is>
      </c>
      <c r="F65" s="162" t="inlineStr">
        <is>
          <t>61776QBQ8</t>
        </is>
      </c>
      <c r="G65" s="172" t="n">
        <v>2</v>
      </c>
      <c r="H65" s="172" t="n">
        <v>2.096865</v>
      </c>
      <c r="I65" s="173" t="n">
        <v>-52.116600207</v>
      </c>
      <c r="J65" s="174" t="n">
        <v>-5562.432623904</v>
      </c>
      <c r="K65" s="175" t="n">
        <v>0.756181938</v>
      </c>
      <c r="L65" s="175" t="n">
        <v>-82.44583585495489</v>
      </c>
      <c r="M65" s="172" t="n">
        <v>1.01443125809245</v>
      </c>
      <c r="N65" s="172" t="n">
        <v>0.318789499</v>
      </c>
      <c r="O65" s="172" t="n">
        <v>0.090711113</v>
      </c>
      <c r="P65" s="175" t="n">
        <v>28.4548623102545</v>
      </c>
      <c r="Q65" s="172" t="n">
        <v>0</v>
      </c>
      <c r="R65" s="173" t="n">
        <v>-48.553863116</v>
      </c>
      <c r="S65" s="174" t="n">
        <v>-5205.996089299</v>
      </c>
      <c r="T65" s="175" t="n">
        <v>0.774477521</v>
      </c>
      <c r="U65" s="175" t="n">
        <v>-83.0152430413975</v>
      </c>
      <c r="V65" s="172" t="n">
        <v>1.00459400104441</v>
      </c>
      <c r="W65" s="172" t="n">
        <v>0.391801354</v>
      </c>
      <c r="X65" s="172" t="n">
        <v>0.110871551</v>
      </c>
      <c r="Y65" s="175" t="n">
        <v>28.2978988888333</v>
      </c>
      <c r="Z65" s="172" t="n">
        <v>0</v>
      </c>
      <c r="AA65" s="167">
        <f>I65-R65</f>
        <v/>
      </c>
      <c r="AB65" s="168">
        <f>J65-S65</f>
        <v/>
      </c>
      <c r="AC65" s="169">
        <f>K65-T65</f>
        <v/>
      </c>
      <c r="AD65" s="169">
        <f>L65-U65</f>
        <v/>
      </c>
      <c r="AE65" s="170">
        <f>M65-V65</f>
        <v/>
      </c>
      <c r="AF65" s="170">
        <f>N65-W65</f>
        <v/>
      </c>
      <c r="AG65" s="170">
        <f>O65-X65</f>
        <v/>
      </c>
      <c r="AH65" s="169">
        <f>P65-Y65</f>
        <v/>
      </c>
      <c r="AI65" s="171">
        <f>Q65-Z65</f>
        <v/>
      </c>
    </row>
    <row r="66">
      <c r="B66" t="inlineStr">
        <is>
          <t>BASEPRICE</t>
        </is>
      </c>
      <c r="C66" s="160" t="n">
        <v>46070</v>
      </c>
      <c r="D66" s="162" t="inlineStr">
        <is>
          <t>Prime Fixed</t>
        </is>
      </c>
      <c r="E66" s="162" t="inlineStr">
        <is>
          <t>PMTLT 2025-INV6 AX1</t>
        </is>
      </c>
      <c r="F66" s="162" t="inlineStr">
        <is>
          <t>69382MBK9</t>
        </is>
      </c>
      <c r="G66" s="172" t="n">
        <v>0.21289</v>
      </c>
      <c r="H66" s="172" t="n">
        <v>0.424765</v>
      </c>
      <c r="I66" s="173" t="n">
        <v>-72.549196893</v>
      </c>
      <c r="J66" s="174" t="n">
        <v>-7601.745821983</v>
      </c>
      <c r="K66" s="175" t="n">
        <v>3.22767237</v>
      </c>
      <c r="L66" s="175" t="n">
        <v>-75.11664473297</v>
      </c>
      <c r="M66" s="172" t="n">
        <v>1.90632467364307</v>
      </c>
      <c r="N66" s="172" t="n">
        <v>0.403056468</v>
      </c>
      <c r="O66" s="172" t="n">
        <v>0.111113539</v>
      </c>
      <c r="P66" s="175" t="n">
        <v>27.5677350003474</v>
      </c>
      <c r="Q66" s="172" t="n">
        <v>0</v>
      </c>
      <c r="R66" s="173" t="n">
        <v>-69.303564677</v>
      </c>
      <c r="S66" s="174" t="n">
        <v>-7277.145249341</v>
      </c>
      <c r="T66" s="175" t="n">
        <v>3.306624536</v>
      </c>
      <c r="U66" s="175" t="n">
        <v>-76.9966437912728</v>
      </c>
      <c r="V66" s="172" t="n">
        <v>1.89330500394336</v>
      </c>
      <c r="W66" s="172" t="n">
        <v>0.472673769</v>
      </c>
      <c r="X66" s="172" t="n">
        <v>0.132789851</v>
      </c>
      <c r="Y66" s="175" t="n">
        <v>28.0933404197431</v>
      </c>
      <c r="Z66" s="172" t="n">
        <v>0</v>
      </c>
      <c r="AA66" s="167">
        <f>I66-R66</f>
        <v/>
      </c>
      <c r="AB66" s="168">
        <f>J66-S66</f>
        <v/>
      </c>
      <c r="AC66" s="169">
        <f>K66-T66</f>
        <v/>
      </c>
      <c r="AD66" s="169">
        <f>L66-U66</f>
        <v/>
      </c>
      <c r="AE66" s="170">
        <f>M66-V66</f>
        <v/>
      </c>
      <c r="AF66" s="170">
        <f>N66-W66</f>
        <v/>
      </c>
      <c r="AG66" s="170">
        <f>O66-X66</f>
        <v/>
      </c>
      <c r="AH66" s="169">
        <f>P66-Y66</f>
        <v/>
      </c>
      <c r="AI66" s="171">
        <f>Q66-Z66</f>
        <v/>
      </c>
    </row>
    <row r="67">
      <c r="B67" t="inlineStr">
        <is>
          <t>BASEPRICE</t>
        </is>
      </c>
      <c r="C67" s="160" t="n">
        <v>46070</v>
      </c>
      <c r="D67" s="162" t="inlineStr">
        <is>
          <t>Prime Fixed</t>
        </is>
      </c>
      <c r="E67" s="162" t="inlineStr">
        <is>
          <t>RCKT 2024-INV1 AX2</t>
        </is>
      </c>
      <c r="F67" s="162" t="inlineStr">
        <is>
          <t>74938QBB9</t>
        </is>
      </c>
      <c r="G67" s="172" t="n">
        <v>0.5</v>
      </c>
      <c r="H67" s="172" t="n">
        <v>1.144745</v>
      </c>
      <c r="I67" s="173" t="n">
        <v>13.255963433</v>
      </c>
      <c r="J67" s="174" t="n">
        <v>965.548373846</v>
      </c>
      <c r="K67" s="175" t="n">
        <v>3.288680752</v>
      </c>
      <c r="L67" s="175" t="n">
        <v>-31.6641028351292</v>
      </c>
      <c r="M67" s="172" t="n">
        <v>2.21826869739549</v>
      </c>
      <c r="N67" s="172" t="n">
        <v>0.877771428</v>
      </c>
      <c r="O67" s="172" t="n">
        <v>0.357542209</v>
      </c>
      <c r="P67" s="175" t="n">
        <v>40.7329513805956</v>
      </c>
      <c r="Q67" s="172" t="n">
        <v>0</v>
      </c>
      <c r="R67" s="173" t="n">
        <v>13.753576901</v>
      </c>
      <c r="S67" s="174" t="n">
        <v>1015.185683247</v>
      </c>
      <c r="T67" s="175" t="n">
        <v>3.336814357</v>
      </c>
      <c r="U67" s="175" t="n">
        <v>-31.7399230396289</v>
      </c>
      <c r="V67" s="172" t="n">
        <v>2.21634101917894</v>
      </c>
      <c r="W67" s="172" t="n">
        <v>1.03049913</v>
      </c>
      <c r="X67" s="172" t="n">
        <v>0.415564969</v>
      </c>
      <c r="Y67" s="175" t="n">
        <v>40.3265715517877</v>
      </c>
      <c r="Z67" s="172" t="n">
        <v>0</v>
      </c>
      <c r="AA67" s="167">
        <f>I67-R67</f>
        <v/>
      </c>
      <c r="AB67" s="168">
        <f>J67-S67</f>
        <v/>
      </c>
      <c r="AC67" s="169">
        <f>K67-T67</f>
        <v/>
      </c>
      <c r="AD67" s="169">
        <f>L67-U67</f>
        <v/>
      </c>
      <c r="AE67" s="170">
        <f>M67-V67</f>
        <v/>
      </c>
      <c r="AF67" s="170">
        <f>N67-W67</f>
        <v/>
      </c>
      <c r="AG67" s="170">
        <f>O67-X67</f>
        <v/>
      </c>
      <c r="AH67" s="169">
        <f>P67-Y67</f>
        <v/>
      </c>
      <c r="AI67" s="171">
        <f>Q67-Z67</f>
        <v/>
      </c>
    </row>
    <row r="68">
      <c r="B68" t="inlineStr">
        <is>
          <t>BASEPRICE</t>
        </is>
      </c>
      <c r="C68" s="160" t="n">
        <v>46070</v>
      </c>
      <c r="D68" s="162" t="inlineStr">
        <is>
          <t>Prime Fixed</t>
        </is>
      </c>
      <c r="E68" s="162" t="inlineStr">
        <is>
          <t>RMCT 2024-J1 A25X</t>
        </is>
      </c>
      <c r="F68" s="162" t="inlineStr">
        <is>
          <t>75023DBQ8</t>
        </is>
      </c>
      <c r="G68" s="172" t="n">
        <v>2.95339</v>
      </c>
      <c r="H68" s="172" t="n">
        <v>4.945715</v>
      </c>
      <c r="I68" s="173" t="n">
        <v>-3.080055381</v>
      </c>
      <c r="J68" s="174" t="n">
        <v>-656.978896607</v>
      </c>
      <c r="K68" s="175" t="n">
        <v>1.418364907</v>
      </c>
      <c r="L68" s="175" t="n">
        <v>-58.1623200285499</v>
      </c>
      <c r="M68" s="172" t="n">
        <v>1.49901607755399</v>
      </c>
      <c r="N68" s="172" t="n">
        <v>0.278017635</v>
      </c>
      <c r="O68" s="172" t="n">
        <v>0.074792391</v>
      </c>
      <c r="P68" s="175" t="n">
        <v>26.902031232659</v>
      </c>
      <c r="Q68" s="172" t="n">
        <v>0</v>
      </c>
      <c r="R68" s="173" t="n">
        <v>-1.021127826</v>
      </c>
      <c r="S68" s="174" t="n">
        <v>-451.361601061</v>
      </c>
      <c r="T68" s="175" t="n">
        <v>1.461517345</v>
      </c>
      <c r="U68" s="175" t="n">
        <v>-58.0168839085956</v>
      </c>
      <c r="V68" s="172" t="n">
        <v>1.50277284477573</v>
      </c>
      <c r="W68" s="172" t="n">
        <v>0.321427389</v>
      </c>
      <c r="X68" s="172" t="n">
        <v>0.08723036100000001</v>
      </c>
      <c r="Y68" s="175" t="n">
        <v>27.1384343665872</v>
      </c>
      <c r="Z68" s="172" t="n">
        <v>0</v>
      </c>
      <c r="AA68" s="167">
        <f>I68-R68</f>
        <v/>
      </c>
      <c r="AB68" s="168">
        <f>J68-S68</f>
        <v/>
      </c>
      <c r="AC68" s="169">
        <f>K68-T68</f>
        <v/>
      </c>
      <c r="AD68" s="169">
        <f>L68-U68</f>
        <v/>
      </c>
      <c r="AE68" s="170">
        <f>M68-V68</f>
        <v/>
      </c>
      <c r="AF68" s="170">
        <f>N68-W68</f>
        <v/>
      </c>
      <c r="AG68" s="170">
        <f>O68-X68</f>
        <v/>
      </c>
      <c r="AH68" s="169">
        <f>P68-Y68</f>
        <v/>
      </c>
      <c r="AI68" s="171">
        <f>Q68-Z68</f>
        <v/>
      </c>
    </row>
    <row r="69">
      <c r="B69" t="inlineStr">
        <is>
          <t>BASEPRICE</t>
        </is>
      </c>
      <c r="C69" s="160" t="n">
        <v>46070</v>
      </c>
      <c r="D69" s="162" t="inlineStr">
        <is>
          <t>Prime Fixed</t>
        </is>
      </c>
      <c r="E69" s="162" t="inlineStr">
        <is>
          <t>RMCT 2024-J1 AX</t>
        </is>
      </c>
      <c r="F69" s="162" t="inlineStr">
        <is>
          <t>75023DCD6</t>
        </is>
      </c>
      <c r="G69" s="172" t="n">
        <v>0.13742</v>
      </c>
      <c r="H69" s="172" t="n">
        <v>0.20156</v>
      </c>
      <c r="I69" s="173" t="n">
        <v>-24.580228403</v>
      </c>
      <c r="J69" s="174" t="n">
        <v>-2806.084978262</v>
      </c>
      <c r="K69" s="175" t="n">
        <v>1.507351655</v>
      </c>
      <c r="L69" s="175" t="n">
        <v>-62.4508424290534</v>
      </c>
      <c r="M69" s="172" t="n">
        <v>1.48645911887279</v>
      </c>
      <c r="N69" s="172" t="n">
        <v>0.278017635</v>
      </c>
      <c r="O69" s="172" t="n">
        <v>0.074792391</v>
      </c>
      <c r="P69" s="175" t="n">
        <v>26.902031232659</v>
      </c>
      <c r="Q69" s="172" t="n">
        <v>0</v>
      </c>
      <c r="R69" s="173" t="n">
        <v>-22.509945274</v>
      </c>
      <c r="S69" s="174" t="n">
        <v>-2599.124906324</v>
      </c>
      <c r="T69" s="175" t="n">
        <v>1.552694009</v>
      </c>
      <c r="U69" s="175" t="n">
        <v>-62.6940146854535</v>
      </c>
      <c r="V69" s="172" t="n">
        <v>1.47969587219687</v>
      </c>
      <c r="W69" s="172" t="n">
        <v>0.321427389</v>
      </c>
      <c r="X69" s="172" t="n">
        <v>0.08723036100000001</v>
      </c>
      <c r="Y69" s="175" t="n">
        <v>27.1384343665872</v>
      </c>
      <c r="Z69" s="172" t="n">
        <v>0</v>
      </c>
      <c r="AA69" s="167">
        <f>I69-R69</f>
        <v/>
      </c>
      <c r="AB69" s="168">
        <f>J69-S69</f>
        <v/>
      </c>
      <c r="AC69" s="169">
        <f>K69-T69</f>
        <v/>
      </c>
      <c r="AD69" s="169">
        <f>L69-U69</f>
        <v/>
      </c>
      <c r="AE69" s="170">
        <f>M69-V69</f>
        <v/>
      </c>
      <c r="AF69" s="170">
        <f>N69-W69</f>
        <v/>
      </c>
      <c r="AG69" s="170">
        <f>O69-X69</f>
        <v/>
      </c>
      <c r="AH69" s="169">
        <f>P69-Y69</f>
        <v/>
      </c>
      <c r="AI69" s="171">
        <f>Q69-Z69</f>
        <v/>
      </c>
    </row>
    <row r="70">
      <c r="B70" t="inlineStr">
        <is>
          <t>BASEPRICE</t>
        </is>
      </c>
      <c r="C70" s="160" t="n">
        <v>46070</v>
      </c>
      <c r="D70" s="162" t="inlineStr">
        <is>
          <t>Prime Fixed</t>
        </is>
      </c>
      <c r="E70" s="162" t="inlineStr">
        <is>
          <t>SEMT 2025-10 I27F</t>
        </is>
      </c>
      <c r="F70" s="162" t="inlineStr">
        <is>
          <t>81750CDB8</t>
        </is>
      </c>
      <c r="G70" s="172" t="n">
        <v>2.55272</v>
      </c>
      <c r="H70" s="172" t="n">
        <v>5.013485</v>
      </c>
      <c r="I70" s="173" t="n">
        <v>10.470114084</v>
      </c>
      <c r="J70" s="174" t="n">
        <v>692.520269683</v>
      </c>
      <c r="K70" s="175" t="n">
        <v>2.132114344</v>
      </c>
      <c r="L70" s="175" t="n">
        <v>-52.4867828666088</v>
      </c>
      <c r="M70" s="172" t="n">
        <v>1.79086950494516</v>
      </c>
      <c r="N70" s="172" t="n">
        <v>0.217845204</v>
      </c>
      <c r="O70" s="172" t="n">
        <v>0.05751108</v>
      </c>
      <c r="P70" s="175" t="n">
        <v>26.3999752778583</v>
      </c>
      <c r="Q70" s="172" t="n">
        <v>0</v>
      </c>
      <c r="R70" s="173" t="n">
        <v>11.880080115</v>
      </c>
      <c r="S70" s="174" t="n">
        <v>833.119547359</v>
      </c>
      <c r="T70" s="175" t="n">
        <v>2.205107316</v>
      </c>
      <c r="U70" s="175" t="n">
        <v>-52.1098917020795</v>
      </c>
      <c r="V70" s="172" t="n">
        <v>1.79006210250953</v>
      </c>
      <c r="W70" s="172" t="n">
        <v>0.25359893</v>
      </c>
      <c r="X70" s="172" t="n">
        <v>0.070229236</v>
      </c>
      <c r="Y70" s="175" t="n">
        <v>27.6930332474195</v>
      </c>
      <c r="Z70" s="172" t="n">
        <v>0</v>
      </c>
      <c r="AA70" s="167">
        <f>I70-R70</f>
        <v/>
      </c>
      <c r="AB70" s="168">
        <f>J70-S70</f>
        <v/>
      </c>
      <c r="AC70" s="169">
        <f>K70-T70</f>
        <v/>
      </c>
      <c r="AD70" s="169">
        <f>L70-U70</f>
        <v/>
      </c>
      <c r="AE70" s="170">
        <f>M70-V70</f>
        <v/>
      </c>
      <c r="AF70" s="170">
        <f>N70-W70</f>
        <v/>
      </c>
      <c r="AG70" s="170">
        <f>O70-X70</f>
        <v/>
      </c>
      <c r="AH70" s="169">
        <f>P70-Y70</f>
        <v/>
      </c>
      <c r="AI70" s="171">
        <f>Q70-Z70</f>
        <v/>
      </c>
    </row>
    <row r="71">
      <c r="B71" t="inlineStr">
        <is>
          <t>BASEPRICE</t>
        </is>
      </c>
      <c r="C71" s="176" t="n">
        <v>46070</v>
      </c>
      <c r="D71" s="177" t="inlineStr">
        <is>
          <t>Short CRT-B2</t>
        </is>
      </c>
      <c r="E71" s="177" t="inlineStr">
        <is>
          <t>CAS 2020-SBT1 2B1</t>
        </is>
      </c>
      <c r="F71" s="177" t="inlineStr">
        <is>
          <t>20753VDL9</t>
        </is>
      </c>
      <c r="G71" s="178" t="n">
        <v>10.41176</v>
      </c>
      <c r="H71" s="178" t="n">
        <v>104.9</v>
      </c>
      <c r="I71" s="179" t="n">
        <v>5.356953996</v>
      </c>
      <c r="J71" s="180" t="n">
        <v>188.729288594</v>
      </c>
      <c r="K71" s="181" t="n">
        <v>1.022222222</v>
      </c>
      <c r="L71" s="181" t="n">
        <v>0.0279014337464204</v>
      </c>
      <c r="M71" s="178" t="n">
        <v>0.96299927836035</v>
      </c>
      <c r="N71" s="178" t="n">
        <v>1.529993447</v>
      </c>
      <c r="O71" s="178" t="n">
        <v>0.037572132</v>
      </c>
      <c r="P71" s="181" t="n">
        <v>2.45570541976315</v>
      </c>
      <c r="Q71" s="178" t="n">
        <v>0</v>
      </c>
      <c r="R71" s="179" t="n">
        <v>5.356953996</v>
      </c>
      <c r="S71" s="180" t="n">
        <v>188.729288594</v>
      </c>
      <c r="T71" s="181" t="n">
        <v>1.022222222</v>
      </c>
      <c r="U71" s="181" t="n">
        <v>0.0279014337464204</v>
      </c>
      <c r="V71" s="178" t="n">
        <v>0.96299927836035</v>
      </c>
      <c r="W71" s="178" t="n">
        <v>1.444652669</v>
      </c>
      <c r="X71" s="178" t="n">
        <v>0.036695808</v>
      </c>
      <c r="Y71" s="181" t="n">
        <v>2.54011284424519</v>
      </c>
      <c r="Z71" s="178" t="n">
        <v>0</v>
      </c>
      <c r="AA71" s="182">
        <f>I71-R71</f>
        <v/>
      </c>
      <c r="AB71" s="183">
        <f>J71-S71</f>
        <v/>
      </c>
      <c r="AC71" s="184">
        <f>K71-T71</f>
        <v/>
      </c>
      <c r="AD71" s="184">
        <f>L71-U71</f>
        <v/>
      </c>
      <c r="AE71" s="185">
        <f>M71-V71</f>
        <v/>
      </c>
      <c r="AF71" s="185">
        <f>N71-W71</f>
        <v/>
      </c>
      <c r="AG71" s="185">
        <f>O71-X71</f>
        <v/>
      </c>
      <c r="AH71" s="184">
        <f>P71-Y71</f>
        <v/>
      </c>
      <c r="AI71" s="186">
        <f>Q71-Z71</f>
        <v/>
      </c>
    </row>
    <row r="72">
      <c r="B72" t="inlineStr">
        <is>
          <t>BASEPRICE</t>
        </is>
      </c>
      <c r="C72" s="176" t="n">
        <v>46070</v>
      </c>
      <c r="D72" s="177" t="inlineStr">
        <is>
          <t>Short CRT-B2</t>
        </is>
      </c>
      <c r="E72" s="177" t="inlineStr">
        <is>
          <t>STACR 2018-HQA2 B2</t>
        </is>
      </c>
      <c r="F72" s="177" t="inlineStr">
        <is>
          <t>35563XBE1</t>
        </is>
      </c>
      <c r="G72" s="178" t="n">
        <v>14.81176</v>
      </c>
      <c r="H72" s="178" t="n">
        <v>123.25</v>
      </c>
      <c r="I72" s="179" t="n">
        <v>5.224803244</v>
      </c>
      <c r="J72" s="180" t="n">
        <v>176.657805176</v>
      </c>
      <c r="K72" s="181" t="n">
        <v>2.688888889</v>
      </c>
      <c r="L72" s="181" t="n">
        <v>0.223428367545641</v>
      </c>
      <c r="M72" s="178" t="n">
        <v>2.26442558377282</v>
      </c>
      <c r="N72" s="178" t="n">
        <v>2.489640576</v>
      </c>
      <c r="O72" s="178" t="n">
        <v>0.203426427</v>
      </c>
      <c r="P72" s="181" t="n">
        <v>8.17091547113345</v>
      </c>
      <c r="Q72" s="178" t="n">
        <v>0</v>
      </c>
      <c r="R72" s="179" t="n">
        <v>5.224803244</v>
      </c>
      <c r="S72" s="180" t="n">
        <v>176.657805176</v>
      </c>
      <c r="T72" s="181" t="n">
        <v>2.688888889</v>
      </c>
      <c r="U72" s="181" t="n">
        <v>0.223428367545641</v>
      </c>
      <c r="V72" s="178" t="n">
        <v>2.26442558377282</v>
      </c>
      <c r="W72" s="178" t="n">
        <v>2.372438989</v>
      </c>
      <c r="X72" s="178" t="n">
        <v>0.199065819</v>
      </c>
      <c r="Y72" s="181" t="n">
        <v>8.390766629741981</v>
      </c>
      <c r="Z72" s="178" t="n">
        <v>0</v>
      </c>
      <c r="AA72" s="182">
        <f>I72-R72</f>
        <v/>
      </c>
      <c r="AB72" s="183">
        <f>J72-S72</f>
        <v/>
      </c>
      <c r="AC72" s="184">
        <f>K72-T72</f>
        <v/>
      </c>
      <c r="AD72" s="184">
        <f>L72-U72</f>
        <v/>
      </c>
      <c r="AE72" s="185">
        <f>M72-V72</f>
        <v/>
      </c>
      <c r="AF72" s="185">
        <f>N72-W72</f>
        <v/>
      </c>
      <c r="AG72" s="185">
        <f>O72-X72</f>
        <v/>
      </c>
      <c r="AH72" s="184">
        <f>P72-Y72</f>
        <v/>
      </c>
      <c r="AI72" s="186">
        <f>Q72-Z72</f>
        <v/>
      </c>
    </row>
    <row r="73">
      <c r="B73" t="inlineStr">
        <is>
          <t>BASEPRICE</t>
        </is>
      </c>
      <c r="C73" s="176" t="n">
        <v>46070</v>
      </c>
      <c r="D73" s="177" t="inlineStr">
        <is>
          <t>Short CRT-B2</t>
        </is>
      </c>
      <c r="E73" s="177" t="inlineStr">
        <is>
          <t>STACR 2019-FTR1 B2</t>
        </is>
      </c>
      <c r="F73" s="177" t="inlineStr">
        <is>
          <t>35564PAC2</t>
        </is>
      </c>
      <c r="G73" s="178" t="n">
        <v>12.16176</v>
      </c>
      <c r="H73" s="178" t="n">
        <v>119.7</v>
      </c>
      <c r="I73" s="179" t="n">
        <v>5.260330022</v>
      </c>
      <c r="J73" s="180" t="n">
        <v>177.42695736</v>
      </c>
      <c r="K73" s="181" t="n">
        <v>3.272222222</v>
      </c>
      <c r="L73" s="181" t="n">
        <v>0.223805105263167</v>
      </c>
      <c r="M73" s="178" t="n">
        <v>2.74607171428572</v>
      </c>
      <c r="N73" s="178" t="n">
        <v>1.446848664</v>
      </c>
      <c r="O73" s="178" t="n">
        <v>0.063208238</v>
      </c>
      <c r="P73" s="181" t="n">
        <v>4.3686834409656</v>
      </c>
      <c r="Q73" s="178" t="n">
        <v>0</v>
      </c>
      <c r="R73" s="179" t="n">
        <v>5.260330022</v>
      </c>
      <c r="S73" s="180" t="n">
        <v>177.42695736</v>
      </c>
      <c r="T73" s="181" t="n">
        <v>3.272222222</v>
      </c>
      <c r="U73" s="181" t="n">
        <v>0.223805105263167</v>
      </c>
      <c r="V73" s="178" t="n">
        <v>2.74607171428572</v>
      </c>
      <c r="W73" s="178" t="n">
        <v>1.365220361</v>
      </c>
      <c r="X73" s="178" t="n">
        <v>0.062124537</v>
      </c>
      <c r="Y73" s="181" t="n">
        <v>4.55051351230177</v>
      </c>
      <c r="Z73" s="178" t="n">
        <v>0</v>
      </c>
      <c r="AA73" s="182">
        <f>I73-R73</f>
        <v/>
      </c>
      <c r="AB73" s="183">
        <f>J73-S73</f>
        <v/>
      </c>
      <c r="AC73" s="184">
        <f>K73-T73</f>
        <v/>
      </c>
      <c r="AD73" s="184">
        <f>L73-U73</f>
        <v/>
      </c>
      <c r="AE73" s="185">
        <f>M73-V73</f>
        <v/>
      </c>
      <c r="AF73" s="185">
        <f>N73-W73</f>
        <v/>
      </c>
      <c r="AG73" s="185">
        <f>O73-X73</f>
        <v/>
      </c>
      <c r="AH73" s="184">
        <f>P73-Y73</f>
        <v/>
      </c>
      <c r="AI73" s="186">
        <f>Q73-Z73</f>
        <v/>
      </c>
    </row>
    <row r="74">
      <c r="B74" t="inlineStr">
        <is>
          <t>BASEPRICE</t>
        </is>
      </c>
      <c r="C74" s="176" t="n">
        <v>46070</v>
      </c>
      <c r="D74" s="177" t="inlineStr">
        <is>
          <t>Short CRT-B2</t>
        </is>
      </c>
      <c r="E74" s="177" t="inlineStr">
        <is>
          <t>STACR 2019-FTR3 B2</t>
        </is>
      </c>
      <c r="F74" s="177" t="inlineStr">
        <is>
          <t>35565EAE2</t>
        </is>
      </c>
      <c r="G74" s="178" t="n">
        <v>8.78867</v>
      </c>
      <c r="H74" s="178" t="n">
        <v>110.3</v>
      </c>
      <c r="I74" s="179" t="n">
        <v>5.295591583</v>
      </c>
      <c r="J74" s="180" t="n">
        <v>176.585145941</v>
      </c>
      <c r="K74" s="181" t="n">
        <v>3.858333333</v>
      </c>
      <c r="L74" s="181" t="n">
        <v>0.118566160471441</v>
      </c>
      <c r="M74" s="178" t="n">
        <v>3.30490010244787</v>
      </c>
      <c r="N74" s="178" t="n">
        <v>1.121152031</v>
      </c>
      <c r="O74" s="178" t="n">
        <v>0.043790473</v>
      </c>
      <c r="P74" s="181" t="n">
        <v>3.90584611089198</v>
      </c>
      <c r="Q74" s="178" t="n">
        <v>0</v>
      </c>
      <c r="R74" s="179" t="n">
        <v>5.295591583</v>
      </c>
      <c r="S74" s="180" t="n">
        <v>176.585145941</v>
      </c>
      <c r="T74" s="181" t="n">
        <v>3.858333333</v>
      </c>
      <c r="U74" s="181" t="n">
        <v>0.118566160471441</v>
      </c>
      <c r="V74" s="178" t="n">
        <v>3.30490010244787</v>
      </c>
      <c r="W74" s="178" t="n">
        <v>1.059163361</v>
      </c>
      <c r="X74" s="178" t="n">
        <v>0.042006688</v>
      </c>
      <c r="Y74" s="181" t="n">
        <v>3.96602540710432</v>
      </c>
      <c r="Z74" s="178" t="n">
        <v>0</v>
      </c>
      <c r="AA74" s="182">
        <f>I74-R74</f>
        <v/>
      </c>
      <c r="AB74" s="183">
        <f>J74-S74</f>
        <v/>
      </c>
      <c r="AC74" s="184">
        <f>K74-T74</f>
        <v/>
      </c>
      <c r="AD74" s="184">
        <f>L74-U74</f>
        <v/>
      </c>
      <c r="AE74" s="185">
        <f>M74-V74</f>
        <v/>
      </c>
      <c r="AF74" s="185">
        <f>N74-W74</f>
        <v/>
      </c>
      <c r="AG74" s="185">
        <f>O74-X74</f>
        <v/>
      </c>
      <c r="AH74" s="184">
        <f>P74-Y74</f>
        <v/>
      </c>
      <c r="AI74" s="186">
        <f>Q74-Z74</f>
        <v/>
      </c>
    </row>
    <row r="75">
      <c r="B75" t="inlineStr">
        <is>
          <t>BASEPRICE</t>
        </is>
      </c>
      <c r="C75" s="176" t="n">
        <v>46070</v>
      </c>
      <c r="D75" s="177" t="inlineStr">
        <is>
          <t>Short CRT-B2</t>
        </is>
      </c>
      <c r="E75" s="177" t="inlineStr">
        <is>
          <t>STACR 2019-FTR4 B2</t>
        </is>
      </c>
      <c r="F75" s="177" t="inlineStr">
        <is>
          <t>35565GAE7</t>
        </is>
      </c>
      <c r="G75" s="178" t="n">
        <v>8.81176</v>
      </c>
      <c r="H75" s="178" t="n">
        <v>111</v>
      </c>
      <c r="I75" s="179" t="n">
        <v>5.297198441</v>
      </c>
      <c r="J75" s="180" t="n">
        <v>176.76402555</v>
      </c>
      <c r="K75" s="181" t="n">
        <v>3.858333333</v>
      </c>
      <c r="L75" s="181" t="n">
        <v>0.129668195495495</v>
      </c>
      <c r="M75" s="178" t="n">
        <v>3.29580071441441</v>
      </c>
      <c r="N75" s="178" t="n">
        <v>1.490834021</v>
      </c>
      <c r="O75" s="178" t="n">
        <v>0.074879397</v>
      </c>
      <c r="P75" s="181" t="n">
        <v>5.02265147865176</v>
      </c>
      <c r="Q75" s="178" t="n">
        <v>0</v>
      </c>
      <c r="R75" s="179" t="n">
        <v>5.297198441</v>
      </c>
      <c r="S75" s="180" t="n">
        <v>176.76402555</v>
      </c>
      <c r="T75" s="181" t="n">
        <v>3.858333333</v>
      </c>
      <c r="U75" s="181" t="n">
        <v>0.129668195495495</v>
      </c>
      <c r="V75" s="178" t="n">
        <v>3.29580071441441</v>
      </c>
      <c r="W75" s="178" t="n">
        <v>1.410484514</v>
      </c>
      <c r="X75" s="178" t="n">
        <v>0.076059187</v>
      </c>
      <c r="Y75" s="181" t="n">
        <v>5.39241560223184</v>
      </c>
      <c r="Z75" s="178" t="n">
        <v>0</v>
      </c>
      <c r="AA75" s="182">
        <f>I75-R75</f>
        <v/>
      </c>
      <c r="AB75" s="183">
        <f>J75-S75</f>
        <v/>
      </c>
      <c r="AC75" s="184">
        <f>K75-T75</f>
        <v/>
      </c>
      <c r="AD75" s="184">
        <f>L75-U75</f>
        <v/>
      </c>
      <c r="AE75" s="185">
        <f>M75-V75</f>
        <v/>
      </c>
      <c r="AF75" s="185">
        <f>N75-W75</f>
        <v/>
      </c>
      <c r="AG75" s="185">
        <f>O75-X75</f>
        <v/>
      </c>
      <c r="AH75" s="184">
        <f>P75-Y75</f>
        <v/>
      </c>
      <c r="AI75" s="186">
        <f>Q75-Z75</f>
        <v/>
      </c>
    </row>
    <row r="76">
      <c r="B76" t="inlineStr">
        <is>
          <t>BASEPRICE</t>
        </is>
      </c>
      <c r="C76" s="176" t="n">
        <v>46070</v>
      </c>
      <c r="D76" s="177" t="inlineStr">
        <is>
          <t>Short CRT-B2</t>
        </is>
      </c>
      <c r="E76" s="177" t="inlineStr">
        <is>
          <t>STACR 2019-HQA1 B2</t>
        </is>
      </c>
      <c r="F76" s="177" t="inlineStr">
        <is>
          <t>35563MBE5</t>
        </is>
      </c>
      <c r="G76" s="178" t="n">
        <v>16.06176</v>
      </c>
      <c r="H76" s="178" t="n">
        <v>121.56</v>
      </c>
      <c r="I76" s="179" t="n">
        <v>4.618994125</v>
      </c>
      <c r="J76" s="180" t="n">
        <v>117.613599946</v>
      </c>
      <c r="K76" s="181" t="n">
        <v>2.022222222</v>
      </c>
      <c r="L76" s="181" t="n">
        <v>-1.88669527229351</v>
      </c>
      <c r="M76" s="178" t="n">
        <v>1.75691159262916</v>
      </c>
      <c r="N76" s="178" t="n">
        <v>3.135091461</v>
      </c>
      <c r="O76" s="178" t="n">
        <v>0.281645215</v>
      </c>
      <c r="P76" s="181" t="n">
        <v>8.98363631503636</v>
      </c>
      <c r="Q76" s="178" t="n">
        <v>0</v>
      </c>
      <c r="R76" s="179" t="n">
        <v>5.332660889</v>
      </c>
      <c r="S76" s="180" t="n">
        <v>188.605628145</v>
      </c>
      <c r="T76" s="181" t="n">
        <v>2.188888889</v>
      </c>
      <c r="U76" s="181" t="n">
        <v>-1.68311630223757</v>
      </c>
      <c r="V76" s="178" t="n">
        <v>1.87314450559395</v>
      </c>
      <c r="W76" s="178" t="n">
        <v>2.994850142</v>
      </c>
      <c r="X76" s="178" t="n">
        <v>0.27399965</v>
      </c>
      <c r="Y76" s="181" t="n">
        <v>9.149027063404899</v>
      </c>
      <c r="Z76" s="178" t="n">
        <v>0</v>
      </c>
      <c r="AA76" s="182">
        <f>I76-R76</f>
        <v/>
      </c>
      <c r="AB76" s="183">
        <f>J76-S76</f>
        <v/>
      </c>
      <c r="AC76" s="184">
        <f>K76-T76</f>
        <v/>
      </c>
      <c r="AD76" s="184">
        <f>L76-U76</f>
        <v/>
      </c>
      <c r="AE76" s="185">
        <f>M76-V76</f>
        <v/>
      </c>
      <c r="AF76" s="185">
        <f>N76-W76</f>
        <v/>
      </c>
      <c r="AG76" s="185">
        <f>O76-X76</f>
        <v/>
      </c>
      <c r="AH76" s="184">
        <f>P76-Y76</f>
        <v/>
      </c>
      <c r="AI76" s="186">
        <f>Q76-Z76</f>
        <v/>
      </c>
    </row>
    <row r="77">
      <c r="B77" t="inlineStr">
        <is>
          <t>BASEPRICE</t>
        </is>
      </c>
      <c r="C77" s="176" t="n">
        <v>46070</v>
      </c>
      <c r="D77" s="177" t="inlineStr">
        <is>
          <t>Short CRT-B2</t>
        </is>
      </c>
      <c r="E77" s="177" t="inlineStr">
        <is>
          <t>STACR 2019-HQA2 B2</t>
        </is>
      </c>
      <c r="F77" s="177" t="inlineStr">
        <is>
          <t>35564MBE4</t>
        </is>
      </c>
      <c r="G77" s="178" t="n">
        <v>15.06176</v>
      </c>
      <c r="H77" s="178" t="n">
        <v>120.22</v>
      </c>
      <c r="I77" s="179" t="n">
        <v>4.330147465</v>
      </c>
      <c r="J77" s="180" t="n">
        <v>88.758774428</v>
      </c>
      <c r="K77" s="181" t="n">
        <v>2.022222222</v>
      </c>
      <c r="L77" s="181" t="n">
        <v>-1.79067389535851</v>
      </c>
      <c r="M77" s="178" t="n">
        <v>1.7720483355515</v>
      </c>
      <c r="N77" s="178" t="n">
        <v>3.3180757</v>
      </c>
      <c r="O77" s="178" t="n">
        <v>0.350528242</v>
      </c>
      <c r="P77" s="181" t="n">
        <v>10.5642026792818</v>
      </c>
      <c r="Q77" s="178" t="n">
        <v>0</v>
      </c>
      <c r="R77" s="179" t="n">
        <v>5.002363506</v>
      </c>
      <c r="S77" s="180" t="n">
        <v>155.599960131</v>
      </c>
      <c r="T77" s="181" t="n">
        <v>2.188888889</v>
      </c>
      <c r="U77" s="181" t="n">
        <v>-1.59838082182664</v>
      </c>
      <c r="V77" s="178" t="n">
        <v>1.89072902345699</v>
      </c>
      <c r="W77" s="178" t="n">
        <v>3.138488841</v>
      </c>
      <c r="X77" s="178" t="n">
        <v>0.341909676</v>
      </c>
      <c r="Y77" s="181" t="n">
        <v>10.8940860816016</v>
      </c>
      <c r="Z77" s="178" t="n">
        <v>0</v>
      </c>
      <c r="AA77" s="182">
        <f>I77-R77</f>
        <v/>
      </c>
      <c r="AB77" s="183">
        <f>J77-S77</f>
        <v/>
      </c>
      <c r="AC77" s="184">
        <f>K77-T77</f>
        <v/>
      </c>
      <c r="AD77" s="184">
        <f>L77-U77</f>
        <v/>
      </c>
      <c r="AE77" s="185">
        <f>M77-V77</f>
        <v/>
      </c>
      <c r="AF77" s="185">
        <f>N77-W77</f>
        <v/>
      </c>
      <c r="AG77" s="185">
        <f>O77-X77</f>
        <v/>
      </c>
      <c r="AH77" s="184">
        <f>P77-Y77</f>
        <v/>
      </c>
      <c r="AI77" s="186">
        <f>Q77-Z77</f>
        <v/>
      </c>
    </row>
    <row r="78">
      <c r="B78" t="inlineStr">
        <is>
          <t>BASEPRICE</t>
        </is>
      </c>
      <c r="C78" s="187" t="n">
        <v>46070</v>
      </c>
      <c r="D78" s="188" t="inlineStr">
        <is>
          <t>Single Borrower</t>
        </is>
      </c>
      <c r="E78" s="188" t="inlineStr">
        <is>
          <t>ACHM 2024-HE1 C</t>
        </is>
      </c>
      <c r="F78" s="188" t="inlineStr">
        <is>
          <t>00449TAC9</t>
        </is>
      </c>
      <c r="G78" s="189" t="n">
        <v>6.55</v>
      </c>
      <c r="H78" s="189" t="n">
        <v>102.02217</v>
      </c>
      <c r="I78" s="190" t="n">
        <v>5.594378675</v>
      </c>
      <c r="J78" s="191" t="n">
        <v>215.290264302</v>
      </c>
      <c r="K78" s="192" t="n">
        <v>2.105555556</v>
      </c>
      <c r="L78" s="192" t="n">
        <v>1.52053796052368</v>
      </c>
      <c r="M78" s="189" t="n">
        <v>1.92066423993922</v>
      </c>
      <c r="N78" s="189" t="n">
        <v>1.846352552</v>
      </c>
      <c r="O78" s="189" t="n">
        <v>1.159261506</v>
      </c>
      <c r="P78" s="192" t="n">
        <v>62.7865737095696</v>
      </c>
      <c r="Q78" s="189" t="n">
        <v>0</v>
      </c>
      <c r="R78" s="190" t="n">
        <v>5.594378675</v>
      </c>
      <c r="S78" s="191" t="n">
        <v>215.290264302</v>
      </c>
      <c r="T78" s="192" t="n">
        <v>2.105555556</v>
      </c>
      <c r="U78" s="192" t="n">
        <v>1.52053796052368</v>
      </c>
      <c r="V78" s="189" t="n">
        <v>1.92066423993922</v>
      </c>
      <c r="W78" s="189" t="n">
        <v>1.870730622</v>
      </c>
      <c r="X78" s="189" t="n">
        <v>1.181748045</v>
      </c>
      <c r="Y78" s="192" t="n">
        <v>63.1704015053002</v>
      </c>
      <c r="Z78" s="189" t="n">
        <v>0</v>
      </c>
      <c r="AA78" s="193">
        <f>I78-R78</f>
        <v/>
      </c>
      <c r="AB78" s="194">
        <f>J78-S78</f>
        <v/>
      </c>
      <c r="AC78" s="195">
        <f>K78-T78</f>
        <v/>
      </c>
      <c r="AD78" s="195">
        <f>L78-U78</f>
        <v/>
      </c>
      <c r="AE78" s="196">
        <f>M78-V78</f>
        <v/>
      </c>
      <c r="AF78" s="196">
        <f>N78-W78</f>
        <v/>
      </c>
      <c r="AG78" s="196">
        <f>O78-X78</f>
        <v/>
      </c>
      <c r="AH78" s="195">
        <f>P78-Y78</f>
        <v/>
      </c>
      <c r="AI78" s="197">
        <f>Q78-Z78</f>
        <v/>
      </c>
    </row>
    <row r="79">
      <c r="B79" t="inlineStr">
        <is>
          <t>BASEPRICE</t>
        </is>
      </c>
      <c r="C79" s="187" t="n">
        <v>46070</v>
      </c>
      <c r="D79" s="188" t="inlineStr">
        <is>
          <t>Single Borrower</t>
        </is>
      </c>
      <c r="E79" s="188" t="inlineStr">
        <is>
          <t>FIGRE 2023-HE1 CE</t>
        </is>
      </c>
      <c r="F79" s="188" t="inlineStr">
        <is>
          <t>302455AD2</t>
        </is>
      </c>
      <c r="G79" s="189" t="n">
        <v>5.274216</v>
      </c>
      <c r="H79" s="189" t="n">
        <v>190.9407396</v>
      </c>
      <c r="I79" s="190" t="n">
        <v>8.781121976</v>
      </c>
      <c r="J79" s="191" t="n">
        <v>499.451449547</v>
      </c>
      <c r="K79" s="192" t="n">
        <v>5.781022173</v>
      </c>
      <c r="L79" s="192" t="n">
        <v>-4.43332929249846</v>
      </c>
      <c r="M79" s="189" t="n">
        <v>2.60877977032827</v>
      </c>
      <c r="N79" s="189" t="n">
        <v>3.043210757</v>
      </c>
      <c r="O79" s="189" t="n">
        <v>2.546307712</v>
      </c>
      <c r="P79" s="192" t="n">
        <v>83.67175050702539</v>
      </c>
      <c r="Q79" s="189" t="n">
        <v>65.508151664</v>
      </c>
      <c r="R79" s="190" t="n">
        <v>8.761688716</v>
      </c>
      <c r="S79" s="191" t="n">
        <v>497.834923178</v>
      </c>
      <c r="T79" s="192" t="n">
        <v>5.818720983</v>
      </c>
      <c r="U79" s="192" t="n">
        <v>-4.83213544020439</v>
      </c>
      <c r="V79" s="189" t="n">
        <v>2.66895867412886</v>
      </c>
      <c r="W79" s="189" t="n">
        <v>2.929194946</v>
      </c>
      <c r="X79" s="189" t="n">
        <v>2.455134438</v>
      </c>
      <c r="Y79" s="192" t="n">
        <v>83.8160137259775</v>
      </c>
      <c r="Z79" s="189" t="n">
        <v>63.586581113</v>
      </c>
      <c r="AA79" s="193">
        <f>I79-R79</f>
        <v/>
      </c>
      <c r="AB79" s="194">
        <f>J79-S79</f>
        <v/>
      </c>
      <c r="AC79" s="195">
        <f>K79-T79</f>
        <v/>
      </c>
      <c r="AD79" s="195">
        <f>L79-U79</f>
        <v/>
      </c>
      <c r="AE79" s="196">
        <f>M79-V79</f>
        <v/>
      </c>
      <c r="AF79" s="196">
        <f>N79-W79</f>
        <v/>
      </c>
      <c r="AG79" s="196">
        <f>O79-X79</f>
        <v/>
      </c>
      <c r="AH79" s="195">
        <f>P79-Y79</f>
        <v/>
      </c>
      <c r="AI79" s="197">
        <f>Q79-Z79</f>
        <v/>
      </c>
    </row>
    <row r="80">
      <c r="B80" t="inlineStr">
        <is>
          <t>BASEPRICE</t>
        </is>
      </c>
      <c r="C80" s="187" t="n">
        <v>46070</v>
      </c>
      <c r="D80" s="188" t="inlineStr">
        <is>
          <t>Single Borrower</t>
        </is>
      </c>
      <c r="E80" s="188" t="inlineStr">
        <is>
          <t>FIGRE 2023-HE1A2 CE</t>
        </is>
      </c>
      <c r="F80" s="188" t="inlineStr">
        <is>
          <t>31684EAD9</t>
        </is>
      </c>
      <c r="G80" s="189" t="n">
        <v>3.745302</v>
      </c>
      <c r="H80" s="189" t="n">
        <v>159.9206467</v>
      </c>
      <c r="I80" s="190" t="n">
        <v>7.088741798</v>
      </c>
      <c r="J80" s="191" t="n">
        <v>308.251855537</v>
      </c>
      <c r="K80" s="192" t="n">
        <v>8.580794203</v>
      </c>
      <c r="L80" s="192" t="n">
        <v>-1.64343615238768</v>
      </c>
      <c r="M80" s="189" t="n">
        <v>4.00674823371634</v>
      </c>
      <c r="N80" s="189" t="n">
        <v>3.919781108</v>
      </c>
      <c r="O80" s="189" t="n">
        <v>3.286935597</v>
      </c>
      <c r="P80" s="192" t="n">
        <v>83.8550803332256</v>
      </c>
      <c r="Q80" s="189" t="n">
        <v>44.836516437</v>
      </c>
      <c r="R80" s="190" t="n">
        <v>7.388455274</v>
      </c>
      <c r="S80" s="191" t="n">
        <v>339.17138836</v>
      </c>
      <c r="T80" s="192" t="n">
        <v>8.702653473</v>
      </c>
      <c r="U80" s="192" t="n">
        <v>-2.34795241295132</v>
      </c>
      <c r="V80" s="189" t="n">
        <v>4.03035084649891</v>
      </c>
      <c r="W80" s="189" t="n">
        <v>3.575849689</v>
      </c>
      <c r="X80" s="189" t="n">
        <v>2.995142289</v>
      </c>
      <c r="Y80" s="192" t="n">
        <v>83.7602961392262</v>
      </c>
      <c r="Z80" s="189" t="n">
        <v>39.633568863</v>
      </c>
      <c r="AA80" s="193">
        <f>I80-R80</f>
        <v/>
      </c>
      <c r="AB80" s="194">
        <f>J80-S80</f>
        <v/>
      </c>
      <c r="AC80" s="195">
        <f>K80-T80</f>
        <v/>
      </c>
      <c r="AD80" s="195">
        <f>L80-U80</f>
        <v/>
      </c>
      <c r="AE80" s="196">
        <f>M80-V80</f>
        <v/>
      </c>
      <c r="AF80" s="196">
        <f>N80-W80</f>
        <v/>
      </c>
      <c r="AG80" s="196">
        <f>O80-X80</f>
        <v/>
      </c>
      <c r="AH80" s="195">
        <f>P80-Y80</f>
        <v/>
      </c>
      <c r="AI80" s="197">
        <f>Q80-Z80</f>
        <v/>
      </c>
    </row>
    <row r="81">
      <c r="B81" t="inlineStr">
        <is>
          <t>BASEPRICE</t>
        </is>
      </c>
      <c r="C81" s="187" t="n">
        <v>46070</v>
      </c>
      <c r="D81" s="188" t="inlineStr">
        <is>
          <t>Single Borrower</t>
        </is>
      </c>
      <c r="E81" s="188" t="inlineStr">
        <is>
          <t>FIGRE 2023-HE3 CE</t>
        </is>
      </c>
      <c r="F81" s="188" t="inlineStr">
        <is>
          <t>31684CAE1</t>
        </is>
      </c>
      <c r="G81" s="189" t="n">
        <v>5.389149</v>
      </c>
      <c r="H81" s="189" t="n">
        <v>159.9617429</v>
      </c>
      <c r="I81" s="190" t="n">
        <v>9.115494952000001</v>
      </c>
      <c r="J81" s="191" t="n">
        <v>533.506092822</v>
      </c>
      <c r="K81" s="192" t="n">
        <v>7.511148259</v>
      </c>
      <c r="L81" s="192" t="n">
        <v>-3.6567797024172</v>
      </c>
      <c r="M81" s="189" t="n">
        <v>4.22554675165397</v>
      </c>
      <c r="N81" s="189" t="n">
        <v>3.722583407</v>
      </c>
      <c r="O81" s="189" t="n">
        <v>3.120668835</v>
      </c>
      <c r="P81" s="192" t="n">
        <v>83.8307297327939</v>
      </c>
      <c r="Q81" s="189" t="n">
        <v>48.658199622</v>
      </c>
      <c r="R81" s="190" t="n">
        <v>10.439590522</v>
      </c>
      <c r="S81" s="191" t="n">
        <v>658.696116315</v>
      </c>
      <c r="T81" s="192" t="n">
        <v>6.385075272</v>
      </c>
      <c r="U81" s="192" t="n">
        <v>-5.12736688554799</v>
      </c>
      <c r="V81" s="189" t="n">
        <v>3.07386979777651</v>
      </c>
      <c r="W81" s="189" t="n">
        <v>3.587765292</v>
      </c>
      <c r="X81" s="189" t="n">
        <v>3.009736879</v>
      </c>
      <c r="Y81" s="192" t="n">
        <v>83.8889011416414</v>
      </c>
      <c r="Z81" s="189" t="n">
        <v>42.44263773</v>
      </c>
      <c r="AA81" s="193">
        <f>I81-R81</f>
        <v/>
      </c>
      <c r="AB81" s="194">
        <f>J81-S81</f>
        <v/>
      </c>
      <c r="AC81" s="195">
        <f>K81-T81</f>
        <v/>
      </c>
      <c r="AD81" s="195">
        <f>L81-U81</f>
        <v/>
      </c>
      <c r="AE81" s="196">
        <f>M81-V81</f>
        <v/>
      </c>
      <c r="AF81" s="196">
        <f>N81-W81</f>
        <v/>
      </c>
      <c r="AG81" s="196">
        <f>O81-X81</f>
        <v/>
      </c>
      <c r="AH81" s="195">
        <f>P81-Y81</f>
        <v/>
      </c>
      <c r="AI81" s="197">
        <f>Q81-Z81</f>
        <v/>
      </c>
    </row>
    <row r="82">
      <c r="B82" t="inlineStr">
        <is>
          <t>BASEPRICE</t>
        </is>
      </c>
      <c r="C82" s="187" t="n">
        <v>46070</v>
      </c>
      <c r="D82" s="188" t="inlineStr">
        <is>
          <t>Single Borrower</t>
        </is>
      </c>
      <c r="E82" s="188" t="inlineStr">
        <is>
          <t>FIGRE 2024-HE1 CE</t>
        </is>
      </c>
      <c r="F82" s="188" t="inlineStr">
        <is>
          <t>31684HAG5</t>
        </is>
      </c>
      <c r="G82" s="189" t="n">
        <v>5.382912</v>
      </c>
      <c r="H82" s="189" t="n">
        <v>315.5255508</v>
      </c>
      <c r="I82" s="190" t="n">
        <v>6.981156119</v>
      </c>
      <c r="J82" s="191" t="n">
        <v>307.936488505</v>
      </c>
      <c r="K82" s="192" t="n">
        <v>9.433981179</v>
      </c>
      <c r="L82" s="192" t="n">
        <v>-10.99392537468</v>
      </c>
      <c r="M82" s="189" t="n">
        <v>3.08740031680502</v>
      </c>
      <c r="N82" s="189" t="n">
        <v>3.33584441</v>
      </c>
      <c r="O82" s="189" t="n">
        <v>2.805984665</v>
      </c>
      <c r="P82" s="192" t="n">
        <v>84.1161733019796</v>
      </c>
      <c r="Q82" s="189" t="n">
        <v>71.513593453</v>
      </c>
      <c r="R82" s="190" t="n">
        <v>7.367107246</v>
      </c>
      <c r="S82" s="191" t="n">
        <v>347.937409613</v>
      </c>
      <c r="T82" s="192" t="n">
        <v>9.573681273</v>
      </c>
      <c r="U82" s="192" t="n">
        <v>-11.7746546255296</v>
      </c>
      <c r="V82" s="189" t="n">
        <v>3.12603861525372</v>
      </c>
      <c r="W82" s="189" t="n">
        <v>3.046159551</v>
      </c>
      <c r="X82" s="189" t="n">
        <v>2.559829551</v>
      </c>
      <c r="Y82" s="192" t="n">
        <v>84.034651112075</v>
      </c>
      <c r="Z82" s="189" t="n">
        <v>67.591904771</v>
      </c>
      <c r="AA82" s="193">
        <f>I82-R82</f>
        <v/>
      </c>
      <c r="AB82" s="194">
        <f>J82-S82</f>
        <v/>
      </c>
      <c r="AC82" s="195">
        <f>K82-T82</f>
        <v/>
      </c>
      <c r="AD82" s="195">
        <f>L82-U82</f>
        <v/>
      </c>
      <c r="AE82" s="196">
        <f>M82-V82</f>
        <v/>
      </c>
      <c r="AF82" s="196">
        <f>N82-W82</f>
        <v/>
      </c>
      <c r="AG82" s="196">
        <f>O82-X82</f>
        <v/>
      </c>
      <c r="AH82" s="195">
        <f>P82-Y82</f>
        <v/>
      </c>
      <c r="AI82" s="197">
        <f>Q82-Z82</f>
        <v/>
      </c>
    </row>
    <row r="83">
      <c r="B83" t="inlineStr">
        <is>
          <t>BASEPRICE</t>
        </is>
      </c>
      <c r="C83" s="187" t="n">
        <v>46070</v>
      </c>
      <c r="D83" s="188" t="inlineStr">
        <is>
          <t>Single Borrower</t>
        </is>
      </c>
      <c r="E83" s="188" t="inlineStr">
        <is>
          <t>FIGRE 2024-HE3 CE</t>
        </is>
      </c>
      <c r="F83" s="188" t="inlineStr">
        <is>
          <t>31684GAG7</t>
        </is>
      </c>
      <c r="G83" s="189" t="n">
        <v>4.967626</v>
      </c>
      <c r="H83" s="189" t="n">
        <v>333.41835</v>
      </c>
      <c r="I83" s="190" t="n">
        <v>7.851859381</v>
      </c>
      <c r="J83" s="191" t="n">
        <v>386.421772383</v>
      </c>
      <c r="K83" s="192" t="n">
        <v>11.370555601</v>
      </c>
      <c r="L83" s="192" t="n">
        <v>-10.5720932840079</v>
      </c>
      <c r="M83" s="189" t="n">
        <v>3.35067295756218</v>
      </c>
      <c r="N83" s="189" t="n">
        <v>3.179878389</v>
      </c>
      <c r="O83" s="189" t="n">
        <v>2.663345233</v>
      </c>
      <c r="P83" s="192" t="n">
        <v>83.7561977908709</v>
      </c>
      <c r="Q83" s="189" t="n">
        <v>132.728786544</v>
      </c>
      <c r="R83" s="190" t="n">
        <v>8.254168125</v>
      </c>
      <c r="S83" s="191" t="n">
        <v>428.587649097</v>
      </c>
      <c r="T83" s="192" t="n">
        <v>11.531505287</v>
      </c>
      <c r="U83" s="192" t="n">
        <v>-11.3531504003904</v>
      </c>
      <c r="V83" s="189" t="n">
        <v>3.35055516260578</v>
      </c>
      <c r="W83" s="189" t="n">
        <v>2.916207332</v>
      </c>
      <c r="X83" s="189" t="n">
        <v>2.443587842</v>
      </c>
      <c r="Y83" s="192" t="n">
        <v>83.79335087687789</v>
      </c>
      <c r="Z83" s="189" t="n">
        <v>143.333754196</v>
      </c>
      <c r="AA83" s="193">
        <f>I83-R83</f>
        <v/>
      </c>
      <c r="AB83" s="194">
        <f>J83-S83</f>
        <v/>
      </c>
      <c r="AC83" s="195">
        <f>K83-T83</f>
        <v/>
      </c>
      <c r="AD83" s="195">
        <f>L83-U83</f>
        <v/>
      </c>
      <c r="AE83" s="196">
        <f>M83-V83</f>
        <v/>
      </c>
      <c r="AF83" s="196">
        <f>N83-W83</f>
        <v/>
      </c>
      <c r="AG83" s="196">
        <f>O83-X83</f>
        <v/>
      </c>
      <c r="AH83" s="195">
        <f>P83-Y83</f>
        <v/>
      </c>
      <c r="AI83" s="197">
        <f>Q83-Z83</f>
        <v/>
      </c>
    </row>
    <row r="84">
      <c r="B84" t="inlineStr">
        <is>
          <t>BASEPRICE</t>
        </is>
      </c>
      <c r="C84" s="187" t="n">
        <v>46070</v>
      </c>
      <c r="D84" s="188" t="inlineStr">
        <is>
          <t>Single Borrower</t>
        </is>
      </c>
      <c r="E84" s="188" t="inlineStr">
        <is>
          <t>FIGRE 2024-HE6 G</t>
        </is>
      </c>
      <c r="F84" s="188" t="inlineStr">
        <is>
          <t>31684DAG4</t>
        </is>
      </c>
      <c r="G84" s="189" t="n">
        <v>0</v>
      </c>
      <c r="H84" s="189" t="n">
        <v>14.62292147</v>
      </c>
      <c r="I84" s="190" t="n">
        <v>9.956837946</v>
      </c>
      <c r="J84" s="191" t="n">
        <v>540.0323033339999</v>
      </c>
      <c r="K84" s="192" t="n">
        <v>19.62835838</v>
      </c>
      <c r="L84" s="192" t="n">
        <v>57.4905706376607</v>
      </c>
      <c r="M84" s="189" t="n">
        <v>17.8232642249155</v>
      </c>
      <c r="N84" s="189" t="n">
        <v>3.342149497</v>
      </c>
      <c r="O84" s="189" t="n">
        <v>2.806143229</v>
      </c>
      <c r="P84" s="192" t="n">
        <v>83.9622294430236</v>
      </c>
      <c r="Q84" s="189" t="n">
        <v>8.254799323</v>
      </c>
      <c r="R84" s="190" t="n">
        <v>9.815374681</v>
      </c>
      <c r="S84" s="191" t="n">
        <v>524.750685495</v>
      </c>
      <c r="T84" s="192" t="n">
        <v>19.916791223</v>
      </c>
      <c r="U84" s="192" t="n">
        <v>57.466730066492</v>
      </c>
      <c r="V84" s="189" t="n">
        <v>18.1124444211352</v>
      </c>
      <c r="W84" s="189" t="n">
        <v>3.012998909</v>
      </c>
      <c r="X84" s="189" t="n">
        <v>2.528920401</v>
      </c>
      <c r="Y84" s="192" t="n">
        <v>83.9336646769426</v>
      </c>
      <c r="Z84" s="189" t="n">
        <v>7.972032075</v>
      </c>
      <c r="AA84" s="193">
        <f>I84-R84</f>
        <v/>
      </c>
      <c r="AB84" s="194">
        <f>J84-S84</f>
        <v/>
      </c>
      <c r="AC84" s="195">
        <f>K84-T84</f>
        <v/>
      </c>
      <c r="AD84" s="195">
        <f>L84-U84</f>
        <v/>
      </c>
      <c r="AE84" s="196">
        <f>M84-V84</f>
        <v/>
      </c>
      <c r="AF84" s="196">
        <f>N84-W84</f>
        <v/>
      </c>
      <c r="AG84" s="196">
        <f>O84-X84</f>
        <v/>
      </c>
      <c r="AH84" s="195">
        <f>P84-Y84</f>
        <v/>
      </c>
      <c r="AI84" s="197">
        <f>Q84-Z84</f>
        <v/>
      </c>
    </row>
    <row r="85">
      <c r="B85" t="inlineStr">
        <is>
          <t>BASEPRICE</t>
        </is>
      </c>
      <c r="C85" s="187" t="n">
        <v>46070</v>
      </c>
      <c r="D85" s="188" t="inlineStr">
        <is>
          <t>Single Borrower</t>
        </is>
      </c>
      <c r="E85" s="188" t="inlineStr">
        <is>
          <t>FIGRE 2024-HE6 XS</t>
        </is>
      </c>
      <c r="F85" s="188" t="inlineStr">
        <is>
          <t>31684DAH2</t>
        </is>
      </c>
      <c r="G85" s="189" t="n">
        <v>4.506243</v>
      </c>
      <c r="H85" s="189" t="n">
        <v>9.696194676999999</v>
      </c>
      <c r="I85" s="190" t="n">
        <v>7.023977902</v>
      </c>
      <c r="J85" s="191" t="n">
        <v>324.19523954</v>
      </c>
      <c r="K85" s="192" t="n">
        <v>3.836855084</v>
      </c>
      <c r="L85" s="192" t="n">
        <v>-17.3422936112115</v>
      </c>
      <c r="M85" s="189" t="n">
        <v>2.93605651993862</v>
      </c>
      <c r="N85" s="189" t="n">
        <v>3.342149497</v>
      </c>
      <c r="O85" s="189" t="n">
        <v>2.806143229</v>
      </c>
      <c r="P85" s="192" t="n">
        <v>83.9622294430236</v>
      </c>
      <c r="Q85" s="189" t="n">
        <v>0</v>
      </c>
      <c r="R85" s="190" t="n">
        <v>7.795478986</v>
      </c>
      <c r="S85" s="191" t="n">
        <v>402.762854682</v>
      </c>
      <c r="T85" s="192" t="n">
        <v>3.875180228</v>
      </c>
      <c r="U85" s="192" t="n">
        <v>-18.0016418517295</v>
      </c>
      <c r="V85" s="189" t="n">
        <v>2.98721694075574</v>
      </c>
      <c r="W85" s="189" t="n">
        <v>3.012998909</v>
      </c>
      <c r="X85" s="189" t="n">
        <v>2.528920401</v>
      </c>
      <c r="Y85" s="192" t="n">
        <v>83.9336646769426</v>
      </c>
      <c r="Z85" s="189" t="n">
        <v>0</v>
      </c>
      <c r="AA85" s="193">
        <f>I85-R85</f>
        <v/>
      </c>
      <c r="AB85" s="194">
        <f>J85-S85</f>
        <v/>
      </c>
      <c r="AC85" s="195">
        <f>K85-T85</f>
        <v/>
      </c>
      <c r="AD85" s="195">
        <f>L85-U85</f>
        <v/>
      </c>
      <c r="AE85" s="196">
        <f>M85-V85</f>
        <v/>
      </c>
      <c r="AF85" s="196">
        <f>N85-W85</f>
        <v/>
      </c>
      <c r="AG85" s="196">
        <f>O85-X85</f>
        <v/>
      </c>
      <c r="AH85" s="195">
        <f>P85-Y85</f>
        <v/>
      </c>
      <c r="AI85" s="197">
        <f>Q85-Z85</f>
        <v/>
      </c>
    </row>
    <row r="86">
      <c r="B86" t="inlineStr">
        <is>
          <t>BASEPRICE</t>
        </is>
      </c>
      <c r="C86" s="187" t="n">
        <v>46070</v>
      </c>
      <c r="D86" s="188" t="inlineStr">
        <is>
          <t>Single Borrower</t>
        </is>
      </c>
      <c r="E86" s="188" t="inlineStr">
        <is>
          <t>FIGRE 2024-SL1 B2</t>
        </is>
      </c>
      <c r="F86" s="188" t="inlineStr">
        <is>
          <t>31684JAF3</t>
        </is>
      </c>
      <c r="G86" s="189" t="n">
        <v>8.51057</v>
      </c>
      <c r="H86" s="189" t="n">
        <v>102.4511</v>
      </c>
      <c r="I86" s="190" t="n">
        <v>7.548866418</v>
      </c>
      <c r="J86" s="191" t="n">
        <v>395.396312797</v>
      </c>
      <c r="K86" s="192" t="n">
        <v>4.855555556</v>
      </c>
      <c r="L86" s="192" t="n">
        <v>3.63011625741452</v>
      </c>
      <c r="M86" s="189" t="n">
        <v>3.91129272599319</v>
      </c>
      <c r="N86" s="189" t="n">
        <v>3.083146311</v>
      </c>
      <c r="O86" s="189" t="n">
        <v>2.581808324</v>
      </c>
      <c r="P86" s="192" t="n">
        <v>83.7394033098159</v>
      </c>
      <c r="Q86" s="189" t="n">
        <v>0</v>
      </c>
      <c r="R86" s="190" t="n">
        <v>7.557846785</v>
      </c>
      <c r="S86" s="191" t="n">
        <v>395.690243872</v>
      </c>
      <c r="T86" s="192" t="n">
        <v>4.938888889</v>
      </c>
      <c r="U86" s="192" t="n">
        <v>3.7035731143931</v>
      </c>
      <c r="V86" s="189" t="n">
        <v>3.96582150508877</v>
      </c>
      <c r="W86" s="189" t="n">
        <v>2.583895265</v>
      </c>
      <c r="X86" s="189" t="n">
        <v>2.162737914</v>
      </c>
      <c r="Y86" s="192" t="n">
        <v>83.700680259577</v>
      </c>
      <c r="Z86" s="189" t="n">
        <v>0</v>
      </c>
      <c r="AA86" s="193">
        <f>I86-R86</f>
        <v/>
      </c>
      <c r="AB86" s="194">
        <f>J86-S86</f>
        <v/>
      </c>
      <c r="AC86" s="195">
        <f>K86-T86</f>
        <v/>
      </c>
      <c r="AD86" s="195">
        <f>L86-U86</f>
        <v/>
      </c>
      <c r="AE86" s="196">
        <f>M86-V86</f>
        <v/>
      </c>
      <c r="AF86" s="196">
        <f>N86-W86</f>
        <v/>
      </c>
      <c r="AG86" s="196">
        <f>O86-X86</f>
        <v/>
      </c>
      <c r="AH86" s="195">
        <f>P86-Y86</f>
        <v/>
      </c>
      <c r="AI86" s="197">
        <f>Q86-Z86</f>
        <v/>
      </c>
    </row>
    <row r="87">
      <c r="B87" t="inlineStr">
        <is>
          <t>BASEPRICE</t>
        </is>
      </c>
      <c r="C87" s="187" t="n">
        <v>46070</v>
      </c>
      <c r="D87" s="188" t="inlineStr">
        <is>
          <t>Single Borrower</t>
        </is>
      </c>
      <c r="E87" s="188" t="inlineStr">
        <is>
          <t>FIGRE 2024-SL1 B3</t>
        </is>
      </c>
      <c r="F87" s="188" t="inlineStr">
        <is>
          <t>31684JAG1</t>
        </is>
      </c>
      <c r="G87" s="189" t="n">
        <v>8.51057</v>
      </c>
      <c r="H87" s="189" t="n">
        <v>87.85148891999999</v>
      </c>
      <c r="I87" s="190" t="n">
        <v>11.554269901</v>
      </c>
      <c r="J87" s="191" t="n">
        <v>796.075842012</v>
      </c>
      <c r="K87" s="192" t="n">
        <v>4.855555556</v>
      </c>
      <c r="L87" s="192" t="n">
        <v>6.4286014391206</v>
      </c>
      <c r="M87" s="189" t="n">
        <v>3.76358674468325</v>
      </c>
      <c r="N87" s="189" t="n">
        <v>3.083146311</v>
      </c>
      <c r="O87" s="189" t="n">
        <v>2.581808324</v>
      </c>
      <c r="P87" s="192" t="n">
        <v>83.7394033098159</v>
      </c>
      <c r="Q87" s="189" t="n">
        <v>0</v>
      </c>
      <c r="R87" s="190" t="n">
        <v>11.508253259</v>
      </c>
      <c r="S87" s="191" t="n">
        <v>790.8789964</v>
      </c>
      <c r="T87" s="192" t="n">
        <v>4.938888889</v>
      </c>
      <c r="U87" s="192" t="n">
        <v>6.43748080598838</v>
      </c>
      <c r="V87" s="189" t="n">
        <v>3.81569625194691</v>
      </c>
      <c r="W87" s="189" t="n">
        <v>2.583895265</v>
      </c>
      <c r="X87" s="189" t="n">
        <v>2.162737914</v>
      </c>
      <c r="Y87" s="192" t="n">
        <v>83.700680259577</v>
      </c>
      <c r="Z87" s="189" t="n">
        <v>0</v>
      </c>
      <c r="AA87" s="193">
        <f>I87-R87</f>
        <v/>
      </c>
      <c r="AB87" s="194">
        <f>J87-S87</f>
        <v/>
      </c>
      <c r="AC87" s="195">
        <f>K87-T87</f>
        <v/>
      </c>
      <c r="AD87" s="195">
        <f>L87-U87</f>
        <v/>
      </c>
      <c r="AE87" s="196">
        <f>M87-V87</f>
        <v/>
      </c>
      <c r="AF87" s="196">
        <f>N87-W87</f>
        <v/>
      </c>
      <c r="AG87" s="196">
        <f>O87-X87</f>
        <v/>
      </c>
      <c r="AH87" s="195">
        <f>P87-Y87</f>
        <v/>
      </c>
      <c r="AI87" s="197">
        <f>Q87-Z87</f>
        <v/>
      </c>
    </row>
    <row r="88">
      <c r="B88" t="inlineStr">
        <is>
          <t>BASEPRICE</t>
        </is>
      </c>
      <c r="C88" s="187" t="n">
        <v>46070</v>
      </c>
      <c r="D88" s="188" t="inlineStr">
        <is>
          <t>Single Borrower</t>
        </is>
      </c>
      <c r="E88" s="188" t="inlineStr">
        <is>
          <t>FIGRE 2024-SL1 XS</t>
        </is>
      </c>
      <c r="F88" s="188" t="inlineStr">
        <is>
          <t>31684JAH9</t>
        </is>
      </c>
      <c r="G88" s="189" t="n">
        <v>2.08048</v>
      </c>
      <c r="H88" s="189" t="n">
        <v>4.700151363</v>
      </c>
      <c r="I88" s="190" t="n">
        <v>7.473177022</v>
      </c>
      <c r="J88" s="191" t="n">
        <v>391.699742422</v>
      </c>
      <c r="K88" s="192" t="n">
        <v>2.958104814</v>
      </c>
      <c r="L88" s="192" t="n">
        <v>-15.7606076440734</v>
      </c>
      <c r="M88" s="189" t="n">
        <v>2.31183333488744</v>
      </c>
      <c r="N88" s="189" t="n">
        <v>3.083146311</v>
      </c>
      <c r="O88" s="189" t="n">
        <v>2.581808324</v>
      </c>
      <c r="P88" s="192" t="n">
        <v>83.7394033098159</v>
      </c>
      <c r="Q88" s="189" t="n">
        <v>0</v>
      </c>
      <c r="R88" s="190" t="n">
        <v>7.782257668</v>
      </c>
      <c r="S88" s="191" t="n">
        <v>423.341868736</v>
      </c>
      <c r="T88" s="192" t="n">
        <v>2.993316212</v>
      </c>
      <c r="U88" s="192" t="n">
        <v>-17.307625248068</v>
      </c>
      <c r="V88" s="189" t="n">
        <v>2.36755434890874</v>
      </c>
      <c r="W88" s="189" t="n">
        <v>2.583895265</v>
      </c>
      <c r="X88" s="189" t="n">
        <v>2.162737914</v>
      </c>
      <c r="Y88" s="192" t="n">
        <v>83.700680259577</v>
      </c>
      <c r="Z88" s="189" t="n">
        <v>0</v>
      </c>
      <c r="AA88" s="193">
        <f>I88-R88</f>
        <v/>
      </c>
      <c r="AB88" s="194">
        <f>J88-S88</f>
        <v/>
      </c>
      <c r="AC88" s="195">
        <f>K88-T88</f>
        <v/>
      </c>
      <c r="AD88" s="195">
        <f>L88-U88</f>
        <v/>
      </c>
      <c r="AE88" s="196">
        <f>M88-V88</f>
        <v/>
      </c>
      <c r="AF88" s="196">
        <f>N88-W88</f>
        <v/>
      </c>
      <c r="AG88" s="196">
        <f>O88-X88</f>
        <v/>
      </c>
      <c r="AH88" s="195">
        <f>P88-Y88</f>
        <v/>
      </c>
      <c r="AI88" s="197">
        <f>Q88-Z88</f>
        <v/>
      </c>
    </row>
    <row r="89">
      <c r="B89" t="inlineStr">
        <is>
          <t>BASEPRICE</t>
        </is>
      </c>
      <c r="C89" s="187" t="n">
        <v>46070</v>
      </c>
      <c r="D89" s="188" t="inlineStr">
        <is>
          <t>Single Borrower</t>
        </is>
      </c>
      <c r="E89" s="188" t="inlineStr">
        <is>
          <t>FIGRE 2025-HE2 G</t>
        </is>
      </c>
      <c r="F89" s="188" t="inlineStr">
        <is>
          <t>31684KAG8</t>
        </is>
      </c>
      <c r="G89" s="189" t="n">
        <v>0</v>
      </c>
      <c r="H89" s="189" t="n">
        <v>14.69813863</v>
      </c>
      <c r="I89" s="190" t="n">
        <v>9.805366849</v>
      </c>
      <c r="J89" s="191" t="n">
        <v>524.90141642</v>
      </c>
      <c r="K89" s="192" t="n">
        <v>19.812931966</v>
      </c>
      <c r="L89" s="192" t="n">
        <v>59.1219291418535</v>
      </c>
      <c r="M89" s="189" t="n">
        <v>17.9006547171205</v>
      </c>
      <c r="N89" s="189" t="n">
        <v>3.290111173</v>
      </c>
      <c r="O89" s="189" t="n">
        <v>2.761621559</v>
      </c>
      <c r="P89" s="192" t="n">
        <v>83.9370286834985</v>
      </c>
      <c r="Q89" s="189" t="n">
        <v>9.248542604000001</v>
      </c>
      <c r="R89" s="190" t="n">
        <v>9.725699105</v>
      </c>
      <c r="S89" s="191" t="n">
        <v>516.162915197</v>
      </c>
      <c r="T89" s="192" t="n">
        <v>19.93067864</v>
      </c>
      <c r="U89" s="192" t="n">
        <v>58.1476662259512</v>
      </c>
      <c r="V89" s="189" t="n">
        <v>18.0660442648172</v>
      </c>
      <c r="W89" s="189" t="n">
        <v>3.0009043</v>
      </c>
      <c r="X89" s="189" t="n">
        <v>2.518384865</v>
      </c>
      <c r="Y89" s="192" t="n">
        <v>83.9208656204065</v>
      </c>
      <c r="Z89" s="189" t="n">
        <v>9.293326929999999</v>
      </c>
      <c r="AA89" s="193">
        <f>I89-R89</f>
        <v/>
      </c>
      <c r="AB89" s="194">
        <f>J89-S89</f>
        <v/>
      </c>
      <c r="AC89" s="195">
        <f>K89-T89</f>
        <v/>
      </c>
      <c r="AD89" s="195">
        <f>L89-U89</f>
        <v/>
      </c>
      <c r="AE89" s="196">
        <f>M89-V89</f>
        <v/>
      </c>
      <c r="AF89" s="196">
        <f>N89-W89</f>
        <v/>
      </c>
      <c r="AG89" s="196">
        <f>O89-X89</f>
        <v/>
      </c>
      <c r="AH89" s="195">
        <f>P89-Y89</f>
        <v/>
      </c>
      <c r="AI89" s="197">
        <f>Q89-Z89</f>
        <v/>
      </c>
    </row>
    <row r="90">
      <c r="B90" t="inlineStr">
        <is>
          <t>BASEPRICE</t>
        </is>
      </c>
      <c r="C90" s="187" t="n">
        <v>46070</v>
      </c>
      <c r="D90" s="188" t="inlineStr">
        <is>
          <t>Single Borrower</t>
        </is>
      </c>
      <c r="E90" s="188" t="inlineStr">
        <is>
          <t>FIGRE 2025-HE2 XS</t>
        </is>
      </c>
      <c r="F90" s="188" t="inlineStr">
        <is>
          <t>31684KAH6</t>
        </is>
      </c>
      <c r="G90" s="189" t="n">
        <v>4.313927</v>
      </c>
      <c r="H90" s="189" t="n">
        <v>9.059530777999999</v>
      </c>
      <c r="I90" s="190" t="n">
        <v>7.649427008</v>
      </c>
      <c r="J90" s="191" t="n">
        <v>386.250948076</v>
      </c>
      <c r="K90" s="192" t="n">
        <v>3.894671565</v>
      </c>
      <c r="L90" s="192" t="n">
        <v>-16.6954017383879</v>
      </c>
      <c r="M90" s="189" t="n">
        <v>2.95714594458437</v>
      </c>
      <c r="N90" s="189" t="n">
        <v>3.290111173</v>
      </c>
      <c r="O90" s="189" t="n">
        <v>2.761621559</v>
      </c>
      <c r="P90" s="192" t="n">
        <v>83.9370286834985</v>
      </c>
      <c r="Q90" s="189" t="n">
        <v>0</v>
      </c>
      <c r="R90" s="190" t="n">
        <v>8.394962003</v>
      </c>
      <c r="S90" s="191" t="n">
        <v>462.879262085</v>
      </c>
      <c r="T90" s="192" t="n">
        <v>3.931643113</v>
      </c>
      <c r="U90" s="192" t="n">
        <v>-17.1156053994036</v>
      </c>
      <c r="V90" s="189" t="n">
        <v>2.9920567261414</v>
      </c>
      <c r="W90" s="189" t="n">
        <v>3.0009043</v>
      </c>
      <c r="X90" s="189" t="n">
        <v>2.518384865</v>
      </c>
      <c r="Y90" s="192" t="n">
        <v>83.9208656204065</v>
      </c>
      <c r="Z90" s="189" t="n">
        <v>0</v>
      </c>
      <c r="AA90" s="193">
        <f>I90-R90</f>
        <v/>
      </c>
      <c r="AB90" s="194">
        <f>J90-S90</f>
        <v/>
      </c>
      <c r="AC90" s="195">
        <f>K90-T90</f>
        <v/>
      </c>
      <c r="AD90" s="195">
        <f>L90-U90</f>
        <v/>
      </c>
      <c r="AE90" s="196">
        <f>M90-V90</f>
        <v/>
      </c>
      <c r="AF90" s="196">
        <f>N90-W90</f>
        <v/>
      </c>
      <c r="AG90" s="196">
        <f>O90-X90</f>
        <v/>
      </c>
      <c r="AH90" s="195">
        <f>P90-Y90</f>
        <v/>
      </c>
      <c r="AI90" s="197">
        <f>Q90-Z90</f>
        <v/>
      </c>
    </row>
    <row r="91">
      <c r="B91" t="inlineStr">
        <is>
          <t>BASEPRICE</t>
        </is>
      </c>
      <c r="C91" s="187" t="n">
        <v>46070</v>
      </c>
      <c r="D91" s="188" t="inlineStr">
        <is>
          <t>Single Borrower</t>
        </is>
      </c>
      <c r="E91" s="188" t="inlineStr">
        <is>
          <t>FIGRE 2026-HE1 F</t>
        </is>
      </c>
      <c r="F91" s="188" t="inlineStr">
        <is>
          <t>30249NAH0</t>
        </is>
      </c>
      <c r="G91" s="189" t="n">
        <v>7.896</v>
      </c>
      <c r="H91" s="189" t="n">
        <v>100.257965</v>
      </c>
      <c r="I91" s="190" t="n">
        <v>7.873035619</v>
      </c>
      <c r="J91" s="191" t="n">
        <v>411.740730486</v>
      </c>
      <c r="K91" s="192" t="n">
        <v>6.772222222</v>
      </c>
      <c r="L91" s="192" t="n">
        <v>5.58653222015826</v>
      </c>
      <c r="M91" s="189" t="n">
        <v>5.09490887831206</v>
      </c>
      <c r="N91" s="189" t="n">
        <v>2.665543655</v>
      </c>
      <c r="O91" s="189" t="n">
        <v>2.245580764</v>
      </c>
      <c r="P91" s="192" t="n">
        <v>84.2447565916905</v>
      </c>
      <c r="Q91" s="189" t="n">
        <v>0</v>
      </c>
      <c r="R91" s="190" t="n">
        <v>7.874453163</v>
      </c>
      <c r="S91" s="191" t="n">
        <v>411.200316721</v>
      </c>
      <c r="T91" s="192" t="n">
        <v>6.855555556</v>
      </c>
      <c r="U91" s="192" t="n">
        <v>5.63248478163306</v>
      </c>
      <c r="V91" s="189" t="n">
        <v>5.14198628009255</v>
      </c>
      <c r="W91" s="189" t="n">
        <v>2.203557583</v>
      </c>
      <c r="X91" s="189" t="n">
        <v>1.852765321</v>
      </c>
      <c r="Y91" s="192" t="n">
        <v>84.0806401109601</v>
      </c>
      <c r="Z91" s="189" t="n">
        <v>0</v>
      </c>
      <c r="AA91" s="193">
        <f>I91-R91</f>
        <v/>
      </c>
      <c r="AB91" s="194">
        <f>J91-S91</f>
        <v/>
      </c>
      <c r="AC91" s="195">
        <f>K91-T91</f>
        <v/>
      </c>
      <c r="AD91" s="195">
        <f>L91-U91</f>
        <v/>
      </c>
      <c r="AE91" s="196">
        <f>M91-V91</f>
        <v/>
      </c>
      <c r="AF91" s="196">
        <f>N91-W91</f>
        <v/>
      </c>
      <c r="AG91" s="196">
        <f>O91-X91</f>
        <v/>
      </c>
      <c r="AH91" s="195">
        <f>P91-Y91</f>
        <v/>
      </c>
      <c r="AI91" s="197">
        <f>Q91-Z91</f>
        <v/>
      </c>
    </row>
    <row r="92">
      <c r="B92" t="inlineStr">
        <is>
          <t>BASEPRICE</t>
        </is>
      </c>
      <c r="C92" s="187" t="n">
        <v>46070</v>
      </c>
      <c r="D92" s="188" t="inlineStr">
        <is>
          <t>Single Borrower</t>
        </is>
      </c>
      <c r="E92" s="188" t="inlineStr">
        <is>
          <t>GRADE 2023-FIG3 CE</t>
        </is>
      </c>
      <c r="F92" s="188" t="inlineStr">
        <is>
          <t>79582AAD9</t>
        </is>
      </c>
      <c r="G92" s="189" t="n">
        <v>4.333706</v>
      </c>
      <c r="H92" s="189" t="n">
        <v>163.0511676</v>
      </c>
      <c r="I92" s="190" t="n">
        <v>11.895139137</v>
      </c>
      <c r="J92" s="191" t="n">
        <v>822.8742643320001</v>
      </c>
      <c r="K92" s="192" t="n">
        <v>4.550921369</v>
      </c>
      <c r="L92" s="192" t="n">
        <v>-2.44569506167707</v>
      </c>
      <c r="M92" s="189" t="n">
        <v>2.34498442377299</v>
      </c>
      <c r="N92" s="189" t="n">
        <v>2.465386583</v>
      </c>
      <c r="O92" s="189" t="n">
        <v>2.050795195</v>
      </c>
      <c r="P92" s="192" t="n">
        <v>83.183514063928</v>
      </c>
      <c r="Q92" s="189" t="n">
        <v>26.362873244</v>
      </c>
      <c r="R92" s="190" t="n">
        <v>11.9061349</v>
      </c>
      <c r="S92" s="191" t="n">
        <v>823.630028218</v>
      </c>
      <c r="T92" s="192" t="n">
        <v>4.579414863</v>
      </c>
      <c r="U92" s="192" t="n">
        <v>-2.62613787072322</v>
      </c>
      <c r="V92" s="189" t="n">
        <v>2.3712657903101</v>
      </c>
      <c r="W92" s="189" t="n">
        <v>2.38045078</v>
      </c>
      <c r="X92" s="189" t="n">
        <v>1.979889761</v>
      </c>
      <c r="Y92" s="192" t="n">
        <v>83.1728921948136</v>
      </c>
      <c r="Z92" s="189" t="n">
        <v>25.714123529</v>
      </c>
      <c r="AA92" s="193">
        <f>I92-R92</f>
        <v/>
      </c>
      <c r="AB92" s="194">
        <f>J92-S92</f>
        <v/>
      </c>
      <c r="AC92" s="195">
        <f>K92-T92</f>
        <v/>
      </c>
      <c r="AD92" s="195">
        <f>L92-U92</f>
        <v/>
      </c>
      <c r="AE92" s="196">
        <f>M92-V92</f>
        <v/>
      </c>
      <c r="AF92" s="196">
        <f>N92-W92</f>
        <v/>
      </c>
      <c r="AG92" s="196">
        <f>O92-X92</f>
        <v/>
      </c>
      <c r="AH92" s="195">
        <f>P92-Y92</f>
        <v/>
      </c>
      <c r="AI92" s="197">
        <f>Q92-Z92</f>
        <v/>
      </c>
    </row>
    <row r="93">
      <c r="B93" t="inlineStr">
        <is>
          <t>BASEPRICE</t>
        </is>
      </c>
      <c r="C93" s="187" t="n">
        <v>46070</v>
      </c>
      <c r="D93" s="188" t="inlineStr">
        <is>
          <t>Single Borrower</t>
        </is>
      </c>
      <c r="E93" s="188" t="inlineStr">
        <is>
          <t>GRADE 2024-FIG5 CE</t>
        </is>
      </c>
      <c r="F93" s="188" t="inlineStr">
        <is>
          <t>79582MAF8</t>
        </is>
      </c>
      <c r="G93" s="189" t="n">
        <v>5.1594</v>
      </c>
      <c r="H93" s="189" t="n">
        <v>273.2287276</v>
      </c>
      <c r="I93" s="190" t="n">
        <v>13.320041429</v>
      </c>
      <c r="J93" s="191" t="n">
        <v>962.235790451</v>
      </c>
      <c r="K93" s="192" t="n">
        <v>6.791597862</v>
      </c>
      <c r="L93" s="192" t="n">
        <v>-10.0254449466609</v>
      </c>
      <c r="M93" s="189" t="n">
        <v>2.30980639753197</v>
      </c>
      <c r="N93" s="189" t="n">
        <v>2.066878033</v>
      </c>
      <c r="O93" s="189" t="n">
        <v>1.707565957</v>
      </c>
      <c r="P93" s="192" t="n">
        <v>82.6157097679116</v>
      </c>
      <c r="Q93" s="189" t="n">
        <v>30.032557885</v>
      </c>
      <c r="R93" s="190" t="n">
        <v>13.440001276</v>
      </c>
      <c r="S93" s="191" t="n">
        <v>973.84732733</v>
      </c>
      <c r="T93" s="192" t="n">
        <v>6.861860255</v>
      </c>
      <c r="U93" s="192" t="n">
        <v>-10.3082485485322</v>
      </c>
      <c r="V93" s="189" t="n">
        <v>2.34751102724089</v>
      </c>
      <c r="W93" s="189" t="n">
        <v>1.891895147</v>
      </c>
      <c r="X93" s="189" t="n">
        <v>1.560951934</v>
      </c>
      <c r="Y93" s="192" t="n">
        <v>82.50731741001709</v>
      </c>
      <c r="Z93" s="189" t="n">
        <v>30.039271343</v>
      </c>
      <c r="AA93" s="193">
        <f>I93-R93</f>
        <v/>
      </c>
      <c r="AB93" s="194">
        <f>J93-S93</f>
        <v/>
      </c>
      <c r="AC93" s="195">
        <f>K93-T93</f>
        <v/>
      </c>
      <c r="AD93" s="195">
        <f>L93-U93</f>
        <v/>
      </c>
      <c r="AE93" s="196">
        <f>M93-V93</f>
        <v/>
      </c>
      <c r="AF93" s="196">
        <f>N93-W93</f>
        <v/>
      </c>
      <c r="AG93" s="196">
        <f>O93-X93</f>
        <v/>
      </c>
      <c r="AH93" s="195">
        <f>P93-Y93</f>
        <v/>
      </c>
      <c r="AI93" s="197">
        <f>Q93-Z93</f>
        <v/>
      </c>
    </row>
    <row r="94">
      <c r="B94" t="inlineStr">
        <is>
          <t>BASEPRICE</t>
        </is>
      </c>
      <c r="C94" s="187" t="n">
        <v>46070</v>
      </c>
      <c r="D94" s="188" t="inlineStr">
        <is>
          <t>Single Borrower</t>
        </is>
      </c>
      <c r="E94" s="188" t="inlineStr">
        <is>
          <t>GRADE 2025-FIG6 B1</t>
        </is>
      </c>
      <c r="F94" s="188" t="inlineStr">
        <is>
          <t>79582CAE3</t>
        </is>
      </c>
      <c r="G94" s="189" t="n">
        <v>7.736</v>
      </c>
      <c r="H94" s="189" t="n">
        <v>101.7519</v>
      </c>
      <c r="I94" s="190" t="n">
        <v>7.465764301</v>
      </c>
      <c r="J94" s="191" t="n">
        <v>364.205182106</v>
      </c>
      <c r="K94" s="192" t="n">
        <v>7.772222222</v>
      </c>
      <c r="L94" s="192" t="n">
        <v>6.03681567616919</v>
      </c>
      <c r="M94" s="189" t="n">
        <v>5.69730956964931</v>
      </c>
      <c r="N94" s="189" t="n">
        <v>1.463057548</v>
      </c>
      <c r="O94" s="189" t="n">
        <v>1.197194455</v>
      </c>
      <c r="P94" s="192" t="n">
        <v>81.8282545779942</v>
      </c>
      <c r="Q94" s="189" t="n">
        <v>0</v>
      </c>
      <c r="R94" s="190" t="n">
        <v>7.471842152</v>
      </c>
      <c r="S94" s="191" t="n">
        <v>363.77147577</v>
      </c>
      <c r="T94" s="192" t="n">
        <v>7.938888889</v>
      </c>
      <c r="U94" s="192" t="n">
        <v>6.1189313654094</v>
      </c>
      <c r="V94" s="189" t="n">
        <v>5.78563146634118</v>
      </c>
      <c r="W94" s="189" t="n">
        <v>1.167116809</v>
      </c>
      <c r="X94" s="189" t="n">
        <v>0.952882907</v>
      </c>
      <c r="Y94" s="192" t="n">
        <v>81.6441764570628</v>
      </c>
      <c r="Z94" s="189" t="n">
        <v>0</v>
      </c>
      <c r="AA94" s="193">
        <f>I94-R94</f>
        <v/>
      </c>
      <c r="AB94" s="194">
        <f>J94-S94</f>
        <v/>
      </c>
      <c r="AC94" s="195">
        <f>K94-T94</f>
        <v/>
      </c>
      <c r="AD94" s="195">
        <f>L94-U94</f>
        <v/>
      </c>
      <c r="AE94" s="196">
        <f>M94-V94</f>
        <v/>
      </c>
      <c r="AF94" s="196">
        <f>N94-W94</f>
        <v/>
      </c>
      <c r="AG94" s="196">
        <f>O94-X94</f>
        <v/>
      </c>
      <c r="AH94" s="195">
        <f>P94-Y94</f>
        <v/>
      </c>
      <c r="AI94" s="197">
        <f>Q94-Z94</f>
        <v/>
      </c>
    </row>
    <row r="95">
      <c r="B95" t="inlineStr">
        <is>
          <t>BASEPRICE</t>
        </is>
      </c>
      <c r="C95" s="187" t="n">
        <v>46070</v>
      </c>
      <c r="D95" s="188" t="inlineStr">
        <is>
          <t>Single Borrower</t>
        </is>
      </c>
      <c r="E95" s="188" t="inlineStr">
        <is>
          <t>GRADE 2025-FIG6 B2</t>
        </is>
      </c>
      <c r="F95" s="188" t="inlineStr">
        <is>
          <t>79582CAF0</t>
        </is>
      </c>
      <c r="G95" s="189" t="n">
        <v>8.9</v>
      </c>
      <c r="H95" s="189" t="n">
        <v>100.36409</v>
      </c>
      <c r="I95" s="190" t="n">
        <v>8.890390614999999</v>
      </c>
      <c r="J95" s="191" t="n">
        <v>507.65024353</v>
      </c>
      <c r="K95" s="192" t="n">
        <v>7.772222222</v>
      </c>
      <c r="L95" s="192" t="n">
        <v>5.99912072634745</v>
      </c>
      <c r="M95" s="189" t="n">
        <v>5.4297780102425</v>
      </c>
      <c r="N95" s="189" t="n">
        <v>1.463057548</v>
      </c>
      <c r="O95" s="189" t="n">
        <v>1.197194455</v>
      </c>
      <c r="P95" s="192" t="n">
        <v>81.8282545779942</v>
      </c>
      <c r="Q95" s="189" t="n">
        <v>0</v>
      </c>
      <c r="R95" s="190" t="n">
        <v>8.892962016</v>
      </c>
      <c r="S95" s="191" t="n">
        <v>506.905078039</v>
      </c>
      <c r="T95" s="192" t="n">
        <v>7.938888889</v>
      </c>
      <c r="U95" s="192" t="n">
        <v>6.07526394350809</v>
      </c>
      <c r="V95" s="189" t="n">
        <v>5.50953738035187</v>
      </c>
      <c r="W95" s="189" t="n">
        <v>1.167116809</v>
      </c>
      <c r="X95" s="189" t="n">
        <v>0.952882907</v>
      </c>
      <c r="Y95" s="192" t="n">
        <v>81.6441764570628</v>
      </c>
      <c r="Z95" s="189" t="n">
        <v>0</v>
      </c>
      <c r="AA95" s="193">
        <f>I95-R95</f>
        <v/>
      </c>
      <c r="AB95" s="194">
        <f>J95-S95</f>
        <v/>
      </c>
      <c r="AC95" s="195">
        <f>K95-T95</f>
        <v/>
      </c>
      <c r="AD95" s="195">
        <f>L95-U95</f>
        <v/>
      </c>
      <c r="AE95" s="196">
        <f>M95-V95</f>
        <v/>
      </c>
      <c r="AF95" s="196">
        <f>N95-W95</f>
        <v/>
      </c>
      <c r="AG95" s="196">
        <f>O95-X95</f>
        <v/>
      </c>
      <c r="AH95" s="195">
        <f>P95-Y95</f>
        <v/>
      </c>
      <c r="AI95" s="197">
        <f>Q95-Z95</f>
        <v/>
      </c>
    </row>
    <row r="96">
      <c r="B96" t="inlineStr">
        <is>
          <t>BASEPRICE</t>
        </is>
      </c>
      <c r="C96" s="187" t="n">
        <v>46070</v>
      </c>
      <c r="D96" s="188" t="inlineStr">
        <is>
          <t>Single Borrower</t>
        </is>
      </c>
      <c r="E96" s="188" t="inlineStr">
        <is>
          <t>GRADE 2026-HB1 A1A</t>
        </is>
      </c>
      <c r="F96" s="188" t="inlineStr">
        <is>
          <t>795939AB3</t>
        </is>
      </c>
      <c r="G96" s="189" t="n">
        <v>5.07134</v>
      </c>
      <c r="H96" s="189" t="n">
        <v>100.25</v>
      </c>
      <c r="I96" s="190" t="n">
        <v>4.566233996</v>
      </c>
      <c r="J96" s="191" t="n">
        <v>109.745781027</v>
      </c>
      <c r="K96" s="192" t="n">
        <v>1.739845002</v>
      </c>
      <c r="L96" s="192" t="n">
        <v>0.0153749296758041</v>
      </c>
      <c r="M96" s="189" t="n">
        <v>1.63117009077307</v>
      </c>
      <c r="N96" s="189" t="n">
        <v>0.243023489</v>
      </c>
      <c r="O96" s="189" t="n">
        <v>0.20128717</v>
      </c>
      <c r="P96" s="192" t="n">
        <v>82.8262201436833</v>
      </c>
      <c r="Q96" s="189" t="n">
        <v>0</v>
      </c>
      <c r="R96" s="190" t="n">
        <v>4.566233707</v>
      </c>
      <c r="S96" s="191" t="n">
        <v>109.745778717</v>
      </c>
      <c r="T96" s="192" t="n">
        <v>1.739832007</v>
      </c>
      <c r="U96" s="192" t="n">
        <v>0.0153753755610959</v>
      </c>
      <c r="V96" s="189" t="n">
        <v>1.63115849775561</v>
      </c>
      <c r="W96" s="189" t="n">
        <v>0.251445502</v>
      </c>
      <c r="X96" s="189" t="n">
        <v>0.208152012</v>
      </c>
      <c r="Y96" s="192" t="n">
        <v>82.78215770191029</v>
      </c>
      <c r="Z96" s="189" t="n">
        <v>0</v>
      </c>
      <c r="AA96" s="193">
        <f>I96-R96</f>
        <v/>
      </c>
      <c r="AB96" s="194">
        <f>J96-S96</f>
        <v/>
      </c>
      <c r="AC96" s="195">
        <f>K96-T96</f>
        <v/>
      </c>
      <c r="AD96" s="195">
        <f>L96-U96</f>
        <v/>
      </c>
      <c r="AE96" s="196">
        <f>M96-V96</f>
        <v/>
      </c>
      <c r="AF96" s="196">
        <f>N96-W96</f>
        <v/>
      </c>
      <c r="AG96" s="196">
        <f>O96-X96</f>
        <v/>
      </c>
      <c r="AH96" s="195">
        <f>P96-Y96</f>
        <v/>
      </c>
      <c r="AI96" s="197">
        <f>Q96-Z96</f>
        <v/>
      </c>
    </row>
    <row r="97">
      <c r="B97" t="inlineStr">
        <is>
          <t>BASEPRICE</t>
        </is>
      </c>
      <c r="C97" s="187" t="n">
        <v>46070</v>
      </c>
      <c r="D97" s="188" t="inlineStr">
        <is>
          <t>Single Borrower</t>
        </is>
      </c>
      <c r="E97" s="188" t="inlineStr">
        <is>
          <t>GRADE 2026-HB1 A1X</t>
        </is>
      </c>
      <c r="F97" s="188" t="inlineStr">
        <is>
          <t>795939AD9</t>
        </is>
      </c>
      <c r="G97" s="189" t="n">
        <v>1</v>
      </c>
      <c r="H97" s="189" t="n">
        <v>1.681612154</v>
      </c>
      <c r="I97" s="190" t="n">
        <v>3.767721796</v>
      </c>
      <c r="J97" s="191" t="n">
        <v>29.728302057</v>
      </c>
      <c r="K97" s="192" t="n">
        <v>1.73993872</v>
      </c>
      <c r="L97" s="192" t="n">
        <v>1.2112998797938</v>
      </c>
      <c r="M97" s="189" t="n">
        <v>1.2138018241274</v>
      </c>
      <c r="N97" s="189" t="n">
        <v>0.243023489</v>
      </c>
      <c r="O97" s="189" t="n">
        <v>0.20128717</v>
      </c>
      <c r="P97" s="192" t="n">
        <v>82.8262201436833</v>
      </c>
      <c r="Q97" s="189" t="n">
        <v>0</v>
      </c>
      <c r="R97" s="190" t="n">
        <v>3.767203152</v>
      </c>
      <c r="S97" s="191" t="n">
        <v>29.676433712</v>
      </c>
      <c r="T97" s="192" t="n">
        <v>1.739927323</v>
      </c>
      <c r="U97" s="192" t="n">
        <v>1.21150325605937</v>
      </c>
      <c r="V97" s="189" t="n">
        <v>1.21380134839343</v>
      </c>
      <c r="W97" s="189" t="n">
        <v>0.251445502</v>
      </c>
      <c r="X97" s="189" t="n">
        <v>0.208152012</v>
      </c>
      <c r="Y97" s="192" t="n">
        <v>82.78215770191029</v>
      </c>
      <c r="Z97" s="189" t="n">
        <v>0</v>
      </c>
      <c r="AA97" s="193">
        <f>I97-R97</f>
        <v/>
      </c>
      <c r="AB97" s="194">
        <f>J97-S97</f>
        <v/>
      </c>
      <c r="AC97" s="195">
        <f>K97-T97</f>
        <v/>
      </c>
      <c r="AD97" s="195">
        <f>L97-U97</f>
        <v/>
      </c>
      <c r="AE97" s="196">
        <f>M97-V97</f>
        <v/>
      </c>
      <c r="AF97" s="196">
        <f>N97-W97</f>
        <v/>
      </c>
      <c r="AG97" s="196">
        <f>O97-X97</f>
        <v/>
      </c>
      <c r="AH97" s="195">
        <f>P97-Y97</f>
        <v/>
      </c>
      <c r="AI97" s="197">
        <f>Q97-Z97</f>
        <v/>
      </c>
    </row>
    <row r="98">
      <c r="B98" t="inlineStr">
        <is>
          <t>BASEPRICE</t>
        </is>
      </c>
      <c r="C98" s="187" t="n">
        <v>46070</v>
      </c>
      <c r="D98" s="188" t="inlineStr">
        <is>
          <t>Single Borrower</t>
        </is>
      </c>
      <c r="E98" s="188" t="inlineStr">
        <is>
          <t>GRADE 2026-HB1 B1</t>
        </is>
      </c>
      <c r="F98" s="188" t="inlineStr">
        <is>
          <t>795939AK3</t>
        </is>
      </c>
      <c r="G98" s="189" t="n">
        <v>7.12134</v>
      </c>
      <c r="H98" s="189" t="n">
        <v>100.125</v>
      </c>
      <c r="I98" s="190" t="n">
        <v>6.716762763</v>
      </c>
      <c r="J98" s="191" t="n">
        <v>325.206481854</v>
      </c>
      <c r="K98" s="192" t="n">
        <v>2.938888889</v>
      </c>
      <c r="L98" s="192" t="n">
        <v>-0.0306899186017567</v>
      </c>
      <c r="M98" s="189" t="n">
        <v>2.62024236404495</v>
      </c>
      <c r="N98" s="189" t="n">
        <v>0.243023489</v>
      </c>
      <c r="O98" s="189" t="n">
        <v>0.20128717</v>
      </c>
      <c r="P98" s="192" t="n">
        <v>82.8262201436833</v>
      </c>
      <c r="Q98" s="189" t="n">
        <v>0</v>
      </c>
      <c r="R98" s="190" t="n">
        <v>6.716762763</v>
      </c>
      <c r="S98" s="191" t="n">
        <v>325.206481854</v>
      </c>
      <c r="T98" s="192" t="n">
        <v>2.938888889</v>
      </c>
      <c r="U98" s="192" t="n">
        <v>-0.0306899186017567</v>
      </c>
      <c r="V98" s="189" t="n">
        <v>2.62024236404495</v>
      </c>
      <c r="W98" s="189" t="n">
        <v>0.251445502</v>
      </c>
      <c r="X98" s="189" t="n">
        <v>0.208152012</v>
      </c>
      <c r="Y98" s="192" t="n">
        <v>82.78215770191029</v>
      </c>
      <c r="Z98" s="189" t="n">
        <v>0</v>
      </c>
      <c r="AA98" s="193">
        <f>I98-R98</f>
        <v/>
      </c>
      <c r="AB98" s="194">
        <f>J98-S98</f>
        <v/>
      </c>
      <c r="AC98" s="195">
        <f>K98-T98</f>
        <v/>
      </c>
      <c r="AD98" s="195">
        <f>L98-U98</f>
        <v/>
      </c>
      <c r="AE98" s="196">
        <f>M98-V98</f>
        <v/>
      </c>
      <c r="AF98" s="196">
        <f>N98-W98</f>
        <v/>
      </c>
      <c r="AG98" s="196">
        <f>O98-X98</f>
        <v/>
      </c>
      <c r="AH98" s="195">
        <f>P98-Y98</f>
        <v/>
      </c>
      <c r="AI98" s="197">
        <f>Q98-Z98</f>
        <v/>
      </c>
    </row>
    <row r="99">
      <c r="B99" t="inlineStr">
        <is>
          <t>BASEPRICE</t>
        </is>
      </c>
      <c r="C99" s="187" t="n">
        <v>46070</v>
      </c>
      <c r="D99" s="188" t="inlineStr">
        <is>
          <t>Single Borrower</t>
        </is>
      </c>
      <c r="E99" s="188" t="inlineStr">
        <is>
          <t>GRADE 2026-HB1 M3</t>
        </is>
      </c>
      <c r="F99" s="188" t="inlineStr">
        <is>
          <t>795939AJ6</t>
        </is>
      </c>
      <c r="G99" s="189" t="n">
        <v>6.12134</v>
      </c>
      <c r="H99" s="189" t="n">
        <v>100</v>
      </c>
      <c r="I99" s="190" t="n">
        <v>5.747805636</v>
      </c>
      <c r="J99" s="191" t="n">
        <v>228.813895049</v>
      </c>
      <c r="K99" s="192" t="n">
        <v>2.604001296</v>
      </c>
      <c r="L99" s="192" t="n">
        <v>-0.015254100000007</v>
      </c>
      <c r="M99" s="189" t="n">
        <v>2.37975113600001</v>
      </c>
      <c r="N99" s="189" t="n">
        <v>0.243023489</v>
      </c>
      <c r="O99" s="189" t="n">
        <v>0.20128717</v>
      </c>
      <c r="P99" s="192" t="n">
        <v>82.8262201436833</v>
      </c>
      <c r="Q99" s="189" t="n">
        <v>0</v>
      </c>
      <c r="R99" s="190" t="n">
        <v>5.747805801</v>
      </c>
      <c r="S99" s="191" t="n">
        <v>228.813910313</v>
      </c>
      <c r="T99" s="192" t="n">
        <v>2.603998885</v>
      </c>
      <c r="U99" s="192" t="n">
        <v>-0.0152543370000018</v>
      </c>
      <c r="V99" s="189" t="n">
        <v>2.37974900299999</v>
      </c>
      <c r="W99" s="189" t="n">
        <v>0.251445502</v>
      </c>
      <c r="X99" s="189" t="n">
        <v>0.208152012</v>
      </c>
      <c r="Y99" s="192" t="n">
        <v>82.78215770191029</v>
      </c>
      <c r="Z99" s="189" t="n">
        <v>0</v>
      </c>
      <c r="AA99" s="193">
        <f>I99-R99</f>
        <v/>
      </c>
      <c r="AB99" s="194">
        <f>J99-S99</f>
        <v/>
      </c>
      <c r="AC99" s="195">
        <f>K99-T99</f>
        <v/>
      </c>
      <c r="AD99" s="195">
        <f>L99-U99</f>
        <v/>
      </c>
      <c r="AE99" s="196">
        <f>M99-V99</f>
        <v/>
      </c>
      <c r="AF99" s="196">
        <f>N99-W99</f>
        <v/>
      </c>
      <c r="AG99" s="196">
        <f>O99-X99</f>
        <v/>
      </c>
      <c r="AH99" s="195">
        <f>P99-Y99</f>
        <v/>
      </c>
      <c r="AI99" s="197">
        <f>Q99-Z99</f>
        <v/>
      </c>
    </row>
    <row r="100">
      <c r="B100" t="inlineStr">
        <is>
          <t>BASEPRICE</t>
        </is>
      </c>
      <c r="C100" s="187" t="n">
        <v>46070</v>
      </c>
      <c r="D100" s="188" t="inlineStr">
        <is>
          <t>Single Borrower</t>
        </is>
      </c>
      <c r="E100" s="188" t="inlineStr">
        <is>
          <t>GSMBS 2024-HE1 B1</t>
        </is>
      </c>
      <c r="F100" s="188" t="inlineStr">
        <is>
          <t>36270AAE4</t>
        </is>
      </c>
      <c r="G100" s="189" t="n">
        <v>7.19728</v>
      </c>
      <c r="H100" s="189" t="n">
        <v>101.00416</v>
      </c>
      <c r="I100" s="190" t="n">
        <v>6.139560855</v>
      </c>
      <c r="J100" s="191" t="n">
        <v>267.95160358</v>
      </c>
      <c r="K100" s="192" t="n">
        <v>1.272222222</v>
      </c>
      <c r="L100" s="192" t="n">
        <v>-0.000398840998232219</v>
      </c>
      <c r="M100" s="189" t="n">
        <v>1.19469286908579</v>
      </c>
      <c r="N100" s="189" t="n">
        <v>2.663092183</v>
      </c>
      <c r="O100" s="189" t="n">
        <v>1.985663381</v>
      </c>
      <c r="P100" s="192" t="n">
        <v>74.56232246392349</v>
      </c>
      <c r="Q100" s="189" t="n">
        <v>0</v>
      </c>
      <c r="R100" s="190" t="n">
        <v>6.139560855</v>
      </c>
      <c r="S100" s="191" t="n">
        <v>267.95160358</v>
      </c>
      <c r="T100" s="192" t="n">
        <v>1.272222222</v>
      </c>
      <c r="U100" s="192" t="n">
        <v>-0.000398840998232219</v>
      </c>
      <c r="V100" s="189" t="n">
        <v>1.19469286908579</v>
      </c>
      <c r="W100" s="189" t="n">
        <v>2.714668962</v>
      </c>
      <c r="X100" s="189" t="n">
        <v>2.035186904</v>
      </c>
      <c r="Y100" s="192" t="n">
        <v>74.9699846459585</v>
      </c>
      <c r="Z100" s="189" t="n">
        <v>0</v>
      </c>
      <c r="AA100" s="193">
        <f>I100-R100</f>
        <v/>
      </c>
      <c r="AB100" s="194">
        <f>J100-S100</f>
        <v/>
      </c>
      <c r="AC100" s="195">
        <f>K100-T100</f>
        <v/>
      </c>
      <c r="AD100" s="195">
        <f>L100-U100</f>
        <v/>
      </c>
      <c r="AE100" s="196">
        <f>M100-V100</f>
        <v/>
      </c>
      <c r="AF100" s="196">
        <f>N100-W100</f>
        <v/>
      </c>
      <c r="AG100" s="196">
        <f>O100-X100</f>
        <v/>
      </c>
      <c r="AH100" s="195">
        <f>P100-Y100</f>
        <v/>
      </c>
      <c r="AI100" s="197">
        <f>Q100-Z100</f>
        <v/>
      </c>
    </row>
    <row r="101">
      <c r="B101" t="inlineStr">
        <is>
          <t>BASEPRICE</t>
        </is>
      </c>
      <c r="C101" s="187" t="n">
        <v>46070</v>
      </c>
      <c r="D101" s="188" t="inlineStr">
        <is>
          <t>Single Borrower</t>
        </is>
      </c>
      <c r="E101" s="188" t="inlineStr">
        <is>
          <t>GSMBS 2026-CES1 B1</t>
        </is>
      </c>
      <c r="F101" s="188" t="inlineStr">
        <is>
          <t>36277LAE3</t>
        </is>
      </c>
      <c r="G101" s="189" t="n">
        <v>6.519</v>
      </c>
      <c r="H101" s="189" t="n">
        <v>100.526455</v>
      </c>
      <c r="I101" s="190" t="n">
        <v>6.325055979</v>
      </c>
      <c r="J101" s="191" t="n">
        <v>279.196544227</v>
      </c>
      <c r="K101" s="192" t="n">
        <v>3.938888889</v>
      </c>
      <c r="L101" s="192" t="n">
        <v>3.3947075642924</v>
      </c>
      <c r="M101" s="189" t="n">
        <v>3.3947075642924</v>
      </c>
      <c r="N101" s="189" t="n">
        <v>0.418698923</v>
      </c>
      <c r="O101" s="189" t="n">
        <v>0.246793178</v>
      </c>
      <c r="P101" s="192" t="n">
        <v>58.9428738511467</v>
      </c>
      <c r="Q101" s="189" t="n">
        <v>0</v>
      </c>
      <c r="R101" s="190" t="n">
        <v>6.325055979</v>
      </c>
      <c r="S101" s="191" t="n">
        <v>279.196544227</v>
      </c>
      <c r="T101" s="192" t="n">
        <v>3.938888889</v>
      </c>
      <c r="U101" s="192" t="n">
        <v>3.3947075642924</v>
      </c>
      <c r="V101" s="189" t="n">
        <v>3.3947075642924</v>
      </c>
      <c r="W101" s="189" t="n">
        <v>0.426397725</v>
      </c>
      <c r="X101" s="189" t="n">
        <v>0.252777014</v>
      </c>
      <c r="Y101" s="192" t="n">
        <v>59.2819799871118</v>
      </c>
      <c r="Z101" s="189" t="n">
        <v>0</v>
      </c>
      <c r="AA101" s="193">
        <f>I101-R101</f>
        <v/>
      </c>
      <c r="AB101" s="194">
        <f>J101-S101</f>
        <v/>
      </c>
      <c r="AC101" s="195">
        <f>K101-T101</f>
        <v/>
      </c>
      <c r="AD101" s="195">
        <f>L101-U101</f>
        <v/>
      </c>
      <c r="AE101" s="196">
        <f>M101-V101</f>
        <v/>
      </c>
      <c r="AF101" s="196">
        <f>N101-W101</f>
        <v/>
      </c>
      <c r="AG101" s="196">
        <f>O101-X101</f>
        <v/>
      </c>
      <c r="AH101" s="195">
        <f>P101-Y101</f>
        <v/>
      </c>
      <c r="AI101" s="197">
        <f>Q101-Z101</f>
        <v/>
      </c>
    </row>
    <row r="102">
      <c r="B102" t="inlineStr">
        <is>
          <t>BASEPRICE</t>
        </is>
      </c>
      <c r="C102" s="187" t="n">
        <v>46070</v>
      </c>
      <c r="D102" s="188" t="inlineStr">
        <is>
          <t>Single Borrower</t>
        </is>
      </c>
      <c r="E102" s="188" t="inlineStr">
        <is>
          <t>JPMMT 2025-CES5 B1</t>
        </is>
      </c>
      <c r="F102" s="188" t="inlineStr">
        <is>
          <t>46594DAH9</t>
        </is>
      </c>
      <c r="G102" s="189" t="n">
        <v>6.694</v>
      </c>
      <c r="H102" s="189" t="n">
        <v>100.61547</v>
      </c>
      <c r="I102" s="190" t="n">
        <v>6.333556733</v>
      </c>
      <c r="J102" s="191" t="n">
        <v>287.897444029</v>
      </c>
      <c r="K102" s="192" t="n">
        <v>2.605555556</v>
      </c>
      <c r="L102" s="192" t="n">
        <v>2.33632021298515</v>
      </c>
      <c r="M102" s="189" t="n">
        <v>2.33632021298515</v>
      </c>
      <c r="N102" s="189" t="n">
        <v>0.562886631</v>
      </c>
      <c r="O102" s="189" t="n">
        <v>0.381751973</v>
      </c>
      <c r="P102" s="192" t="n">
        <v>67.82040147619</v>
      </c>
      <c r="Q102" s="189" t="n">
        <v>0</v>
      </c>
      <c r="R102" s="190" t="n">
        <v>6.333556733</v>
      </c>
      <c r="S102" s="191" t="n">
        <v>287.897444029</v>
      </c>
      <c r="T102" s="192" t="n">
        <v>2.605555556</v>
      </c>
      <c r="U102" s="192" t="n">
        <v>2.33632021298515</v>
      </c>
      <c r="V102" s="189" t="n">
        <v>2.33632021298515</v>
      </c>
      <c r="W102" s="189" t="n">
        <v>0.57433016</v>
      </c>
      <c r="X102" s="189" t="n">
        <v>0.392637045</v>
      </c>
      <c r="Y102" s="192" t="n">
        <v>68.3643437774537</v>
      </c>
      <c r="Z102" s="189" t="n">
        <v>0</v>
      </c>
      <c r="AA102" s="193">
        <f>I102-R102</f>
        <v/>
      </c>
      <c r="AB102" s="194">
        <f>J102-S102</f>
        <v/>
      </c>
      <c r="AC102" s="195">
        <f>K102-T102</f>
        <v/>
      </c>
      <c r="AD102" s="195">
        <f>L102-U102</f>
        <v/>
      </c>
      <c r="AE102" s="196">
        <f>M102-V102</f>
        <v/>
      </c>
      <c r="AF102" s="196">
        <f>N102-W102</f>
        <v/>
      </c>
      <c r="AG102" s="196">
        <f>O102-X102</f>
        <v/>
      </c>
      <c r="AH102" s="195">
        <f>P102-Y102</f>
        <v/>
      </c>
      <c r="AI102" s="197">
        <f>Q102-Z102</f>
        <v/>
      </c>
    </row>
    <row r="103">
      <c r="B103" t="inlineStr">
        <is>
          <t>BASEPRICE</t>
        </is>
      </c>
      <c r="C103" s="187" t="n">
        <v>46070</v>
      </c>
      <c r="D103" s="188" t="inlineStr">
        <is>
          <t>Single Borrower</t>
        </is>
      </c>
      <c r="E103" s="188" t="inlineStr">
        <is>
          <t>RCKT 2025-CES3 B1</t>
        </is>
      </c>
      <c r="F103" s="188" t="inlineStr">
        <is>
          <t>749420AF2</t>
        </is>
      </c>
      <c r="G103" s="189" t="n">
        <v>6.732</v>
      </c>
      <c r="H103" s="189" t="n">
        <v>101.2649</v>
      </c>
      <c r="I103" s="190" t="n">
        <v>5.968687925</v>
      </c>
      <c r="J103" s="191" t="n">
        <v>252.498499909</v>
      </c>
      <c r="K103" s="192" t="n">
        <v>2.188888889</v>
      </c>
      <c r="L103" s="192" t="n">
        <v>1.99258009636112</v>
      </c>
      <c r="M103" s="189" t="n">
        <v>1.99258009636112</v>
      </c>
      <c r="N103" s="189" t="n">
        <v>0.447128025</v>
      </c>
      <c r="O103" s="189" t="n">
        <v>0.310097852</v>
      </c>
      <c r="P103" s="192" t="n">
        <v>69.3532578281131</v>
      </c>
      <c r="Q103" s="189" t="n">
        <v>0</v>
      </c>
      <c r="R103" s="190" t="n">
        <v>5.968687925</v>
      </c>
      <c r="S103" s="191" t="n">
        <v>252.498499909</v>
      </c>
      <c r="T103" s="192" t="n">
        <v>2.188888889</v>
      </c>
      <c r="U103" s="192" t="n">
        <v>1.99258009636112</v>
      </c>
      <c r="V103" s="189" t="n">
        <v>1.99258009636112</v>
      </c>
      <c r="W103" s="189" t="n">
        <v>0.459967273</v>
      </c>
      <c r="X103" s="189" t="n">
        <v>0.319223516</v>
      </c>
      <c r="Y103" s="192" t="n">
        <v>69.40135412634019</v>
      </c>
      <c r="Z103" s="189" t="n">
        <v>0</v>
      </c>
      <c r="AA103" s="193">
        <f>I103-R103</f>
        <v/>
      </c>
      <c r="AB103" s="194">
        <f>J103-S103</f>
        <v/>
      </c>
      <c r="AC103" s="195">
        <f>K103-T103</f>
        <v/>
      </c>
      <c r="AD103" s="195">
        <f>L103-U103</f>
        <v/>
      </c>
      <c r="AE103" s="196">
        <f>M103-V103</f>
        <v/>
      </c>
      <c r="AF103" s="196">
        <f>N103-W103</f>
        <v/>
      </c>
      <c r="AG103" s="196">
        <f>O103-X103</f>
        <v/>
      </c>
      <c r="AH103" s="195">
        <f>P103-Y103</f>
        <v/>
      </c>
      <c r="AI103" s="197">
        <f>Q103-Z103</f>
        <v/>
      </c>
    </row>
    <row r="104">
      <c r="B104" t="inlineStr">
        <is>
          <t>BASEPRICE</t>
        </is>
      </c>
      <c r="C104" s="187" t="n">
        <v>46070</v>
      </c>
      <c r="D104" s="188" t="inlineStr">
        <is>
          <t>Single Borrower</t>
        </is>
      </c>
      <c r="E104" s="188" t="inlineStr">
        <is>
          <t>RCKT 2025-CES7 B1</t>
        </is>
      </c>
      <c r="F104" s="188" t="inlineStr">
        <is>
          <t>74943AAJ1</t>
        </is>
      </c>
      <c r="G104" s="189" t="n">
        <v>6.97</v>
      </c>
      <c r="H104" s="189" t="n">
        <v>101.55336</v>
      </c>
      <c r="I104" s="190" t="n">
        <v>6.183079741</v>
      </c>
      <c r="J104" s="191" t="n">
        <v>273.065066501</v>
      </c>
      <c r="K104" s="192" t="n">
        <v>2.522222222</v>
      </c>
      <c r="L104" s="192" t="n">
        <v>2.26349983594831</v>
      </c>
      <c r="M104" s="189" t="n">
        <v>2.26349983594831</v>
      </c>
      <c r="N104" s="189" t="n">
        <v>0.370801553</v>
      </c>
      <c r="O104" s="189" t="n">
        <v>0.257160452</v>
      </c>
      <c r="P104" s="192" t="n">
        <v>69.3525822422863</v>
      </c>
      <c r="Q104" s="189" t="n">
        <v>0</v>
      </c>
      <c r="R104" s="190" t="n">
        <v>6.183079741</v>
      </c>
      <c r="S104" s="191" t="n">
        <v>273.065066501</v>
      </c>
      <c r="T104" s="192" t="n">
        <v>2.522222222</v>
      </c>
      <c r="U104" s="192" t="n">
        <v>2.26349983594831</v>
      </c>
      <c r="V104" s="189" t="n">
        <v>2.26349983594831</v>
      </c>
      <c r="W104" s="189" t="n">
        <v>0.378163579</v>
      </c>
      <c r="X104" s="189" t="n">
        <v>0.263410685</v>
      </c>
      <c r="Y104" s="192" t="n">
        <v>69.6552231964147</v>
      </c>
      <c r="Z104" s="189" t="n">
        <v>0</v>
      </c>
      <c r="AA104" s="193">
        <f>I104-R104</f>
        <v/>
      </c>
      <c r="AB104" s="194">
        <f>J104-S104</f>
        <v/>
      </c>
      <c r="AC104" s="195">
        <f>K104-T104</f>
        <v/>
      </c>
      <c r="AD104" s="195">
        <f>L104-U104</f>
        <v/>
      </c>
      <c r="AE104" s="196">
        <f>M104-V104</f>
        <v/>
      </c>
      <c r="AF104" s="196">
        <f>N104-W104</f>
        <v/>
      </c>
      <c r="AG104" s="196">
        <f>O104-X104</f>
        <v/>
      </c>
      <c r="AH104" s="195">
        <f>P104-Y104</f>
        <v/>
      </c>
      <c r="AI104" s="197">
        <f>Q104-Z104</f>
        <v/>
      </c>
    </row>
    <row r="105">
      <c r="B105" t="inlineStr">
        <is>
          <t>BASEPRICE</t>
        </is>
      </c>
      <c r="C105" s="187" t="n">
        <v>46070</v>
      </c>
      <c r="D105" s="188" t="inlineStr">
        <is>
          <t>Single Borrower</t>
        </is>
      </c>
      <c r="E105" s="188" t="inlineStr">
        <is>
          <t>SAIF 2024-CES1 B1</t>
        </is>
      </c>
      <c r="F105" s="188" t="inlineStr">
        <is>
          <t>78436VAE1</t>
        </is>
      </c>
      <c r="G105" s="189" t="n">
        <v>8.372</v>
      </c>
      <c r="H105" s="189" t="n">
        <v>102.84827</v>
      </c>
      <c r="I105" s="190" t="n">
        <v>6.218116826</v>
      </c>
      <c r="J105" s="191" t="n">
        <v>276.840823398</v>
      </c>
      <c r="K105" s="192" t="n">
        <v>1.605555556</v>
      </c>
      <c r="L105" s="192" t="n">
        <v>1.47233770971549</v>
      </c>
      <c r="M105" s="189" t="n">
        <v>1.47233770971549</v>
      </c>
      <c r="N105" s="189" t="n">
        <v>2.659718494</v>
      </c>
      <c r="O105" s="189" t="n">
        <v>2.371089481</v>
      </c>
      <c r="P105" s="192" t="n">
        <v>89.1481367802227</v>
      </c>
      <c r="Q105" s="189" t="n">
        <v>0</v>
      </c>
      <c r="R105" s="190" t="n">
        <v>6.218116826</v>
      </c>
      <c r="S105" s="191" t="n">
        <v>276.840823398</v>
      </c>
      <c r="T105" s="192" t="n">
        <v>1.605555556</v>
      </c>
      <c r="U105" s="192" t="n">
        <v>1.47233770971549</v>
      </c>
      <c r="V105" s="189" t="n">
        <v>1.47233770971549</v>
      </c>
      <c r="W105" s="189" t="n">
        <v>2.706815432</v>
      </c>
      <c r="X105" s="189" t="n">
        <v>2.417832271</v>
      </c>
      <c r="Y105" s="192" t="n">
        <v>89.3238690165706</v>
      </c>
      <c r="Z105" s="189" t="n">
        <v>0</v>
      </c>
      <c r="AA105" s="193">
        <f>I105-R105</f>
        <v/>
      </c>
      <c r="AB105" s="194">
        <f>J105-S105</f>
        <v/>
      </c>
      <c r="AC105" s="195">
        <f>K105-T105</f>
        <v/>
      </c>
      <c r="AD105" s="195">
        <f>L105-U105</f>
        <v/>
      </c>
      <c r="AE105" s="196">
        <f>M105-V105</f>
        <v/>
      </c>
      <c r="AF105" s="196">
        <f>N105-W105</f>
        <v/>
      </c>
      <c r="AG105" s="196">
        <f>O105-X105</f>
        <v/>
      </c>
      <c r="AH105" s="195">
        <f>P105-Y105</f>
        <v/>
      </c>
      <c r="AI105" s="197">
        <f>Q105-Z105</f>
        <v/>
      </c>
    </row>
    <row r="106">
      <c r="B106" t="inlineStr">
        <is>
          <t>BASEPRICE</t>
        </is>
      </c>
      <c r="C106" s="187" t="n">
        <v>46070</v>
      </c>
      <c r="D106" s="188" t="inlineStr">
        <is>
          <t>Single Borrower</t>
        </is>
      </c>
      <c r="E106" s="188" t="inlineStr">
        <is>
          <t>VSTA 2024-CES1 B1</t>
        </is>
      </c>
      <c r="F106" s="188" t="inlineStr">
        <is>
          <t>92839HAE6</t>
        </is>
      </c>
      <c r="G106" s="189" t="n">
        <v>8.867000000000001</v>
      </c>
      <c r="H106" s="189" t="n">
        <v>102.684785</v>
      </c>
      <c r="I106" s="190" t="n">
        <v>6.26353671</v>
      </c>
      <c r="J106" s="191" t="n">
        <v>280.246856669</v>
      </c>
      <c r="K106" s="192" t="n">
        <v>1.272222222</v>
      </c>
      <c r="L106" s="192" t="n">
        <v>1.17904009050611</v>
      </c>
      <c r="M106" s="189" t="n">
        <v>1.17904009050611</v>
      </c>
      <c r="N106" s="189" t="n">
        <v>5.209248418</v>
      </c>
      <c r="O106" s="189" t="n">
        <v>4.349742037</v>
      </c>
      <c r="P106" s="192" t="n">
        <v>83.50037640689069</v>
      </c>
      <c r="Q106" s="189" t="n">
        <v>0</v>
      </c>
      <c r="R106" s="190" t="n">
        <v>6.26353671</v>
      </c>
      <c r="S106" s="191" t="n">
        <v>280.246856669</v>
      </c>
      <c r="T106" s="192" t="n">
        <v>1.272222222</v>
      </c>
      <c r="U106" s="192" t="n">
        <v>1.17904009050611</v>
      </c>
      <c r="V106" s="189" t="n">
        <v>1.17904009050611</v>
      </c>
      <c r="W106" s="189" t="n">
        <v>5.282420457</v>
      </c>
      <c r="X106" s="189" t="n">
        <v>4.422312339</v>
      </c>
      <c r="Y106" s="192" t="n">
        <v>83.7175377272321</v>
      </c>
      <c r="Z106" s="189" t="n">
        <v>0</v>
      </c>
      <c r="AA106" s="193">
        <f>I106-R106</f>
        <v/>
      </c>
      <c r="AB106" s="194">
        <f>J106-S106</f>
        <v/>
      </c>
      <c r="AC106" s="195">
        <f>K106-T106</f>
        <v/>
      </c>
      <c r="AD106" s="195">
        <f>L106-U106</f>
        <v/>
      </c>
      <c r="AE106" s="196">
        <f>M106-V106</f>
        <v/>
      </c>
      <c r="AF106" s="196">
        <f>N106-W106</f>
        <v/>
      </c>
      <c r="AG106" s="196">
        <f>O106-X106</f>
        <v/>
      </c>
      <c r="AH106" s="195">
        <f>P106-Y106</f>
        <v/>
      </c>
      <c r="AI106" s="197">
        <f>Q106-Z106</f>
        <v/>
      </c>
    </row>
    <row r="107">
      <c r="B107" t="inlineStr">
        <is>
          <t>BASEPRICE</t>
        </is>
      </c>
      <c r="C107" s="187" t="n">
        <v>46070</v>
      </c>
      <c r="D107" s="188" t="inlineStr">
        <is>
          <t>Single Borrower</t>
        </is>
      </c>
      <c r="E107" s="188" t="inlineStr">
        <is>
          <t>VSTA 2024-CES1 M1</t>
        </is>
      </c>
      <c r="F107" s="188" t="inlineStr">
        <is>
          <t>92839HAD8</t>
        </is>
      </c>
      <c r="G107" s="189" t="n">
        <v>7.482</v>
      </c>
      <c r="H107" s="189" t="n">
        <v>102.16857</v>
      </c>
      <c r="I107" s="190" t="n">
        <v>5.368591794</v>
      </c>
      <c r="J107" s="191" t="n">
        <v>190.803742736</v>
      </c>
      <c r="K107" s="192" t="n">
        <v>1.272222222</v>
      </c>
      <c r="L107" s="192" t="n">
        <v>1.19230195156886</v>
      </c>
      <c r="M107" s="189" t="n">
        <v>1.19230195156886</v>
      </c>
      <c r="N107" s="189" t="n">
        <v>5.209248418</v>
      </c>
      <c r="O107" s="189" t="n">
        <v>4.349742037</v>
      </c>
      <c r="P107" s="192" t="n">
        <v>83.50037640689069</v>
      </c>
      <c r="Q107" s="189" t="n">
        <v>0</v>
      </c>
      <c r="R107" s="190" t="n">
        <v>5.368591794</v>
      </c>
      <c r="S107" s="191" t="n">
        <v>190.803742736</v>
      </c>
      <c r="T107" s="192" t="n">
        <v>1.272222222</v>
      </c>
      <c r="U107" s="192" t="n">
        <v>1.19230195156886</v>
      </c>
      <c r="V107" s="189" t="n">
        <v>1.19230195156886</v>
      </c>
      <c r="W107" s="189" t="n">
        <v>5.282420457</v>
      </c>
      <c r="X107" s="189" t="n">
        <v>4.422312339</v>
      </c>
      <c r="Y107" s="192" t="n">
        <v>83.7175377272321</v>
      </c>
      <c r="Z107" s="189" t="n">
        <v>0</v>
      </c>
      <c r="AA107" s="193">
        <f>I107-R107</f>
        <v/>
      </c>
      <c r="AB107" s="194">
        <f>J107-S107</f>
        <v/>
      </c>
      <c r="AC107" s="195">
        <f>K107-T107</f>
        <v/>
      </c>
      <c r="AD107" s="195">
        <f>L107-U107</f>
        <v/>
      </c>
      <c r="AE107" s="196">
        <f>M107-V107</f>
        <v/>
      </c>
      <c r="AF107" s="196">
        <f>N107-W107</f>
        <v/>
      </c>
      <c r="AG107" s="196">
        <f>O107-X107</f>
        <v/>
      </c>
      <c r="AH107" s="195">
        <f>P107-Y107</f>
        <v/>
      </c>
      <c r="AI107" s="197">
        <f>Q107-Z107</f>
        <v/>
      </c>
    </row>
    <row r="108">
      <c r="B108" t="inlineStr">
        <is>
          <t>BASEPRICE</t>
        </is>
      </c>
      <c r="C108" s="187" t="n">
        <v>46070</v>
      </c>
      <c r="D108" s="188" t="inlineStr">
        <is>
          <t>Single Borrower</t>
        </is>
      </c>
      <c r="E108" s="188" t="inlineStr">
        <is>
          <t>VSTA 2024-CES2 B1</t>
        </is>
      </c>
      <c r="F108" s="188" t="inlineStr">
        <is>
          <t>92841YAE5</t>
        </is>
      </c>
      <c r="G108" s="189" t="n">
        <v>7.498</v>
      </c>
      <c r="H108" s="189" t="n">
        <v>101.35576</v>
      </c>
      <c r="I108" s="190" t="n">
        <v>6.363087209</v>
      </c>
      <c r="J108" s="191" t="n">
        <v>291.367895573</v>
      </c>
      <c r="K108" s="192" t="n">
        <v>1.605555556</v>
      </c>
      <c r="L108" s="192" t="n">
        <v>1.47910171952734</v>
      </c>
      <c r="M108" s="189" t="n">
        <v>1.47910171952734</v>
      </c>
      <c r="N108" s="189" t="n">
        <v>2.596868047</v>
      </c>
      <c r="O108" s="189" t="n">
        <v>2.06802292</v>
      </c>
      <c r="P108" s="192" t="n">
        <v>79.6352715105821</v>
      </c>
      <c r="Q108" s="189" t="n">
        <v>0</v>
      </c>
      <c r="R108" s="190" t="n">
        <v>6.363087209</v>
      </c>
      <c r="S108" s="191" t="n">
        <v>291.367895573</v>
      </c>
      <c r="T108" s="192" t="n">
        <v>1.605555556</v>
      </c>
      <c r="U108" s="192" t="n">
        <v>1.47910171952734</v>
      </c>
      <c r="V108" s="189" t="n">
        <v>1.47910171952734</v>
      </c>
      <c r="W108" s="189" t="n">
        <v>2.642845024</v>
      </c>
      <c r="X108" s="189" t="n">
        <v>2.112804706</v>
      </c>
      <c r="Y108" s="192" t="n">
        <v>79.944328434447</v>
      </c>
      <c r="Z108" s="189" t="n">
        <v>0</v>
      </c>
      <c r="AA108" s="193">
        <f>I108-R108</f>
        <v/>
      </c>
      <c r="AB108" s="194">
        <f>J108-S108</f>
        <v/>
      </c>
      <c r="AC108" s="195">
        <f>K108-T108</f>
        <v/>
      </c>
      <c r="AD108" s="195">
        <f>L108-U108</f>
        <v/>
      </c>
      <c r="AE108" s="196">
        <f>M108-V108</f>
        <v/>
      </c>
      <c r="AF108" s="196">
        <f>N108-W108</f>
        <v/>
      </c>
      <c r="AG108" s="196">
        <f>O108-X108</f>
        <v/>
      </c>
      <c r="AH108" s="195">
        <f>P108-Y108</f>
        <v/>
      </c>
      <c r="AI108" s="197">
        <f>Q108-Z108</f>
        <v/>
      </c>
    </row>
    <row r="109">
      <c r="B109" t="inlineStr">
        <is>
          <t>BASEPRICE</t>
        </is>
      </c>
      <c r="C109" s="187" t="n">
        <v>46070</v>
      </c>
      <c r="D109" s="188" t="inlineStr">
        <is>
          <t>Single Borrower</t>
        </is>
      </c>
      <c r="E109" s="188" t="inlineStr">
        <is>
          <t>VSTA 2024-CES2 B2</t>
        </is>
      </c>
      <c r="F109" s="188" t="inlineStr">
        <is>
          <t>92841YAF2</t>
        </is>
      </c>
      <c r="G109" s="189" t="n">
        <v>9.375999999999999</v>
      </c>
      <c r="H109" s="189" t="n">
        <v>103.029085</v>
      </c>
      <c r="I109" s="190" t="n">
        <v>7.066186751</v>
      </c>
      <c r="J109" s="191" t="n">
        <v>361.610647896</v>
      </c>
      <c r="K109" s="192" t="n">
        <v>1.605555556</v>
      </c>
      <c r="L109" s="192" t="n">
        <v>1.45681005028823</v>
      </c>
      <c r="M109" s="189" t="n">
        <v>1.45681005028823</v>
      </c>
      <c r="N109" s="189" t="n">
        <v>2.596868047</v>
      </c>
      <c r="O109" s="189" t="n">
        <v>2.06802292</v>
      </c>
      <c r="P109" s="192" t="n">
        <v>79.6352715105821</v>
      </c>
      <c r="Q109" s="189" t="n">
        <v>0</v>
      </c>
      <c r="R109" s="190" t="n">
        <v>7.066186751</v>
      </c>
      <c r="S109" s="191" t="n">
        <v>361.610647896</v>
      </c>
      <c r="T109" s="192" t="n">
        <v>1.605555556</v>
      </c>
      <c r="U109" s="192" t="n">
        <v>1.45681005028823</v>
      </c>
      <c r="V109" s="189" t="n">
        <v>1.45681005028823</v>
      </c>
      <c r="W109" s="189" t="n">
        <v>2.642845024</v>
      </c>
      <c r="X109" s="189" t="n">
        <v>2.112804706</v>
      </c>
      <c r="Y109" s="192" t="n">
        <v>79.944328434447</v>
      </c>
      <c r="Z109" s="189" t="n">
        <v>0</v>
      </c>
      <c r="AA109" s="193">
        <f>I109-R109</f>
        <v/>
      </c>
      <c r="AB109" s="194">
        <f>J109-S109</f>
        <v/>
      </c>
      <c r="AC109" s="195">
        <f>K109-T109</f>
        <v/>
      </c>
      <c r="AD109" s="195">
        <f>L109-U109</f>
        <v/>
      </c>
      <c r="AE109" s="196">
        <f>M109-V109</f>
        <v/>
      </c>
      <c r="AF109" s="196">
        <f>N109-W109</f>
        <v/>
      </c>
      <c r="AG109" s="196">
        <f>O109-X109</f>
        <v/>
      </c>
      <c r="AH109" s="195">
        <f>P109-Y109</f>
        <v/>
      </c>
      <c r="AI109" s="197">
        <f>Q109-Z109</f>
        <v/>
      </c>
    </row>
    <row r="110">
      <c r="B110" t="inlineStr">
        <is>
          <t>BASEPRICE</t>
        </is>
      </c>
      <c r="C110" s="187" t="n">
        <v>46070</v>
      </c>
      <c r="D110" s="188" t="inlineStr">
        <is>
          <t>Single Borrower</t>
        </is>
      </c>
      <c r="E110" s="188" t="inlineStr">
        <is>
          <t>VSTA 2024-CES3 B2</t>
        </is>
      </c>
      <c r="F110" s="188" t="inlineStr">
        <is>
          <t>92841WAF6</t>
        </is>
      </c>
      <c r="G110" s="189" t="n">
        <v>9.504801</v>
      </c>
      <c r="H110" s="189" t="n">
        <v>102.93444</v>
      </c>
      <c r="I110" s="190" t="n">
        <v>7.554087842</v>
      </c>
      <c r="J110" s="191" t="n">
        <v>411.206717941</v>
      </c>
      <c r="K110" s="192" t="n">
        <v>1.855555556</v>
      </c>
      <c r="L110" s="192" t="n">
        <v>1.65866857098556</v>
      </c>
      <c r="M110" s="189" t="n">
        <v>1.65948594756042</v>
      </c>
      <c r="N110" s="189" t="n">
        <v>2.668435602</v>
      </c>
      <c r="O110" s="189" t="n">
        <v>2.109056487</v>
      </c>
      <c r="P110" s="192" t="n">
        <v>79.0371888839759</v>
      </c>
      <c r="Q110" s="189" t="n">
        <v>0</v>
      </c>
      <c r="R110" s="190" t="n">
        <v>7.55410373</v>
      </c>
      <c r="S110" s="191" t="n">
        <v>411.208306675</v>
      </c>
      <c r="T110" s="192" t="n">
        <v>1.855555556</v>
      </c>
      <c r="U110" s="192" t="n">
        <v>1.65867627491829</v>
      </c>
      <c r="V110" s="189" t="n">
        <v>1.65948577269182</v>
      </c>
      <c r="W110" s="189" t="n">
        <v>2.721178635</v>
      </c>
      <c r="X110" s="189" t="n">
        <v>2.157162415</v>
      </c>
      <c r="Y110" s="192" t="n">
        <v>79.2730909780938</v>
      </c>
      <c r="Z110" s="189" t="n">
        <v>0</v>
      </c>
      <c r="AA110" s="193">
        <f>I110-R110</f>
        <v/>
      </c>
      <c r="AB110" s="194">
        <f>J110-S110</f>
        <v/>
      </c>
      <c r="AC110" s="195">
        <f>K110-T110</f>
        <v/>
      </c>
      <c r="AD110" s="195">
        <f>L110-U110</f>
        <v/>
      </c>
      <c r="AE110" s="196">
        <f>M110-V110</f>
        <v/>
      </c>
      <c r="AF110" s="196">
        <f>N110-W110</f>
        <v/>
      </c>
      <c r="AG110" s="196">
        <f>O110-X110</f>
        <v/>
      </c>
      <c r="AH110" s="195">
        <f>P110-Y110</f>
        <v/>
      </c>
      <c r="AI110" s="197">
        <f>Q110-Z110</f>
        <v/>
      </c>
    </row>
    <row r="111">
      <c r="B111" t="inlineStr">
        <is>
          <t>BASEPRICE</t>
        </is>
      </c>
      <c r="C111" s="187" t="n">
        <v>46070</v>
      </c>
      <c r="D111" s="188" t="inlineStr">
        <is>
          <t>Single Borrower</t>
        </is>
      </c>
      <c r="E111" s="188" t="inlineStr">
        <is>
          <t>VSTA 2024-CES3 M1</t>
        </is>
      </c>
      <c r="F111" s="188" t="inlineStr">
        <is>
          <t>92841WAD1</t>
        </is>
      </c>
      <c r="G111" s="189" t="n">
        <v>6.592</v>
      </c>
      <c r="H111" s="189" t="n">
        <v>101.45338</v>
      </c>
      <c r="I111" s="190" t="n">
        <v>5.580495698</v>
      </c>
      <c r="J111" s="191" t="n">
        <v>213.95915611</v>
      </c>
      <c r="K111" s="192" t="n">
        <v>1.855555556</v>
      </c>
      <c r="L111" s="192" t="n">
        <v>1.71268706276715</v>
      </c>
      <c r="M111" s="189" t="n">
        <v>1.71268706276715</v>
      </c>
      <c r="N111" s="189" t="n">
        <v>2.668435602</v>
      </c>
      <c r="O111" s="189" t="n">
        <v>2.109056487</v>
      </c>
      <c r="P111" s="192" t="n">
        <v>79.0371888839759</v>
      </c>
      <c r="Q111" s="189" t="n">
        <v>0</v>
      </c>
      <c r="R111" s="190" t="n">
        <v>5.580495698</v>
      </c>
      <c r="S111" s="191" t="n">
        <v>213.95915611</v>
      </c>
      <c r="T111" s="192" t="n">
        <v>1.855555556</v>
      </c>
      <c r="U111" s="192" t="n">
        <v>1.71268706276715</v>
      </c>
      <c r="V111" s="189" t="n">
        <v>1.71268706276715</v>
      </c>
      <c r="W111" s="189" t="n">
        <v>2.721178635</v>
      </c>
      <c r="X111" s="189" t="n">
        <v>2.157162415</v>
      </c>
      <c r="Y111" s="192" t="n">
        <v>79.2730909780938</v>
      </c>
      <c r="Z111" s="189" t="n">
        <v>0</v>
      </c>
      <c r="AA111" s="193">
        <f>I111-R111</f>
        <v/>
      </c>
      <c r="AB111" s="194">
        <f>J111-S111</f>
        <v/>
      </c>
      <c r="AC111" s="195">
        <f>K111-T111</f>
        <v/>
      </c>
      <c r="AD111" s="195">
        <f>L111-U111</f>
        <v/>
      </c>
      <c r="AE111" s="196">
        <f>M111-V111</f>
        <v/>
      </c>
      <c r="AF111" s="196">
        <f>N111-W111</f>
        <v/>
      </c>
      <c r="AG111" s="196">
        <f>O111-X111</f>
        <v/>
      </c>
      <c r="AH111" s="195">
        <f>P111-Y111</f>
        <v/>
      </c>
      <c r="AI111" s="197">
        <f>Q111-Z111</f>
        <v/>
      </c>
    </row>
    <row r="112">
      <c r="B112" t="inlineStr">
        <is>
          <t>BASEPRICE</t>
        </is>
      </c>
      <c r="C112" s="198" t="n">
        <v>46070</v>
      </c>
      <c r="D112" s="199" t="inlineStr">
        <is>
          <t>Single Borrower</t>
        </is>
      </c>
      <c r="E112" s="199" t="inlineStr">
        <is>
          <t>VSTA 2025-CES1 B1</t>
        </is>
      </c>
      <c r="F112" s="199" t="inlineStr">
        <is>
          <t>92842DAE0</t>
        </is>
      </c>
      <c r="G112" s="200" t="n">
        <v>7.621</v>
      </c>
      <c r="H112" s="200" t="n">
        <v>101.438245</v>
      </c>
      <c r="I112" s="201" t="n">
        <v>6.720589512</v>
      </c>
      <c r="J112" s="202" t="n">
        <v>327.876011231</v>
      </c>
      <c r="K112" s="203" t="n">
        <v>2.105555556</v>
      </c>
      <c r="L112" s="203" t="n">
        <v>1.89979632534061</v>
      </c>
      <c r="M112" s="200" t="n">
        <v>1.89979632534061</v>
      </c>
      <c r="N112" s="200" t="n">
        <v>1.805448993</v>
      </c>
      <c r="O112" s="200" t="n">
        <v>1.433047336</v>
      </c>
      <c r="P112" s="203" t="n">
        <v>79.3734600953083</v>
      </c>
      <c r="Q112" s="200" t="n">
        <v>0</v>
      </c>
      <c r="R112" s="201" t="n">
        <v>6.720589512</v>
      </c>
      <c r="S112" s="202" t="n">
        <v>327.876011231</v>
      </c>
      <c r="T112" s="203" t="n">
        <v>2.105555556</v>
      </c>
      <c r="U112" s="203" t="n">
        <v>1.89979632534061</v>
      </c>
      <c r="V112" s="200" t="n">
        <v>1.89979632534061</v>
      </c>
      <c r="W112" s="200" t="n">
        <v>1.84137822</v>
      </c>
      <c r="X112" s="200" t="n">
        <v>1.465256651</v>
      </c>
      <c r="Y112" s="203" t="n">
        <v>79.5739101877723</v>
      </c>
      <c r="Z112" s="200" t="n">
        <v>0</v>
      </c>
      <c r="AA112" s="204">
        <f>I112-R112</f>
        <v/>
      </c>
      <c r="AB112" s="205">
        <f>J112-S112</f>
        <v/>
      </c>
      <c r="AC112" s="206">
        <f>K112-T112</f>
        <v/>
      </c>
      <c r="AD112" s="206">
        <f>L112-U112</f>
        <v/>
      </c>
      <c r="AE112" s="207">
        <f>M112-V112</f>
        <v/>
      </c>
      <c r="AF112" s="207">
        <f>N112-W112</f>
        <v/>
      </c>
      <c r="AG112" s="207">
        <f>O112-X112</f>
        <v/>
      </c>
      <c r="AH112" s="206">
        <f>P112-Y112</f>
        <v/>
      </c>
      <c r="AI112" s="208">
        <f>Q112-Z112</f>
        <v/>
      </c>
    </row>
  </sheetData>
  <mergeCells count="4">
    <mergeCell ref="R2:Z2"/>
    <mergeCell ref="C2:H2"/>
    <mergeCell ref="AA2:AI2"/>
    <mergeCell ref="I2:Q2"/>
  </mergeCells>
  <conditionalFormatting sqref="AA4:AA112">
    <cfRule type="colorScale" priority="66">
      <colorScale>
        <cfvo type="min"/>
        <cfvo type="num" val="0"/>
        <cfvo type="max"/>
        <color rgb="FFF8696B"/>
        <color rgb="FFFCFCFF"/>
        <color rgb="FF63BE7B"/>
      </colorScale>
    </cfRule>
    <cfRule type="colorScale" priority="6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B4:AB112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7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C4:AC112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8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D4:AD112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9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F4:AF112">
    <cfRule type="colorScale" priority="70">
      <colorScale>
        <cfvo type="min"/>
        <cfvo type="num" val="0"/>
        <cfvo type="max"/>
        <color rgb="FFF8696B"/>
        <color rgb="FFFCFCFF"/>
        <color rgb="FF63BE7B"/>
      </colorScale>
    </cfRule>
    <cfRule type="colorScale" priority="11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E4:AE112">
    <cfRule type="colorScale" priority="10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G4:AG112">
    <cfRule type="colorScale" priority="12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H4:AH112">
    <cfRule type="colorScale" priority="13">
      <colorScale>
        <cfvo type="min"/>
        <cfvo type="percentile" val="50"/>
        <cfvo type="max"/>
        <color rgb="00F8696B"/>
        <color rgb="00FCFCFF"/>
        <color rgb="0063BE7B"/>
      </colorScale>
    </cfRule>
  </conditionalFormatting>
  <conditionalFormatting sqref="AI4:AI112">
    <cfRule type="colorScale" priority="14">
      <colorScale>
        <cfvo type="min"/>
        <cfvo type="percentile" val="50"/>
        <cfvo type="max"/>
        <color rgb="00F8696B"/>
        <color rgb="00FCFCFF"/>
        <color rgb="0063BE7B"/>
      </colorScale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Howard Zeng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2026-02-18T03:04:12Z</dcterms:modified>
  <cp:lastModifiedBy>Howard Zeng</cp:lastModifiedBy>
</cp:coreProperties>
</file>