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75" yWindow="-21600" windowWidth="49725" windowHeight="21285" tabRatio="600" firstSheet="0" activeTab="0" autoFilterDateGrouping="1"/>
  </bookViews>
  <sheets>
    <sheet xmlns:r="http://schemas.openxmlformats.org/officeDocument/2006/relationships" name="Ba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(* #,##0.0_);_(* \(#,##0.0\);_(* &quot;-&quot;??_);_(@_)"/>
    <numFmt numFmtId="166" formatCode="0.0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A7D00"/>
      <sz val="16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  <font>
      <b val="1"/>
      <color rgb="00FFFFFF"/>
      <sz val="11"/>
    </font>
    <font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000F1D36"/>
        <bgColor rgb="000F1D36"/>
      </patternFill>
    </fill>
    <fill>
      <patternFill patternType="solid">
        <fgColor rgb="001B2A4A"/>
        <bgColor rgb="001B2A4A"/>
      </patternFill>
    </fill>
    <fill>
      <patternFill patternType="solid">
        <fgColor rgb="002C3E50"/>
        <bgColor rgb="002C3E50"/>
      </patternFill>
    </fill>
    <fill>
      <patternFill patternType="solid">
        <fgColor rgb="001B4332"/>
        <bgColor rgb="001B4332"/>
      </patternFill>
    </fill>
    <fill>
      <patternFill patternType="solid">
        <fgColor rgb="006B2C3E"/>
        <bgColor rgb="006B2C3E"/>
      </patternFill>
    </fill>
    <fill>
      <patternFill patternType="solid">
        <fgColor rgb="00E8EDF2"/>
        <bgColor rgb="00E8EDF2"/>
      </patternFill>
    </fill>
    <fill>
      <patternFill patternType="solid">
        <fgColor rgb="00E7F0E5"/>
        <bgColor rgb="00E7F0E5"/>
      </patternFill>
    </fill>
    <fill>
      <patternFill patternType="solid">
        <fgColor rgb="00FDF2E9"/>
        <bgColor rgb="00FDF2E9"/>
      </patternFill>
    </fill>
    <fill>
      <patternFill patternType="solid">
        <fgColor rgb="00F0E6EF"/>
        <bgColor rgb="00F0E6EF"/>
      </patternFill>
    </fill>
    <fill>
      <patternFill patternType="solid">
        <fgColor rgb="00E5ECF0"/>
        <bgColor rgb="00E5ECF0"/>
      </patternFill>
    </fill>
    <fill>
      <patternFill patternType="solid">
        <fgColor rgb="00F5EADF"/>
        <bgColor rgb="00F5EADF"/>
      </patternFill>
    </fill>
    <fill>
      <patternFill patternType="solid">
        <fgColor rgb="00E6EDE8"/>
        <bgColor rgb="00E6EDE8"/>
      </patternFill>
    </fill>
  </fills>
  <borders count="3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000F1D36"/>
      </left>
      <right style="thin">
        <color rgb="000F1D36"/>
      </right>
      <top style="thin">
        <color rgb="000F1D36"/>
      </top>
      <bottom style="thin">
        <color rgb="000F1D36"/>
      </bottom>
    </border>
    <border>
      <left style="thin">
        <color rgb="001B2A4A"/>
      </left>
      <right style="thin">
        <color rgb="001B2A4A"/>
      </right>
      <top style="thin">
        <color rgb="001B2A4A"/>
      </top>
      <bottom style="medium">
        <color rgb="001B2A4A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0F1D36"/>
      </right>
      <top style="thin">
        <color rgb="000F1D36"/>
      </top>
      <bottom style="thin">
        <color rgb="000F1D36"/>
      </bottom>
    </border>
    <border>
      <left style="medium">
        <color rgb="001B2A4A"/>
      </left>
      <right style="thin">
        <color rgb="001B2A4A"/>
      </right>
      <top style="thin">
        <color rgb="001B2A4A"/>
      </top>
      <bottom style="medium">
        <color rgb="001B2A4A"/>
      </bottom>
    </border>
    <border>
      <left style="medium">
        <color rgb="001B2A4A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0F1D36"/>
      </right>
      <top style="medium">
        <color rgb="001B2A4A"/>
      </top>
      <bottom style="thin">
        <color rgb="000F1D36"/>
      </bottom>
    </border>
    <border>
      <left/>
      <right/>
      <top style="medium">
        <color rgb="001B2A4A"/>
      </top>
      <bottom style="double">
        <color rgb="FFFF8001"/>
      </bottom>
    </border>
    <border>
      <left/>
      <right/>
      <top style="medium">
        <color rgb="001B2A4A"/>
      </top>
      <bottom/>
    </border>
    <border>
      <left/>
      <right style="medium">
        <color rgb="001B2A4A"/>
      </right>
      <top style="medium">
        <color rgb="001B2A4A"/>
      </top>
      <bottom/>
    </border>
    <border>
      <left style="thin">
        <color rgb="001B2A4A"/>
      </left>
      <right style="medium">
        <color rgb="001B2A4A"/>
      </right>
      <top style="thin">
        <color rgb="001B2A4A"/>
      </top>
      <bottom style="medium">
        <color rgb="001B2A4A"/>
      </bottom>
    </border>
    <border>
      <left style="thin">
        <color rgb="00D9D9D9"/>
      </left>
      <right style="medium">
        <color rgb="001B2A4A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D9D9D9"/>
      </right>
      <top style="thin">
        <color rgb="00D9D9D9"/>
      </top>
      <bottom style="medium">
        <color rgb="001B2A4A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2A4A"/>
      </bottom>
    </border>
    <border>
      <left style="thin">
        <color rgb="00D9D9D9"/>
      </left>
      <right style="medium">
        <color rgb="001B2A4A"/>
      </right>
      <top style="thin">
        <color rgb="00D9D9D9"/>
      </top>
      <bottom style="medium">
        <color rgb="001B2A4A"/>
      </bottom>
    </border>
  </borders>
  <cellStyleXfs count="11">
    <xf numFmtId="0" fontId="1" fillId="0" borderId="0"/>
    <xf numFmtId="43" fontId="1" fillId="0" borderId="0"/>
    <xf numFmtId="0" fontId="2" fillId="2" borderId="0"/>
    <xf numFmtId="0" fontId="3" fillId="3" borderId="0"/>
    <xf numFmtId="0" fontId="4" fillId="4" borderId="0"/>
    <xf numFmtId="0" fontId="5" fillId="0" borderId="1"/>
    <xf numFmtId="0" fontId="1" fillId="5" borderId="0"/>
    <xf numFmtId="0" fontId="1" fillId="6" borderId="0"/>
    <xf numFmtId="0" fontId="1" fillId="7" borderId="0"/>
    <xf numFmtId="0" fontId="1" fillId="8" borderId="0"/>
    <xf numFmtId="0" fontId="1" fillId="9" borderId="0"/>
  </cellStyleXfs>
  <cellXfs count="215">
    <xf numFmtId="0" fontId="0" fillId="0" borderId="0" pivotButton="0" quotePrefix="0" xfId="0"/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43" fontId="6" fillId="0" borderId="3" applyAlignment="1" pivotButton="0" quotePrefix="0" xfId="1">
      <alignment horizontal="center" vertical="center"/>
    </xf>
    <xf numFmtId="43" fontId="6" fillId="0" borderId="4" applyAlignment="1" pivotButton="0" quotePrefix="0" xfId="1">
      <alignment horizontal="center" vertical="center"/>
    </xf>
    <xf numFmtId="0" fontId="6" fillId="0" borderId="5" applyAlignment="1" pivotButton="0" quotePrefix="0" xfId="0">
      <alignment horizontal="center" vertical="center"/>
    </xf>
    <xf numFmtId="43" fontId="0" fillId="0" borderId="6" pivotButton="0" quotePrefix="0" xfId="1"/>
    <xf numFmtId="43" fontId="8" fillId="10" borderId="7" pivotButton="0" quotePrefix="0" xfId="1"/>
    <xf numFmtId="43" fontId="8" fillId="10" borderId="6" pivotButton="0" quotePrefix="0" xfId="1"/>
    <xf numFmtId="14" fontId="8" fillId="10" borderId="12" pivotButton="0" quotePrefix="0" xfId="4"/>
    <xf numFmtId="0" fontId="8" fillId="10" borderId="0" pivotButton="0" quotePrefix="0" xfId="4"/>
    <xf numFmtId="43" fontId="8" fillId="10" borderId="0" pivotButton="0" quotePrefix="0" xfId="4"/>
    <xf numFmtId="43" fontId="8" fillId="10" borderId="13" pivotButton="0" quotePrefix="0" xfId="4"/>
    <xf numFmtId="14" fontId="8" fillId="10" borderId="12" pivotButton="0" quotePrefix="0" xfId="0"/>
    <xf numFmtId="0" fontId="8" fillId="10" borderId="0" pivotButton="0" quotePrefix="0" xfId="0"/>
    <xf numFmtId="43" fontId="8" fillId="10" borderId="0" pivotButton="0" quotePrefix="0" xfId="1"/>
    <xf numFmtId="43" fontId="8" fillId="10" borderId="13" pivotButton="0" quotePrefix="0" xfId="1"/>
    <xf numFmtId="14" fontId="0" fillId="10" borderId="12" pivotButton="0" quotePrefix="0" xfId="0"/>
    <xf numFmtId="43" fontId="0" fillId="10" borderId="0" pivotButton="0" quotePrefix="0" xfId="1"/>
    <xf numFmtId="14" fontId="0" fillId="0" borderId="12" pivotButton="0" quotePrefix="0" xfId="0"/>
    <xf numFmtId="43" fontId="0" fillId="0" borderId="0" pivotButton="0" quotePrefix="0" xfId="1"/>
    <xf numFmtId="43" fontId="0" fillId="0" borderId="13" pivotButton="0" quotePrefix="0" xfId="1"/>
    <xf numFmtId="14" fontId="8" fillId="10" borderId="12" pivotButton="0" quotePrefix="0" xfId="2"/>
    <xf numFmtId="0" fontId="8" fillId="10" borderId="0" pivotButton="0" quotePrefix="0" xfId="2"/>
    <xf numFmtId="43" fontId="8" fillId="10" borderId="0" pivotButton="0" quotePrefix="0" xfId="2"/>
    <xf numFmtId="43" fontId="8" fillId="10" borderId="13" pivotButton="0" quotePrefix="0" xfId="2"/>
    <xf numFmtId="14" fontId="8" fillId="10" borderId="12" pivotButton="0" quotePrefix="0" xfId="3"/>
    <xf numFmtId="0" fontId="8" fillId="10" borderId="0" pivotButton="0" quotePrefix="0" xfId="3"/>
    <xf numFmtId="43" fontId="8" fillId="10" borderId="0" pivotButton="0" quotePrefix="0" xfId="3"/>
    <xf numFmtId="43" fontId="8" fillId="10" borderId="13" pivotButton="0" quotePrefix="0" xfId="3"/>
    <xf numFmtId="43" fontId="0" fillId="0" borderId="15" pivotButton="0" quotePrefix="0" xfId="1"/>
    <xf numFmtId="43" fontId="0" fillId="0" borderId="16" pivotButton="0" quotePrefix="0" xfId="1"/>
    <xf numFmtId="43" fontId="8" fillId="10" borderId="16" pivotButton="0" quotePrefix="0" xfId="1"/>
    <xf numFmtId="43" fontId="8" fillId="10" borderId="15" pivotButton="0" quotePrefix="0" xfId="1"/>
    <xf numFmtId="43" fontId="8" fillId="10" borderId="17" pivotButton="0" quotePrefix="0" xfId="1"/>
    <xf numFmtId="14" fontId="4" fillId="4" borderId="0" pivotButton="0" quotePrefix="0" xfId="4"/>
    <xf numFmtId="0" fontId="1" fillId="5" borderId="0" pivotButton="0" quotePrefix="0" xfId="6"/>
    <xf numFmtId="14" fontId="1" fillId="5" borderId="0" pivotButton="0" quotePrefix="0" xfId="6"/>
    <xf numFmtId="0" fontId="1" fillId="5" borderId="15" pivotButton="0" quotePrefix="0" xfId="6"/>
    <xf numFmtId="14" fontId="8" fillId="10" borderId="14" pivotButton="0" quotePrefix="0" xfId="4"/>
    <xf numFmtId="0" fontId="8" fillId="10" borderId="15" pivotButton="0" quotePrefix="0" xfId="4"/>
    <xf numFmtId="43" fontId="8" fillId="10" borderId="15" pivotButton="0" quotePrefix="0" xfId="4"/>
    <xf numFmtId="43" fontId="8" fillId="10" borderId="17" pivotButton="0" quotePrefix="0" xfId="4"/>
    <xf numFmtId="14" fontId="8" fillId="10" borderId="0" pivotButton="0" quotePrefix="0" xfId="6"/>
    <xf numFmtId="0" fontId="8" fillId="10" borderId="0" pivotButton="0" quotePrefix="0" xfId="6"/>
    <xf numFmtId="14" fontId="8" fillId="10" borderId="0" pivotButton="0" quotePrefix="0" xfId="3"/>
    <xf numFmtId="14" fontId="8" fillId="10" borderId="0" pivotButton="0" quotePrefix="0" xfId="2"/>
    <xf numFmtId="14" fontId="8" fillId="10" borderId="0" pivotButton="0" quotePrefix="0" xfId="4"/>
    <xf numFmtId="0" fontId="1" fillId="8" borderId="0" pivotButton="0" quotePrefix="0" xfId="9"/>
    <xf numFmtId="0" fontId="1" fillId="7" borderId="0" pivotButton="0" quotePrefix="0" xfId="8"/>
    <xf numFmtId="0" fontId="1" fillId="9" borderId="0" pivotButton="0" quotePrefix="0" xfId="10"/>
    <xf numFmtId="0" fontId="8" fillId="10" borderId="18" pivotButton="0" quotePrefix="0" xfId="4"/>
    <xf numFmtId="43" fontId="8" fillId="10" borderId="10" pivotButton="0" quotePrefix="0" xfId="4"/>
    <xf numFmtId="43" fontId="0" fillId="0" borderId="7" pivotButton="0" quotePrefix="0" xfId="1"/>
    <xf numFmtId="43" fontId="8" fillId="10" borderId="11" pivotButton="0" quotePrefix="0" xfId="4"/>
    <xf numFmtId="0" fontId="8" fillId="10" borderId="12" pivotButton="0" quotePrefix="0" xfId="4"/>
    <xf numFmtId="0" fontId="8" fillId="10" borderId="14" pivotButton="0" quotePrefix="0" xfId="4"/>
    <xf numFmtId="43" fontId="6" fillId="0" borderId="15" applyAlignment="1" pivotButton="0" quotePrefix="0" xfId="1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8" fillId="10" borderId="12" pivotButton="0" quotePrefix="0" xfId="9"/>
    <xf numFmtId="0" fontId="8" fillId="10" borderId="14" pivotButton="0" quotePrefix="0" xfId="9"/>
    <xf numFmtId="164" fontId="8" fillId="10" borderId="10" pivotButton="0" quotePrefix="0" xfId="4"/>
    <xf numFmtId="164" fontId="8" fillId="10" borderId="0" pivotButton="0" quotePrefix="0" xfId="1"/>
    <xf numFmtId="164" fontId="0" fillId="10" borderId="0" pivotButton="0" quotePrefix="0" xfId="1"/>
    <xf numFmtId="164" fontId="0" fillId="0" borderId="0" pivotButton="0" quotePrefix="0" xfId="1"/>
    <xf numFmtId="164" fontId="8" fillId="10" borderId="0" pivotButton="0" quotePrefix="0" xfId="2"/>
    <xf numFmtId="164" fontId="8" fillId="10" borderId="0" pivotButton="0" quotePrefix="0" xfId="4"/>
    <xf numFmtId="164" fontId="0" fillId="0" borderId="15" pivotButton="0" quotePrefix="0" xfId="1"/>
    <xf numFmtId="164" fontId="8" fillId="10" borderId="15" pivotButton="0" quotePrefix="0" xfId="1"/>
    <xf numFmtId="164" fontId="8" fillId="10" borderId="0" pivotButton="0" quotePrefix="0" xfId="3"/>
    <xf numFmtId="0" fontId="9" fillId="10" borderId="0" pivotButton="0" quotePrefix="0" xfId="8"/>
    <xf numFmtId="0" fontId="9" fillId="10" borderId="0" pivotButton="0" quotePrefix="0" xfId="10"/>
    <xf numFmtId="0" fontId="9" fillId="10" borderId="0" pivotButton="0" quotePrefix="0" xfId="6"/>
    <xf numFmtId="0" fontId="9" fillId="10" borderId="15" pivotButton="0" quotePrefix="0" xfId="6"/>
    <xf numFmtId="0" fontId="9" fillId="10" borderId="0" pivotButton="0" quotePrefix="0" xfId="0"/>
    <xf numFmtId="165" fontId="0" fillId="0" borderId="6" pivotButton="0" quotePrefix="0" xfId="1"/>
    <xf numFmtId="165" fontId="0" fillId="0" borderId="0" pivotButton="0" quotePrefix="0" xfId="1"/>
    <xf numFmtId="165" fontId="8" fillId="10" borderId="6" pivotButton="0" quotePrefix="0" xfId="1"/>
    <xf numFmtId="165" fontId="8" fillId="10" borderId="0" pivotButton="0" quotePrefix="0" xfId="1"/>
    <xf numFmtId="165" fontId="8" fillId="10" borderId="13" pivotButton="0" quotePrefix="0" xfId="1"/>
    <xf numFmtId="14" fontId="1" fillId="6" borderId="0" pivotButton="0" quotePrefix="0" xfId="7"/>
    <xf numFmtId="14" fontId="1" fillId="8" borderId="0" pivotButton="0" quotePrefix="0" xfId="9"/>
    <xf numFmtId="165" fontId="6" fillId="0" borderId="3" applyAlignment="1" pivotButton="0" quotePrefix="0" xfId="1">
      <alignment horizontal="center" vertical="center"/>
    </xf>
    <xf numFmtId="14" fontId="0" fillId="0" borderId="0" pivotButton="0" quotePrefix="0" xfId="0"/>
    <xf numFmtId="0" fontId="7" fillId="0" borderId="8" applyAlignment="1" pivotButton="0" quotePrefix="0" xfId="5">
      <alignment horizontal="center" vertical="center"/>
    </xf>
    <xf numFmtId="0" fontId="7" fillId="0" borderId="9" applyAlignment="1" pivotButton="0" quotePrefix="0" xfId="5">
      <alignment horizontal="center" vertical="center"/>
    </xf>
    <xf numFmtId="43" fontId="1" fillId="5" borderId="10" applyAlignment="1" pivotButton="0" quotePrefix="0" xfId="1">
      <alignment horizontal="center" vertical="center"/>
    </xf>
    <xf numFmtId="43" fontId="1" fillId="8" borderId="10" applyAlignment="1" pivotButton="0" quotePrefix="0" xfId="1">
      <alignment horizontal="center" vertical="center"/>
    </xf>
    <xf numFmtId="0" fontId="1" fillId="6" borderId="10" applyAlignment="1" pivotButton="0" quotePrefix="0" xfId="7">
      <alignment horizontal="center" vertical="center"/>
    </xf>
    <xf numFmtId="0" fontId="1" fillId="6" borderId="11" applyAlignment="1" pivotButton="0" quotePrefix="0" xfId="7">
      <alignment horizontal="center" vertical="center"/>
    </xf>
    <xf numFmtId="0" fontId="7" fillId="0" borderId="2" applyAlignment="1" pivotButton="0" quotePrefix="0" xfId="5">
      <alignment horizontal="center" vertical="center"/>
    </xf>
    <xf numFmtId="0" fontId="7" fillId="0" borderId="3" applyAlignment="1" pivotButton="0" quotePrefix="0" xfId="5">
      <alignment horizontal="center" vertical="center"/>
    </xf>
    <xf numFmtId="0" fontId="11" fillId="13" borderId="25" applyAlignment="1" pivotButton="0" quotePrefix="0" xfId="5">
      <alignment horizontal="center" vertical="center"/>
    </xf>
    <xf numFmtId="0" fontId="0" fillId="13" borderId="26" pivotButton="0" quotePrefix="0" xfId="0"/>
    <xf numFmtId="43" fontId="11" fillId="14" borderId="25" applyAlignment="1" pivotButton="0" quotePrefix="0" xfId="1">
      <alignment horizontal="center" vertical="center"/>
    </xf>
    <xf numFmtId="0" fontId="0" fillId="14" borderId="27" pivotButton="0" quotePrefix="0" xfId="0"/>
    <xf numFmtId="43" fontId="11" fillId="12" borderId="25" applyAlignment="1" pivotButton="0" quotePrefix="0" xfId="1">
      <alignment horizontal="center" vertical="center"/>
    </xf>
    <xf numFmtId="0" fontId="0" fillId="12" borderId="27" pivotButton="0" quotePrefix="0" xfId="0"/>
    <xf numFmtId="0" fontId="11" fillId="15" borderId="25" applyAlignment="1" pivotButton="0" quotePrefix="0" xfId="7">
      <alignment horizontal="center" vertical="center"/>
    </xf>
    <xf numFmtId="0" fontId="0" fillId="15" borderId="27" pivotButton="0" quotePrefix="0" xfId="0"/>
    <xf numFmtId="0" fontId="0" fillId="15" borderId="28" pivotButton="0" quotePrefix="0" xfId="0"/>
    <xf numFmtId="0" fontId="12" fillId="13" borderId="23" applyAlignment="1" pivotButton="0" quotePrefix="0" xfId="0">
      <alignment horizontal="center" vertical="center"/>
    </xf>
    <xf numFmtId="0" fontId="12" fillId="13" borderId="20" applyAlignment="1" pivotButton="0" quotePrefix="0" xfId="0">
      <alignment horizontal="center" vertical="center"/>
    </xf>
    <xf numFmtId="43" fontId="12" fillId="13" borderId="20" applyAlignment="1" pivotButton="0" quotePrefix="0" xfId="1">
      <alignment horizontal="center" vertical="center"/>
    </xf>
    <xf numFmtId="43" fontId="12" fillId="14" borderId="23" applyAlignment="1" pivotButton="0" quotePrefix="0" xfId="1">
      <alignment horizontal="center" vertical="center"/>
    </xf>
    <xf numFmtId="43" fontId="12" fillId="14" borderId="20" applyAlignment="1" pivotButton="0" quotePrefix="0" xfId="1">
      <alignment horizontal="center" vertical="center"/>
    </xf>
    <xf numFmtId="165" fontId="12" fillId="14" borderId="20" applyAlignment="1" pivotButton="0" quotePrefix="0" xfId="1">
      <alignment horizontal="center" vertical="center"/>
    </xf>
    <xf numFmtId="43" fontId="12" fillId="12" borderId="23" applyAlignment="1" pivotButton="0" quotePrefix="0" xfId="1">
      <alignment horizontal="center" vertical="center"/>
    </xf>
    <xf numFmtId="43" fontId="12" fillId="12" borderId="20" applyAlignment="1" pivotButton="0" quotePrefix="0" xfId="1">
      <alignment horizontal="center" vertical="center"/>
    </xf>
    <xf numFmtId="43" fontId="12" fillId="15" borderId="23" applyAlignment="1" pivotButton="0" quotePrefix="0" xfId="1">
      <alignment horizontal="center" vertical="center"/>
    </xf>
    <xf numFmtId="0" fontId="12" fillId="15" borderId="20" applyAlignment="1" pivotButton="0" quotePrefix="0" xfId="0">
      <alignment horizontal="center" vertical="center"/>
    </xf>
    <xf numFmtId="0" fontId="12" fillId="15" borderId="29" applyAlignment="1" pivotButton="0" quotePrefix="0" xfId="0">
      <alignment horizontal="center" vertical="center"/>
    </xf>
    <xf numFmtId="14" fontId="0" fillId="16" borderId="24" pivotButton="0" quotePrefix="0" xfId="0"/>
    <xf numFmtId="14" fontId="1" fillId="16" borderId="21" applyAlignment="1" pivotButton="0" quotePrefix="0" xfId="7">
      <alignment horizontal="left"/>
    </xf>
    <xf numFmtId="0" fontId="0" fillId="16" borderId="21" applyAlignment="1" pivotButton="0" quotePrefix="0" xfId="0">
      <alignment horizontal="left"/>
    </xf>
    <xf numFmtId="2" fontId="0" fillId="16" borderId="21" applyAlignment="1" pivotButton="0" quotePrefix="0" xfId="1">
      <alignment horizontal="right"/>
    </xf>
    <xf numFmtId="2" fontId="0" fillId="16" borderId="24" applyAlignment="1" pivotButton="0" quotePrefix="0" xfId="1">
      <alignment horizontal="right"/>
    </xf>
    <xf numFmtId="3" fontId="0" fillId="16" borderId="21" applyAlignment="1" pivotButton="0" quotePrefix="0" xfId="1">
      <alignment horizontal="right"/>
    </xf>
    <xf numFmtId="166" fontId="0" fillId="16" borderId="21" applyAlignment="1" pivotButton="0" quotePrefix="0" xfId="1">
      <alignment horizontal="right"/>
    </xf>
    <xf numFmtId="2" fontId="8" fillId="16" borderId="24" applyAlignment="1" pivotButton="0" quotePrefix="0" xfId="1">
      <alignment horizontal="right"/>
    </xf>
    <xf numFmtId="3" fontId="8" fillId="16" borderId="21" applyAlignment="1" pivotButton="0" quotePrefix="0" xfId="1">
      <alignment horizontal="right"/>
    </xf>
    <xf numFmtId="166" fontId="8" fillId="16" borderId="21" applyAlignment="1" pivotButton="0" quotePrefix="0" xfId="1">
      <alignment horizontal="right"/>
    </xf>
    <xf numFmtId="2" fontId="8" fillId="16" borderId="21" applyAlignment="1" pivotButton="0" quotePrefix="0" xfId="1">
      <alignment horizontal="right"/>
    </xf>
    <xf numFmtId="2" fontId="8" fillId="16" borderId="30" applyAlignment="1" pivotButton="0" quotePrefix="0" xfId="1">
      <alignment horizontal="right"/>
    </xf>
    <xf numFmtId="166" fontId="0" fillId="16" borderId="21" applyAlignment="1" pivotButton="0" quotePrefix="0" xfId="1">
      <alignment horizontal="left"/>
    </xf>
    <xf numFmtId="166" fontId="8" fillId="16" borderId="21" applyAlignment="1" pivotButton="0" quotePrefix="0" xfId="1">
      <alignment horizontal="left"/>
    </xf>
    <xf numFmtId="14" fontId="0" fillId="17" borderId="24" pivotButton="0" quotePrefix="0" xfId="0"/>
    <xf numFmtId="14" fontId="1" fillId="17" borderId="21" applyAlignment="1" pivotButton="0" quotePrefix="0" xfId="7">
      <alignment horizontal="left"/>
    </xf>
    <xf numFmtId="0" fontId="0" fillId="17" borderId="21" applyAlignment="1" pivotButton="0" quotePrefix="0" xfId="0">
      <alignment horizontal="left"/>
    </xf>
    <xf numFmtId="2" fontId="0" fillId="17" borderId="21" applyAlignment="1" pivotButton="0" quotePrefix="0" xfId="1">
      <alignment horizontal="right"/>
    </xf>
    <xf numFmtId="2" fontId="0" fillId="17" borderId="24" applyAlignment="1" pivotButton="0" quotePrefix="0" xfId="1">
      <alignment horizontal="right"/>
    </xf>
    <xf numFmtId="3" fontId="0" fillId="17" borderId="21" applyAlignment="1" pivotButton="0" quotePrefix="0" xfId="1">
      <alignment horizontal="right"/>
    </xf>
    <xf numFmtId="166" fontId="0" fillId="17" borderId="21" applyAlignment="1" pivotButton="0" quotePrefix="0" xfId="1">
      <alignment horizontal="right"/>
    </xf>
    <xf numFmtId="2" fontId="8" fillId="17" borderId="24" applyAlignment="1" pivotButton="0" quotePrefix="0" xfId="1">
      <alignment horizontal="right"/>
    </xf>
    <xf numFmtId="3" fontId="8" fillId="17" borderId="21" applyAlignment="1" pivotButton="0" quotePrefix="0" xfId="1">
      <alignment horizontal="right"/>
    </xf>
    <xf numFmtId="166" fontId="8" fillId="17" borderId="21" applyAlignment="1" pivotButton="0" quotePrefix="0" xfId="1">
      <alignment horizontal="right"/>
    </xf>
    <xf numFmtId="2" fontId="8" fillId="17" borderId="21" applyAlignment="1" pivotButton="0" quotePrefix="0" xfId="1">
      <alignment horizontal="right"/>
    </xf>
    <xf numFmtId="2" fontId="8" fillId="17" borderId="30" applyAlignment="1" pivotButton="0" quotePrefix="0" xfId="1">
      <alignment horizontal="right"/>
    </xf>
    <xf numFmtId="14" fontId="0" fillId="18" borderId="24" pivotButton="0" quotePrefix="0" xfId="0"/>
    <xf numFmtId="14" fontId="1" fillId="18" borderId="21" applyAlignment="1" pivotButton="0" quotePrefix="0" xfId="7">
      <alignment horizontal="left"/>
    </xf>
    <xf numFmtId="0" fontId="0" fillId="18" borderId="21" applyAlignment="1" pivotButton="0" quotePrefix="0" xfId="0">
      <alignment horizontal="left"/>
    </xf>
    <xf numFmtId="2" fontId="0" fillId="18" borderId="21" applyAlignment="1" pivotButton="0" quotePrefix="0" xfId="1">
      <alignment horizontal="right"/>
    </xf>
    <xf numFmtId="2" fontId="0" fillId="18" borderId="24" applyAlignment="1" pivotButton="0" quotePrefix="0" xfId="1">
      <alignment horizontal="right"/>
    </xf>
    <xf numFmtId="3" fontId="0" fillId="18" borderId="21" applyAlignment="1" pivotButton="0" quotePrefix="0" xfId="1">
      <alignment horizontal="right"/>
    </xf>
    <xf numFmtId="166" fontId="0" fillId="18" borderId="21" applyAlignment="1" pivotButton="0" quotePrefix="0" xfId="1">
      <alignment horizontal="right"/>
    </xf>
    <xf numFmtId="2" fontId="8" fillId="18" borderId="24" applyAlignment="1" pivotButton="0" quotePrefix="0" xfId="1">
      <alignment horizontal="right"/>
    </xf>
    <xf numFmtId="3" fontId="8" fillId="18" borderId="21" applyAlignment="1" pivotButton="0" quotePrefix="0" xfId="1">
      <alignment horizontal="right"/>
    </xf>
    <xf numFmtId="166" fontId="8" fillId="18" borderId="21" applyAlignment="1" pivotButton="0" quotePrefix="0" xfId="1">
      <alignment horizontal="right"/>
    </xf>
    <xf numFmtId="2" fontId="8" fillId="18" borderId="21" applyAlignment="1" pivotButton="0" quotePrefix="0" xfId="1">
      <alignment horizontal="right"/>
    </xf>
    <xf numFmtId="2" fontId="8" fillId="18" borderId="30" applyAlignment="1" pivotButton="0" quotePrefix="0" xfId="1">
      <alignment horizontal="right"/>
    </xf>
    <xf numFmtId="14" fontId="1" fillId="18" borderId="21" applyAlignment="1" pivotButton="0" quotePrefix="0" xfId="9">
      <alignment horizontal="left"/>
    </xf>
    <xf numFmtId="14" fontId="0" fillId="19" borderId="24" pivotButton="0" quotePrefix="0" xfId="0"/>
    <xf numFmtId="14" fontId="1" fillId="19" borderId="21" applyAlignment="1" pivotButton="0" quotePrefix="0" xfId="9">
      <alignment horizontal="left"/>
    </xf>
    <xf numFmtId="0" fontId="0" fillId="19" borderId="21" applyAlignment="1" pivotButton="0" quotePrefix="0" xfId="0">
      <alignment horizontal="left"/>
    </xf>
    <xf numFmtId="2" fontId="0" fillId="19" borderId="21" applyAlignment="1" pivotButton="0" quotePrefix="0" xfId="1">
      <alignment horizontal="right"/>
    </xf>
    <xf numFmtId="2" fontId="0" fillId="19" borderId="24" applyAlignment="1" pivotButton="0" quotePrefix="0" xfId="1">
      <alignment horizontal="right"/>
    </xf>
    <xf numFmtId="3" fontId="0" fillId="19" borderId="21" applyAlignment="1" pivotButton="0" quotePrefix="0" xfId="1">
      <alignment horizontal="right"/>
    </xf>
    <xf numFmtId="166" fontId="0" fillId="19" borderId="21" applyAlignment="1" pivotButton="0" quotePrefix="0" xfId="1">
      <alignment horizontal="right"/>
    </xf>
    <xf numFmtId="2" fontId="8" fillId="19" borderId="24" applyAlignment="1" pivotButton="0" quotePrefix="0" xfId="1">
      <alignment horizontal="right"/>
    </xf>
    <xf numFmtId="3" fontId="8" fillId="19" borderId="21" applyAlignment="1" pivotButton="0" quotePrefix="0" xfId="1">
      <alignment horizontal="right"/>
    </xf>
    <xf numFmtId="166" fontId="8" fillId="19" borderId="21" applyAlignment="1" pivotButton="0" quotePrefix="0" xfId="1">
      <alignment horizontal="right"/>
    </xf>
    <xf numFmtId="2" fontId="8" fillId="19" borderId="21" applyAlignment="1" pivotButton="0" quotePrefix="0" xfId="1">
      <alignment horizontal="right"/>
    </xf>
    <xf numFmtId="2" fontId="8" fillId="19" borderId="30" applyAlignment="1" pivotButton="0" quotePrefix="0" xfId="1">
      <alignment horizontal="right"/>
    </xf>
    <xf numFmtId="14" fontId="1" fillId="19" borderId="21" applyAlignment="1" pivotButton="0" quotePrefix="0" xfId="6">
      <alignment horizontal="left"/>
    </xf>
    <xf numFmtId="14" fontId="0" fillId="20" borderId="24" pivotButton="0" quotePrefix="0" xfId="0"/>
    <xf numFmtId="14" fontId="1" fillId="20" borderId="21" applyAlignment="1" pivotButton="0" quotePrefix="0" xfId="6">
      <alignment horizontal="left"/>
    </xf>
    <xf numFmtId="0" fontId="0" fillId="20" borderId="21" applyAlignment="1" pivotButton="0" quotePrefix="0" xfId="0">
      <alignment horizontal="left"/>
    </xf>
    <xf numFmtId="2" fontId="0" fillId="20" borderId="21" applyAlignment="1" pivotButton="0" quotePrefix="0" xfId="1">
      <alignment horizontal="right"/>
    </xf>
    <xf numFmtId="2" fontId="0" fillId="20" borderId="24" applyAlignment="1" pivotButton="0" quotePrefix="0" xfId="1">
      <alignment horizontal="right"/>
    </xf>
    <xf numFmtId="3" fontId="0" fillId="20" borderId="21" applyAlignment="1" pivotButton="0" quotePrefix="0" xfId="1">
      <alignment horizontal="right"/>
    </xf>
    <xf numFmtId="166" fontId="0" fillId="20" borderId="21" applyAlignment="1" pivotButton="0" quotePrefix="0" xfId="1">
      <alignment horizontal="right"/>
    </xf>
    <xf numFmtId="2" fontId="8" fillId="20" borderId="24" applyAlignment="1" pivotButton="0" quotePrefix="0" xfId="1">
      <alignment horizontal="right"/>
    </xf>
    <xf numFmtId="3" fontId="8" fillId="20" borderId="21" applyAlignment="1" pivotButton="0" quotePrefix="0" xfId="1">
      <alignment horizontal="right"/>
    </xf>
    <xf numFmtId="166" fontId="8" fillId="20" borderId="21" applyAlignment="1" pivotButton="0" quotePrefix="0" xfId="1">
      <alignment horizontal="right"/>
    </xf>
    <xf numFmtId="2" fontId="8" fillId="20" borderId="21" applyAlignment="1" pivotButton="0" quotePrefix="0" xfId="1">
      <alignment horizontal="right"/>
    </xf>
    <xf numFmtId="2" fontId="8" fillId="20" borderId="30" applyAlignment="1" pivotButton="0" quotePrefix="0" xfId="1">
      <alignment horizontal="right"/>
    </xf>
    <xf numFmtId="2" fontId="0" fillId="20" borderId="21" applyAlignment="1" pivotButton="0" quotePrefix="0" xfId="0">
      <alignment horizontal="right"/>
    </xf>
    <xf numFmtId="2" fontId="0" fillId="20" borderId="24" applyAlignment="1" pivotButton="0" quotePrefix="0" xfId="0">
      <alignment horizontal="right"/>
    </xf>
    <xf numFmtId="3" fontId="0" fillId="20" borderId="21" applyAlignment="1" pivotButton="0" quotePrefix="0" xfId="0">
      <alignment horizontal="right"/>
    </xf>
    <xf numFmtId="166" fontId="0" fillId="20" borderId="21" applyAlignment="1" pivotButton="0" quotePrefix="0" xfId="0">
      <alignment horizontal="right"/>
    </xf>
    <xf numFmtId="14" fontId="0" fillId="21" borderId="24" pivotButton="0" quotePrefix="0" xfId="0"/>
    <xf numFmtId="0" fontId="0" fillId="21" borderId="21" applyAlignment="1" pivotButton="0" quotePrefix="0" xfId="0">
      <alignment horizontal="left"/>
    </xf>
    <xf numFmtId="2" fontId="0" fillId="21" borderId="21" applyAlignment="1" pivotButton="0" quotePrefix="0" xfId="0">
      <alignment horizontal="right"/>
    </xf>
    <xf numFmtId="2" fontId="0" fillId="21" borderId="24" applyAlignment="1" pivotButton="0" quotePrefix="0" xfId="0">
      <alignment horizontal="right"/>
    </xf>
    <xf numFmtId="3" fontId="0" fillId="21" borderId="21" applyAlignment="1" pivotButton="0" quotePrefix="0" xfId="0">
      <alignment horizontal="right"/>
    </xf>
    <xf numFmtId="166" fontId="0" fillId="21" borderId="21" applyAlignment="1" pivotButton="0" quotePrefix="0" xfId="0">
      <alignment horizontal="right"/>
    </xf>
    <xf numFmtId="2" fontId="8" fillId="21" borderId="24" applyAlignment="1" pivotButton="0" quotePrefix="0" xfId="1">
      <alignment horizontal="right"/>
    </xf>
    <xf numFmtId="3" fontId="8" fillId="21" borderId="21" applyAlignment="1" pivotButton="0" quotePrefix="0" xfId="1">
      <alignment horizontal="right"/>
    </xf>
    <xf numFmtId="166" fontId="8" fillId="21" borderId="21" applyAlignment="1" pivotButton="0" quotePrefix="0" xfId="1">
      <alignment horizontal="right"/>
    </xf>
    <xf numFmtId="2" fontId="8" fillId="21" borderId="21" applyAlignment="1" pivotButton="0" quotePrefix="0" xfId="1">
      <alignment horizontal="right"/>
    </xf>
    <xf numFmtId="2" fontId="8" fillId="21" borderId="30" applyAlignment="1" pivotButton="0" quotePrefix="0" xfId="1">
      <alignment horizontal="right"/>
    </xf>
    <xf numFmtId="14" fontId="0" fillId="22" borderId="24" pivotButton="0" quotePrefix="0" xfId="0"/>
    <xf numFmtId="0" fontId="0" fillId="22" borderId="21" applyAlignment="1" pivotButton="0" quotePrefix="0" xfId="0">
      <alignment horizontal="left"/>
    </xf>
    <xf numFmtId="2" fontId="0" fillId="22" borderId="21" applyAlignment="1" pivotButton="0" quotePrefix="0" xfId="0">
      <alignment horizontal="right"/>
    </xf>
    <xf numFmtId="2" fontId="0" fillId="22" borderId="24" applyAlignment="1" pivotButton="0" quotePrefix="0" xfId="0">
      <alignment horizontal="right"/>
    </xf>
    <xf numFmtId="3" fontId="0" fillId="22" borderId="21" applyAlignment="1" pivotButton="0" quotePrefix="0" xfId="0">
      <alignment horizontal="right"/>
    </xf>
    <xf numFmtId="166" fontId="0" fillId="22" borderId="21" applyAlignment="1" pivotButton="0" quotePrefix="0" xfId="0">
      <alignment horizontal="right"/>
    </xf>
    <xf numFmtId="2" fontId="8" fillId="22" borderId="24" applyAlignment="1" pivotButton="0" quotePrefix="0" xfId="1">
      <alignment horizontal="right"/>
    </xf>
    <xf numFmtId="3" fontId="8" fillId="22" borderId="21" applyAlignment="1" pivotButton="0" quotePrefix="0" xfId="1">
      <alignment horizontal="right"/>
    </xf>
    <xf numFmtId="166" fontId="8" fillId="22" borderId="21" applyAlignment="1" pivotButton="0" quotePrefix="0" xfId="1">
      <alignment horizontal="right"/>
    </xf>
    <xf numFmtId="2" fontId="8" fillId="22" borderId="21" applyAlignment="1" pivotButton="0" quotePrefix="0" xfId="1">
      <alignment horizontal="right"/>
    </xf>
    <xf numFmtId="2" fontId="8" fillId="22" borderId="30" applyAlignment="1" pivotButton="0" quotePrefix="0" xfId="1">
      <alignment horizontal="right"/>
    </xf>
    <xf numFmtId="166" fontId="0" fillId="22" borderId="21" applyAlignment="1" pivotButton="0" quotePrefix="0" xfId="0">
      <alignment horizontal="left"/>
    </xf>
    <xf numFmtId="166" fontId="8" fillId="22" borderId="21" applyAlignment="1" pivotButton="0" quotePrefix="0" xfId="1">
      <alignment horizontal="left"/>
    </xf>
    <xf numFmtId="14" fontId="0" fillId="22" borderId="31" pivotButton="0" quotePrefix="0" xfId="0"/>
    <xf numFmtId="0" fontId="0" fillId="22" borderId="32" applyAlignment="1" pivotButton="0" quotePrefix="0" xfId="0">
      <alignment horizontal="left"/>
    </xf>
    <xf numFmtId="2" fontId="0" fillId="22" borderId="32" applyAlignment="1" pivotButton="0" quotePrefix="0" xfId="0">
      <alignment horizontal="right"/>
    </xf>
    <xf numFmtId="2" fontId="0" fillId="22" borderId="31" applyAlignment="1" pivotButton="0" quotePrefix="0" xfId="0">
      <alignment horizontal="right"/>
    </xf>
    <xf numFmtId="3" fontId="0" fillId="22" borderId="32" applyAlignment="1" pivotButton="0" quotePrefix="0" xfId="0">
      <alignment horizontal="right"/>
    </xf>
    <xf numFmtId="166" fontId="0" fillId="22" borderId="32" applyAlignment="1" pivotButton="0" quotePrefix="0" xfId="0">
      <alignment horizontal="right"/>
    </xf>
    <xf numFmtId="2" fontId="8" fillId="22" borderId="31" applyAlignment="1" pivotButton="0" quotePrefix="0" xfId="1">
      <alignment horizontal="right"/>
    </xf>
    <xf numFmtId="3" fontId="8" fillId="22" borderId="32" applyAlignment="1" pivotButton="0" quotePrefix="0" xfId="1">
      <alignment horizontal="right"/>
    </xf>
    <xf numFmtId="166" fontId="8" fillId="22" borderId="32" applyAlignment="1" pivotButton="0" quotePrefix="0" xfId="1">
      <alignment horizontal="right"/>
    </xf>
    <xf numFmtId="2" fontId="8" fillId="22" borderId="32" applyAlignment="1" pivotButton="0" quotePrefix="0" xfId="1">
      <alignment horizontal="right"/>
    </xf>
    <xf numFmtId="2" fontId="8" fillId="22" borderId="33" applyAlignment="1" pivotButton="0" quotePrefix="0" xfId="1">
      <alignment horizontal="right"/>
    </xf>
  </cellXfs>
  <cellStyles count="11">
    <cellStyle name="Normal" xfId="0" builtinId="0"/>
    <cellStyle name="Comma" xfId="1" builtinId="3"/>
    <cellStyle name="Good" xfId="2" builtinId="26"/>
    <cellStyle name="Bad" xfId="3" builtinId="27"/>
    <cellStyle name="Neutral" xfId="4" builtinId="28"/>
    <cellStyle name="Linked Cell" xfId="5" builtinId="24"/>
    <cellStyle name="60% - Accent1" xfId="6" builtinId="32"/>
    <cellStyle name="40% - Accent2" xfId="7" builtinId="35"/>
    <cellStyle name="60% - Accent2" xfId="8" builtinId="36"/>
    <cellStyle name="40% - Accent4" xfId="9" builtinId="43"/>
    <cellStyle name="60% - Accent6" xfId="10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25"/>
  <sheetViews>
    <sheetView showGridLines="0" tabSelected="1" topLeftCell="A1" zoomScaleNormal="100" workbookViewId="0">
      <pane ySplit="3" topLeftCell="A4" activePane="bottomLeft" state="frozen"/>
      <selection pane="bottomLeft" activeCell="B4" sqref="B4:Z125"/>
    </sheetView>
  </sheetViews>
  <sheetFormatPr baseColWidth="8" defaultRowHeight="15"/>
  <cols>
    <col width="12.85546875" bestFit="1" customWidth="1" min="2" max="2"/>
    <col width="13" bestFit="1" customWidth="1" min="3" max="3"/>
    <col width="17" bestFit="1" customWidth="1" min="4" max="4"/>
    <col width="21" bestFit="1" customWidth="1" min="5" max="5"/>
    <col width="11" bestFit="1" customWidth="1" min="6" max="6"/>
    <col width="8" bestFit="1" customWidth="1" min="7" max="7"/>
    <col width="8" bestFit="1" customWidth="1" min="8" max="8"/>
    <col width="8" bestFit="1" customWidth="1" min="9" max="9"/>
    <col width="9" bestFit="1" customWidth="1" min="10" max="10"/>
    <col width="8" bestFit="1" customWidth="1" min="11" max="11"/>
    <col width="9" bestFit="1" customWidth="1" min="12" max="12"/>
    <col width="10" bestFit="1" customWidth="1" min="13" max="13"/>
    <col width="9" bestFit="1" customWidth="1" min="14" max="14"/>
    <col width="10" bestFit="1" customWidth="1" min="15" max="15"/>
    <col width="8" bestFit="1" customWidth="1" min="16" max="16"/>
    <col width="11" bestFit="1" customWidth="1" min="17" max="17"/>
    <col width="8" bestFit="1" customWidth="1" min="18" max="18"/>
    <col width="9" bestFit="1" customWidth="1" min="19" max="19"/>
    <col width="8" bestFit="1" customWidth="1" min="20" max="20"/>
    <col width="9" bestFit="1" customWidth="1" min="21" max="21"/>
    <col width="10" bestFit="1" customWidth="1" min="22" max="22"/>
    <col width="9" bestFit="1" customWidth="1" min="23" max="23"/>
    <col width="10" bestFit="1" customWidth="1" min="24" max="24"/>
    <col width="8" bestFit="1" customWidth="1" min="25" max="25"/>
    <col width="11" bestFit="1" customWidth="1" min="26" max="26"/>
    <col width="8" bestFit="1" customWidth="1" min="27" max="27"/>
    <col width="9" bestFit="1" customWidth="1" min="28" max="28"/>
    <col width="8" bestFit="1" customWidth="1" min="29" max="29"/>
    <col width="9" bestFit="1" customWidth="1" min="30" max="30"/>
    <col width="10" bestFit="1" customWidth="1" min="31" max="31"/>
    <col width="9" bestFit="1" customWidth="1" min="32" max="32"/>
    <col width="10" bestFit="1" customWidth="1" min="33" max="33"/>
    <col width="9" bestFit="1" customWidth="1" min="34" max="34"/>
    <col width="11" bestFit="1" customWidth="1" min="35" max="35"/>
  </cols>
  <sheetData>
    <row r="1" ht="15.75" customHeight="1" thickBot="1"/>
    <row r="2" ht="21.75" customHeight="1" thickBot="1">
      <c r="C2" s="92" t="inlineStr">
        <is>
          <t>Base</t>
        </is>
      </c>
      <c r="D2" s="93" t="n"/>
      <c r="E2" s="93" t="n"/>
      <c r="F2" s="93" t="n"/>
      <c r="G2" s="93" t="n"/>
      <c r="H2" s="93" t="n"/>
      <c r="I2" s="94" t="inlineStr">
        <is>
          <t>New</t>
        </is>
      </c>
      <c r="J2" s="95" t="n"/>
      <c r="K2" s="95" t="n"/>
      <c r="L2" s="95" t="n"/>
      <c r="M2" s="95" t="n"/>
      <c r="N2" s="95" t="n"/>
      <c r="O2" s="95" t="n"/>
      <c r="P2" s="95" t="n"/>
      <c r="Q2" s="95" t="n"/>
      <c r="R2" s="96" t="inlineStr">
        <is>
          <t>Prod</t>
        </is>
      </c>
      <c r="S2" s="97" t="n"/>
      <c r="T2" s="97" t="n"/>
      <c r="U2" s="97" t="n"/>
      <c r="V2" s="97" t="n"/>
      <c r="W2" s="97" t="n"/>
      <c r="X2" s="97" t="n"/>
      <c r="Y2" s="97" t="n"/>
      <c r="Z2" s="97" t="n"/>
      <c r="AA2" s="98" t="inlineStr">
        <is>
          <t>Diff (New - Prod)</t>
        </is>
      </c>
      <c r="AB2" s="99" t="n"/>
      <c r="AC2" s="99" t="n"/>
      <c r="AD2" s="99" t="n"/>
      <c r="AE2" s="99" t="n"/>
      <c r="AF2" s="99" t="n"/>
      <c r="AG2" s="99" t="n"/>
      <c r="AH2" s="99" t="n"/>
      <c r="AI2" s="100" t="n"/>
    </row>
    <row r="3" ht="16.5" customHeight="1" thickBot="1" thickTop="1">
      <c r="C3" s="101" t="inlineStr">
        <is>
          <t>Date</t>
        </is>
      </c>
      <c r="D3" s="102" t="inlineStr">
        <is>
          <t>Asset Subtype</t>
        </is>
      </c>
      <c r="E3" s="102" t="inlineStr">
        <is>
          <t>Description</t>
        </is>
      </c>
      <c r="F3" s="102" t="inlineStr">
        <is>
          <t>Cusip</t>
        </is>
      </c>
      <c r="G3" s="103" t="inlineStr">
        <is>
          <t>Coupon</t>
        </is>
      </c>
      <c r="H3" s="103" t="inlineStr">
        <is>
          <t>Mark</t>
        </is>
      </c>
      <c r="I3" s="104" t="inlineStr">
        <is>
          <t>Yield</t>
        </is>
      </c>
      <c r="J3" s="105" t="inlineStr">
        <is>
          <t>Zspread</t>
        </is>
      </c>
      <c r="K3" s="105" t="inlineStr">
        <is>
          <t>WAL</t>
        </is>
      </c>
      <c r="L3" s="106" t="inlineStr">
        <is>
          <t>Eff Dur</t>
        </is>
      </c>
      <c r="M3" s="105" t="inlineStr">
        <is>
          <t>Sprd Dur</t>
        </is>
      </c>
      <c r="N3" s="105" t="inlineStr">
        <is>
          <t>Rem Def</t>
        </is>
      </c>
      <c r="O3" s="105" t="inlineStr">
        <is>
          <t>Cum loss</t>
        </is>
      </c>
      <c r="P3" s="105" t="inlineStr">
        <is>
          <t>Sev</t>
        </is>
      </c>
      <c r="Q3" s="105" t="inlineStr">
        <is>
          <t>Writedown</t>
        </is>
      </c>
      <c r="R3" s="107" t="inlineStr">
        <is>
          <t>Yield</t>
        </is>
      </c>
      <c r="S3" s="108" t="inlineStr">
        <is>
          <t>Zspread</t>
        </is>
      </c>
      <c r="T3" s="108" t="inlineStr">
        <is>
          <t>WAL</t>
        </is>
      </c>
      <c r="U3" s="108" t="inlineStr">
        <is>
          <t>Eff Dur</t>
        </is>
      </c>
      <c r="V3" s="108" t="inlineStr">
        <is>
          <t>Sprd Dur</t>
        </is>
      </c>
      <c r="W3" s="108" t="inlineStr">
        <is>
          <t>Rem Def</t>
        </is>
      </c>
      <c r="X3" s="108" t="inlineStr">
        <is>
          <t>Cum loss</t>
        </is>
      </c>
      <c r="Y3" s="108" t="inlineStr">
        <is>
          <t>Sev</t>
        </is>
      </c>
      <c r="Z3" s="108" t="inlineStr">
        <is>
          <t>Writedown</t>
        </is>
      </c>
      <c r="AA3" s="109" t="inlineStr">
        <is>
          <t>Yield</t>
        </is>
      </c>
      <c r="AB3" s="110" t="inlineStr">
        <is>
          <t>Zspread</t>
        </is>
      </c>
      <c r="AC3" s="110" t="inlineStr">
        <is>
          <t>WAL</t>
        </is>
      </c>
      <c r="AD3" s="110" t="inlineStr">
        <is>
          <t>Eff Dur</t>
        </is>
      </c>
      <c r="AE3" s="110" t="inlineStr">
        <is>
          <t>Sprd Dur</t>
        </is>
      </c>
      <c r="AF3" s="110" t="inlineStr">
        <is>
          <t>Rem Def</t>
        </is>
      </c>
      <c r="AG3" s="110" t="inlineStr">
        <is>
          <t>Cum loss</t>
        </is>
      </c>
      <c r="AH3" s="110" t="inlineStr">
        <is>
          <t>Sev</t>
        </is>
      </c>
      <c r="AI3" s="111" t="inlineStr">
        <is>
          <t>Writedown</t>
        </is>
      </c>
    </row>
    <row r="4">
      <c r="B4" t="inlineStr">
        <is>
          <t>BASEPRICE</t>
        </is>
      </c>
      <c r="C4" s="112" t="n">
        <v>46064</v>
      </c>
      <c r="D4" s="113" t="inlineStr">
        <is>
          <t>CRT-B1</t>
        </is>
      </c>
      <c r="E4" s="113" t="inlineStr">
        <is>
          <t>CAS 2019-HRP1 B1</t>
        </is>
      </c>
      <c r="F4" s="114" t="inlineStr">
        <is>
          <t>20754PAD2</t>
        </is>
      </c>
      <c r="G4" s="115" t="n">
        <v>13.06176</v>
      </c>
      <c r="H4" s="115" t="n">
        <v>105.45</v>
      </c>
      <c r="I4" s="116" t="n">
        <v>5.458865866</v>
      </c>
      <c r="J4" s="117" t="n">
        <v>193.921395523</v>
      </c>
      <c r="K4" s="118" t="n">
        <v>0.73380426</v>
      </c>
      <c r="L4" s="118" t="n">
        <v>0.0431780872451498</v>
      </c>
      <c r="M4" s="115" t="n">
        <v>0.693001536273118</v>
      </c>
      <c r="N4" s="115" t="n">
        <v>1.310789644</v>
      </c>
      <c r="O4" s="115" t="n">
        <v>0.048073542</v>
      </c>
      <c r="P4" s="118" t="n">
        <v>3.6675253134667</v>
      </c>
      <c r="Q4" s="115" t="n">
        <v>0</v>
      </c>
      <c r="R4" s="116" t="n">
        <v>5.5188473</v>
      </c>
      <c r="S4" s="117" t="n">
        <v>199.990217094</v>
      </c>
      <c r="T4" s="118" t="n">
        <v>0.739796689</v>
      </c>
      <c r="U4" s="118" t="n">
        <v>0.0436908828828812</v>
      </c>
      <c r="V4" s="115" t="n">
        <v>0.698206105263157</v>
      </c>
      <c r="W4" s="115" t="n">
        <v>1.13422068</v>
      </c>
      <c r="X4" s="115" t="n">
        <v>0.040598833</v>
      </c>
      <c r="Y4" s="118" t="n">
        <v>3.5794474316938</v>
      </c>
      <c r="Z4" s="115" t="n">
        <v>0</v>
      </c>
      <c r="AA4" s="119">
        <f>I4-R4</f>
        <v/>
      </c>
      <c r="AB4" s="120">
        <f>J4-S4</f>
        <v/>
      </c>
      <c r="AC4" s="121">
        <f>K4-T4</f>
        <v/>
      </c>
      <c r="AD4" s="121">
        <f>L4-U4</f>
        <v/>
      </c>
      <c r="AE4" s="122">
        <f>M4-V4</f>
        <v/>
      </c>
      <c r="AF4" s="122">
        <f>N4-W4</f>
        <v/>
      </c>
      <c r="AG4" s="122">
        <f>O4-X4</f>
        <v/>
      </c>
      <c r="AH4" s="121">
        <f>P4-Y4</f>
        <v/>
      </c>
      <c r="AI4" s="123">
        <f>Q4-Z4</f>
        <v/>
      </c>
    </row>
    <row r="5">
      <c r="B5" t="inlineStr">
        <is>
          <t>BASEPRICE</t>
        </is>
      </c>
      <c r="C5" s="112" t="n">
        <v>46064</v>
      </c>
      <c r="D5" s="113" t="inlineStr">
        <is>
          <t>CRT-B1</t>
        </is>
      </c>
      <c r="E5" s="113" t="inlineStr">
        <is>
          <t>SBCLN 2023-MTG1 M3</t>
        </is>
      </c>
      <c r="F5" s="114" t="inlineStr">
        <is>
          <t>80290CBP8</t>
        </is>
      </c>
      <c r="G5" s="115" t="n">
        <v>9.547280000000001</v>
      </c>
      <c r="H5" s="115" t="n">
        <v>115.68905</v>
      </c>
      <c r="I5" s="116" t="n">
        <v>6.311400577</v>
      </c>
      <c r="J5" s="117" t="n">
        <v>231.437898224</v>
      </c>
      <c r="K5" s="118" t="n">
        <v>6.317575806</v>
      </c>
      <c r="L5" s="118" t="n">
        <v>0.425561542773485</v>
      </c>
      <c r="M5" s="115" t="n">
        <v>4.61234609498479</v>
      </c>
      <c r="N5" s="115" t="n">
        <v>0.000331361</v>
      </c>
      <c r="O5" s="115" t="n">
        <v>0</v>
      </c>
      <c r="P5" s="124" t="n"/>
      <c r="Q5" s="115" t="n">
        <v>0</v>
      </c>
      <c r="R5" s="116" t="n">
        <v>6.311400577</v>
      </c>
      <c r="S5" s="117" t="n">
        <v>231.437898224</v>
      </c>
      <c r="T5" s="118" t="n">
        <v>6.317575806</v>
      </c>
      <c r="U5" s="118" t="n">
        <v>0.425561542773485</v>
      </c>
      <c r="V5" s="115" t="n">
        <v>4.61234609498479</v>
      </c>
      <c r="W5" s="115" t="n">
        <v>0.000331361</v>
      </c>
      <c r="X5" s="115" t="n">
        <v>0</v>
      </c>
      <c r="Y5" s="124" t="n"/>
      <c r="Z5" s="115" t="n">
        <v>0</v>
      </c>
      <c r="AA5" s="119">
        <f>I5-R5</f>
        <v/>
      </c>
      <c r="AB5" s="120">
        <f>J5-S5</f>
        <v/>
      </c>
      <c r="AC5" s="121">
        <f>K5-T5</f>
        <v/>
      </c>
      <c r="AD5" s="121">
        <f>L5-U5</f>
        <v/>
      </c>
      <c r="AE5" s="122">
        <f>M5-V5</f>
        <v/>
      </c>
      <c r="AF5" s="122">
        <f>N5-W5</f>
        <v/>
      </c>
      <c r="AG5" s="122">
        <f>O5-X5</f>
        <v/>
      </c>
      <c r="AH5" s="125">
        <f>P5-Y5</f>
        <v/>
      </c>
      <c r="AI5" s="123">
        <f>Q5-Z5</f>
        <v/>
      </c>
    </row>
    <row r="6">
      <c r="B6" t="inlineStr">
        <is>
          <t>BASEPRICE</t>
        </is>
      </c>
      <c r="C6" s="126" t="n">
        <v>46064</v>
      </c>
      <c r="D6" s="127" t="inlineStr">
        <is>
          <t>CRT-B2</t>
        </is>
      </c>
      <c r="E6" s="127" t="inlineStr">
        <is>
          <t>CAS 2021-R01 1B2</t>
        </is>
      </c>
      <c r="F6" s="128" t="inlineStr">
        <is>
          <t>20754RAJ5</t>
        </is>
      </c>
      <c r="G6" s="129" t="n">
        <v>9.697279999999999</v>
      </c>
      <c r="H6" s="129" t="n">
        <v>103.109375</v>
      </c>
      <c r="I6" s="130" t="n">
        <v>5.192444595</v>
      </c>
      <c r="J6" s="131" t="n">
        <v>165.216657164</v>
      </c>
      <c r="K6" s="132" t="n">
        <v>0.708333333</v>
      </c>
      <c r="L6" s="132" t="n">
        <v>0.0383360785573651</v>
      </c>
      <c r="M6" s="129" t="n">
        <v>0.675718592029093</v>
      </c>
      <c r="N6" s="129" t="n">
        <v>0.456135667</v>
      </c>
      <c r="O6" s="129" t="n">
        <v>0.018269369</v>
      </c>
      <c r="P6" s="132" t="n">
        <v>4.00524894712958</v>
      </c>
      <c r="Q6" s="129" t="n">
        <v>0</v>
      </c>
      <c r="R6" s="130" t="n">
        <v>5.192444595</v>
      </c>
      <c r="S6" s="131" t="n">
        <v>165.216657164</v>
      </c>
      <c r="T6" s="132" t="n">
        <v>0.708333333</v>
      </c>
      <c r="U6" s="132" t="n">
        <v>0.0383360785573651</v>
      </c>
      <c r="V6" s="129" t="n">
        <v>0.675718592029093</v>
      </c>
      <c r="W6" s="129" t="n">
        <v>0.357290508</v>
      </c>
      <c r="X6" s="129" t="n">
        <v>0.014629513</v>
      </c>
      <c r="Y6" s="132" t="n">
        <v>4.09457085269111</v>
      </c>
      <c r="Z6" s="129" t="n">
        <v>0</v>
      </c>
      <c r="AA6" s="133">
        <f>I6-R6</f>
        <v/>
      </c>
      <c r="AB6" s="134">
        <f>J6-S6</f>
        <v/>
      </c>
      <c r="AC6" s="135">
        <f>K6-T6</f>
        <v/>
      </c>
      <c r="AD6" s="135">
        <f>L6-U6</f>
        <v/>
      </c>
      <c r="AE6" s="136">
        <f>M6-V6</f>
        <v/>
      </c>
      <c r="AF6" s="136">
        <f>N6-W6</f>
        <v/>
      </c>
      <c r="AG6" s="136">
        <f>O6-X6</f>
        <v/>
      </c>
      <c r="AH6" s="135">
        <f>P6-Y6</f>
        <v/>
      </c>
      <c r="AI6" s="137">
        <f>Q6-Z6</f>
        <v/>
      </c>
    </row>
    <row r="7">
      <c r="B7" t="inlineStr">
        <is>
          <t>BASEPRICE</t>
        </is>
      </c>
      <c r="C7" s="126" t="n">
        <v>46064</v>
      </c>
      <c r="D7" s="127" t="inlineStr">
        <is>
          <t>CRT-B2</t>
        </is>
      </c>
      <c r="E7" s="127" t="inlineStr">
        <is>
          <t>CAS 2021-R02 2B2</t>
        </is>
      </c>
      <c r="F7" s="128" t="inlineStr">
        <is>
          <t>20754KAJ0</t>
        </is>
      </c>
      <c r="G7" s="129" t="n">
        <v>9.89728</v>
      </c>
      <c r="H7" s="129" t="n">
        <v>103.523438</v>
      </c>
      <c r="I7" s="130" t="n">
        <v>5.28995125</v>
      </c>
      <c r="J7" s="131" t="n">
        <v>177.764930146</v>
      </c>
      <c r="K7" s="132" t="n">
        <v>0.788888889</v>
      </c>
      <c r="L7" s="132" t="n">
        <v>0.0389691907256873</v>
      </c>
      <c r="M7" s="129" t="n">
        <v>0.75089453076317</v>
      </c>
      <c r="N7" s="129" t="n">
        <v>0.706461817</v>
      </c>
      <c r="O7" s="129" t="n">
        <v>0.039179329</v>
      </c>
      <c r="P7" s="132" t="n">
        <v>5.54585231037334</v>
      </c>
      <c r="Q7" s="129" t="n">
        <v>0</v>
      </c>
      <c r="R7" s="130" t="n">
        <v>5.28995125</v>
      </c>
      <c r="S7" s="131" t="n">
        <v>177.764930146</v>
      </c>
      <c r="T7" s="132" t="n">
        <v>0.788888889</v>
      </c>
      <c r="U7" s="132" t="n">
        <v>0.0389691907256873</v>
      </c>
      <c r="V7" s="129" t="n">
        <v>0.75089453076317</v>
      </c>
      <c r="W7" s="129" t="n">
        <v>0.546641355</v>
      </c>
      <c r="X7" s="129" t="n">
        <v>0.029266178</v>
      </c>
      <c r="Y7" s="132" t="n">
        <v>5.35381703786388</v>
      </c>
      <c r="Z7" s="129" t="n">
        <v>0</v>
      </c>
      <c r="AA7" s="133">
        <f>I7-R7</f>
        <v/>
      </c>
      <c r="AB7" s="134">
        <f>J7-S7</f>
        <v/>
      </c>
      <c r="AC7" s="135">
        <f>K7-T7</f>
        <v/>
      </c>
      <c r="AD7" s="135">
        <f>L7-U7</f>
        <v/>
      </c>
      <c r="AE7" s="136">
        <f>M7-V7</f>
        <v/>
      </c>
      <c r="AF7" s="136">
        <f>N7-W7</f>
        <v/>
      </c>
      <c r="AG7" s="136">
        <f>O7-X7</f>
        <v/>
      </c>
      <c r="AH7" s="135">
        <f>P7-Y7</f>
        <v/>
      </c>
      <c r="AI7" s="137">
        <f>Q7-Z7</f>
        <v/>
      </c>
    </row>
    <row r="8">
      <c r="B8" t="inlineStr">
        <is>
          <t>BASEPRICE</t>
        </is>
      </c>
      <c r="C8" s="126" t="n">
        <v>46064</v>
      </c>
      <c r="D8" s="127" t="inlineStr">
        <is>
          <t>CRT-B2</t>
        </is>
      </c>
      <c r="E8" s="127" t="inlineStr">
        <is>
          <t>CAS 2022-R02 2B2</t>
        </is>
      </c>
      <c r="F8" s="128" t="inlineStr">
        <is>
          <t>20754BAJ0</t>
        </is>
      </c>
      <c r="G8" s="129" t="n">
        <v>11.34728</v>
      </c>
      <c r="H8" s="129" t="n">
        <v>105.45</v>
      </c>
      <c r="I8" s="130" t="n">
        <v>5.410020782</v>
      </c>
      <c r="J8" s="131" t="n">
        <v>194.141055449</v>
      </c>
      <c r="K8" s="132" t="n">
        <v>0.955555556</v>
      </c>
      <c r="L8" s="132" t="n">
        <v>0.046124756756757</v>
      </c>
      <c r="M8" s="129" t="n">
        <v>0.897863321953529</v>
      </c>
      <c r="N8" s="129" t="n">
        <v>0.810787835</v>
      </c>
      <c r="O8" s="129" t="n">
        <v>0.04867597</v>
      </c>
      <c r="P8" s="132" t="n">
        <v>6.00353975463877</v>
      </c>
      <c r="Q8" s="129" t="n">
        <v>0</v>
      </c>
      <c r="R8" s="130" t="n">
        <v>5.410020782</v>
      </c>
      <c r="S8" s="131" t="n">
        <v>194.141055449</v>
      </c>
      <c r="T8" s="132" t="n">
        <v>0.955555556</v>
      </c>
      <c r="U8" s="132" t="n">
        <v>0.046124756756757</v>
      </c>
      <c r="V8" s="129" t="n">
        <v>0.897863321953529</v>
      </c>
      <c r="W8" s="129" t="n">
        <v>0.628017535</v>
      </c>
      <c r="X8" s="129" t="n">
        <v>0.037564572</v>
      </c>
      <c r="Y8" s="132" t="n">
        <v>5.98145273125216</v>
      </c>
      <c r="Z8" s="129" t="n">
        <v>0</v>
      </c>
      <c r="AA8" s="133">
        <f>I8-R8</f>
        <v/>
      </c>
      <c r="AB8" s="134">
        <f>J8-S8</f>
        <v/>
      </c>
      <c r="AC8" s="135">
        <f>K8-T8</f>
        <v/>
      </c>
      <c r="AD8" s="135">
        <f>L8-U8</f>
        <v/>
      </c>
      <c r="AE8" s="136">
        <f>M8-V8</f>
        <v/>
      </c>
      <c r="AF8" s="136">
        <f>N8-W8</f>
        <v/>
      </c>
      <c r="AG8" s="136">
        <f>O8-X8</f>
        <v/>
      </c>
      <c r="AH8" s="135">
        <f>P8-Y8</f>
        <v/>
      </c>
      <c r="AI8" s="137">
        <f>Q8-Z8</f>
        <v/>
      </c>
    </row>
    <row r="9">
      <c r="B9" t="inlineStr">
        <is>
          <t>BASEPRICE</t>
        </is>
      </c>
      <c r="C9" s="126" t="n">
        <v>46064</v>
      </c>
      <c r="D9" s="127" t="inlineStr">
        <is>
          <t>CRT-B2</t>
        </is>
      </c>
      <c r="E9" s="127" t="inlineStr">
        <is>
          <t>CAS 2022-R04 1B2</t>
        </is>
      </c>
      <c r="F9" s="128" t="inlineStr">
        <is>
          <t>20753YAL6</t>
        </is>
      </c>
      <c r="G9" s="129" t="n">
        <v>13.19728</v>
      </c>
      <c r="H9" s="129" t="n">
        <v>108.5</v>
      </c>
      <c r="I9" s="130" t="n">
        <v>5.248775581</v>
      </c>
      <c r="J9" s="131" t="n">
        <v>177.649952953</v>
      </c>
      <c r="K9" s="132" t="n">
        <v>1.122222222</v>
      </c>
      <c r="L9" s="132" t="n">
        <v>0.0621768912442364</v>
      </c>
      <c r="M9" s="129" t="n">
        <v>1.03381526175116</v>
      </c>
      <c r="N9" s="129" t="n">
        <v>0.619156436</v>
      </c>
      <c r="O9" s="129" t="n">
        <v>0.03481736</v>
      </c>
      <c r="P9" s="132" t="n">
        <v>5.62335428909278</v>
      </c>
      <c r="Q9" s="129" t="n">
        <v>0</v>
      </c>
      <c r="R9" s="130" t="n">
        <v>5.248775581</v>
      </c>
      <c r="S9" s="131" t="n">
        <v>177.649952953</v>
      </c>
      <c r="T9" s="132" t="n">
        <v>1.122222222</v>
      </c>
      <c r="U9" s="132" t="n">
        <v>0.0621768912442364</v>
      </c>
      <c r="V9" s="129" t="n">
        <v>1.03381526175116</v>
      </c>
      <c r="W9" s="129" t="n">
        <v>0.462733299</v>
      </c>
      <c r="X9" s="129" t="n">
        <v>0.026475374</v>
      </c>
      <c r="Y9" s="132" t="n">
        <v>5.72151908177241</v>
      </c>
      <c r="Z9" s="129" t="n">
        <v>0</v>
      </c>
      <c r="AA9" s="133">
        <f>I9-R9</f>
        <v/>
      </c>
      <c r="AB9" s="134">
        <f>J9-S9</f>
        <v/>
      </c>
      <c r="AC9" s="135">
        <f>K9-T9</f>
        <v/>
      </c>
      <c r="AD9" s="135">
        <f>L9-U9</f>
        <v/>
      </c>
      <c r="AE9" s="136">
        <f>M9-V9</f>
        <v/>
      </c>
      <c r="AF9" s="136">
        <f>N9-W9</f>
        <v/>
      </c>
      <c r="AG9" s="136">
        <f>O9-X9</f>
        <v/>
      </c>
      <c r="AH9" s="135">
        <f>P9-Y9</f>
        <v/>
      </c>
      <c r="AI9" s="137">
        <f>Q9-Z9</f>
        <v/>
      </c>
    </row>
    <row r="10">
      <c r="B10" t="inlineStr">
        <is>
          <t>BASEPRICE</t>
        </is>
      </c>
      <c r="C10" s="126" t="n">
        <v>46064</v>
      </c>
      <c r="D10" s="127" t="inlineStr">
        <is>
          <t>CRT-B2</t>
        </is>
      </c>
      <c r="E10" s="127" t="inlineStr">
        <is>
          <t>CAS 2022-R06 1B2</t>
        </is>
      </c>
      <c r="F10" s="128" t="inlineStr">
        <is>
          <t>20754NAR6</t>
        </is>
      </c>
      <c r="G10" s="129" t="n">
        <v>14.29728</v>
      </c>
      <c r="H10" s="129" t="n">
        <v>111.05</v>
      </c>
      <c r="I10" s="130" t="n">
        <v>5.257477856</v>
      </c>
      <c r="J10" s="131" t="n">
        <v>177.723821299</v>
      </c>
      <c r="K10" s="132" t="n">
        <v>1.288888889</v>
      </c>
      <c r="L10" s="132" t="n">
        <v>0.0785397442593458</v>
      </c>
      <c r="M10" s="129" t="n">
        <v>1.17116898514182</v>
      </c>
      <c r="N10" s="129" t="n">
        <v>0.72782727</v>
      </c>
      <c r="O10" s="129" t="n">
        <v>0.042358531</v>
      </c>
      <c r="P10" s="132" t="n">
        <v>5.81986039077651</v>
      </c>
      <c r="Q10" s="129" t="n">
        <v>0</v>
      </c>
      <c r="R10" s="130" t="n">
        <v>5.257477856</v>
      </c>
      <c r="S10" s="131" t="n">
        <v>177.723821299</v>
      </c>
      <c r="T10" s="132" t="n">
        <v>1.288888889</v>
      </c>
      <c r="U10" s="132" t="n">
        <v>0.0785397442593458</v>
      </c>
      <c r="V10" s="129" t="n">
        <v>1.17116898514182</v>
      </c>
      <c r="W10" s="129" t="n">
        <v>0.552847034</v>
      </c>
      <c r="X10" s="129" t="n">
        <v>0.031206085</v>
      </c>
      <c r="Y10" s="132" t="n">
        <v>5.64461470910234</v>
      </c>
      <c r="Z10" s="129" t="n">
        <v>0</v>
      </c>
      <c r="AA10" s="133">
        <f>I10-R10</f>
        <v/>
      </c>
      <c r="AB10" s="134">
        <f>J10-S10</f>
        <v/>
      </c>
      <c r="AC10" s="135">
        <f>K10-T10</f>
        <v/>
      </c>
      <c r="AD10" s="135">
        <f>L10-U10</f>
        <v/>
      </c>
      <c r="AE10" s="136">
        <f>M10-V10</f>
        <v/>
      </c>
      <c r="AF10" s="136">
        <f>N10-W10</f>
        <v/>
      </c>
      <c r="AG10" s="136">
        <f>O10-X10</f>
        <v/>
      </c>
      <c r="AH10" s="135">
        <f>P10-Y10</f>
        <v/>
      </c>
      <c r="AI10" s="137">
        <f>Q10-Z10</f>
        <v/>
      </c>
    </row>
    <row r="11">
      <c r="B11" t="inlineStr">
        <is>
          <t>BASEPRICE</t>
        </is>
      </c>
      <c r="C11" s="126" t="n">
        <v>46064</v>
      </c>
      <c r="D11" s="127" t="inlineStr">
        <is>
          <t>CRT-B2</t>
        </is>
      </c>
      <c r="E11" s="127" t="inlineStr">
        <is>
          <t>CAS 2022-R07 1B2</t>
        </is>
      </c>
      <c r="F11" s="128" t="inlineStr">
        <is>
          <t>20754MAL1</t>
        </is>
      </c>
      <c r="G11" s="129" t="n">
        <v>15.69728</v>
      </c>
      <c r="H11" s="129" t="n">
        <v>113.5</v>
      </c>
      <c r="I11" s="130" t="n">
        <v>5.330055089</v>
      </c>
      <c r="J11" s="131" t="n">
        <v>184.563379129</v>
      </c>
      <c r="K11" s="132" t="n">
        <v>1.372222222</v>
      </c>
      <c r="L11" s="132" t="n">
        <v>0.09394381057268671</v>
      </c>
      <c r="M11" s="129" t="n">
        <v>1.23319603964758</v>
      </c>
      <c r="N11" s="129" t="n">
        <v>0.800001804</v>
      </c>
      <c r="O11" s="129" t="n">
        <v>0.053854588</v>
      </c>
      <c r="P11" s="132" t="n">
        <v>6.73180831977224</v>
      </c>
      <c r="Q11" s="129" t="n">
        <v>0</v>
      </c>
      <c r="R11" s="130" t="n">
        <v>5.330055089</v>
      </c>
      <c r="S11" s="131" t="n">
        <v>184.563379129</v>
      </c>
      <c r="T11" s="132" t="n">
        <v>1.372222222</v>
      </c>
      <c r="U11" s="132" t="n">
        <v>0.09394381057268671</v>
      </c>
      <c r="V11" s="129" t="n">
        <v>1.23319603964758</v>
      </c>
      <c r="W11" s="129" t="n">
        <v>0.623874039</v>
      </c>
      <c r="X11" s="129" t="n">
        <v>0.040548963</v>
      </c>
      <c r="Y11" s="132" t="n">
        <v>6.49954325155049</v>
      </c>
      <c r="Z11" s="129" t="n">
        <v>0</v>
      </c>
      <c r="AA11" s="133">
        <f>I11-R11</f>
        <v/>
      </c>
      <c r="AB11" s="134">
        <f>J11-S11</f>
        <v/>
      </c>
      <c r="AC11" s="135">
        <f>K11-T11</f>
        <v/>
      </c>
      <c r="AD11" s="135">
        <f>L11-U11</f>
        <v/>
      </c>
      <c r="AE11" s="136">
        <f>M11-V11</f>
        <v/>
      </c>
      <c r="AF11" s="136">
        <f>N11-W11</f>
        <v/>
      </c>
      <c r="AG11" s="136">
        <f>O11-X11</f>
        <v/>
      </c>
      <c r="AH11" s="135">
        <f>P11-Y11</f>
        <v/>
      </c>
      <c r="AI11" s="137">
        <f>Q11-Z11</f>
        <v/>
      </c>
    </row>
    <row r="12">
      <c r="B12" t="inlineStr">
        <is>
          <t>BASEPRICE</t>
        </is>
      </c>
      <c r="C12" s="126" t="n">
        <v>46064</v>
      </c>
      <c r="D12" s="127" t="inlineStr">
        <is>
          <t>CRT-B2</t>
        </is>
      </c>
      <c r="E12" s="127" t="inlineStr">
        <is>
          <t>STACR 2020-HQA2 B2</t>
        </is>
      </c>
      <c r="F12" s="128" t="inlineStr">
        <is>
          <t>35565LBE5</t>
        </is>
      </c>
      <c r="G12" s="129" t="n">
        <v>11.41176</v>
      </c>
      <c r="H12" s="129" t="n">
        <v>121.985725</v>
      </c>
      <c r="I12" s="130" t="n">
        <v>5.262017353</v>
      </c>
      <c r="J12" s="131" t="n">
        <v>160.876669733</v>
      </c>
      <c r="K12" s="132" t="n">
        <v>4.122222222</v>
      </c>
      <c r="L12" s="132" t="n">
        <v>0.318034255237646</v>
      </c>
      <c r="M12" s="129" t="n">
        <v>3.36524912484636</v>
      </c>
      <c r="N12" s="129" t="n">
        <v>1.873722491</v>
      </c>
      <c r="O12" s="129" t="n">
        <v>0.143518171</v>
      </c>
      <c r="P12" s="132" t="n">
        <v>7.65952117719443</v>
      </c>
      <c r="Q12" s="129" t="n">
        <v>0</v>
      </c>
      <c r="R12" s="130" t="n">
        <v>5.262017353</v>
      </c>
      <c r="S12" s="131" t="n">
        <v>160.876669733</v>
      </c>
      <c r="T12" s="132" t="n">
        <v>4.122222222</v>
      </c>
      <c r="U12" s="132" t="n">
        <v>0.318034255237646</v>
      </c>
      <c r="V12" s="129" t="n">
        <v>3.36524912484636</v>
      </c>
      <c r="W12" s="129" t="n">
        <v>1.769728025</v>
      </c>
      <c r="X12" s="129" t="n">
        <v>0.133435847</v>
      </c>
      <c r="Y12" s="132" t="n">
        <v>7.53990698655518</v>
      </c>
      <c r="Z12" s="129" t="n">
        <v>0</v>
      </c>
      <c r="AA12" s="133">
        <f>I12-R12</f>
        <v/>
      </c>
      <c r="AB12" s="134">
        <f>J12-S12</f>
        <v/>
      </c>
      <c r="AC12" s="135">
        <f>K12-T12</f>
        <v/>
      </c>
      <c r="AD12" s="135">
        <f>L12-U12</f>
        <v/>
      </c>
      <c r="AE12" s="136">
        <f>M12-V12</f>
        <v/>
      </c>
      <c r="AF12" s="136">
        <f>N12-W12</f>
        <v/>
      </c>
      <c r="AG12" s="136">
        <f>O12-X12</f>
        <v/>
      </c>
      <c r="AH12" s="135">
        <f>P12-Y12</f>
        <v/>
      </c>
      <c r="AI12" s="137">
        <f>Q12-Z12</f>
        <v/>
      </c>
    </row>
    <row r="13">
      <c r="B13" t="inlineStr">
        <is>
          <t>BASEPRICE</t>
        </is>
      </c>
      <c r="C13" s="126" t="n">
        <v>46064</v>
      </c>
      <c r="D13" s="127" t="inlineStr">
        <is>
          <t>CRT-B2</t>
        </is>
      </c>
      <c r="E13" s="127" t="inlineStr">
        <is>
          <t>STACR 2021-DNA1 B2</t>
        </is>
      </c>
      <c r="F13" s="128" t="inlineStr">
        <is>
          <t>35564KBE8</t>
        </is>
      </c>
      <c r="G13" s="129" t="n">
        <v>8.447279999999999</v>
      </c>
      <c r="H13" s="129" t="n">
        <v>112.109375</v>
      </c>
      <c r="I13" s="130" t="n">
        <v>5.460849696</v>
      </c>
      <c r="J13" s="131" t="n">
        <v>173.586519235</v>
      </c>
      <c r="K13" s="132" t="n">
        <v>4.961111111</v>
      </c>
      <c r="L13" s="132" t="n">
        <v>0.191070563902449</v>
      </c>
      <c r="M13" s="129" t="n">
        <v>4.09452409310104</v>
      </c>
      <c r="N13" s="129" t="n">
        <v>0.334236822</v>
      </c>
      <c r="O13" s="129" t="n">
        <v>0.014413319</v>
      </c>
      <c r="P13" s="132" t="n">
        <v>4.31230733757994</v>
      </c>
      <c r="Q13" s="129" t="n">
        <v>0</v>
      </c>
      <c r="R13" s="130" t="n">
        <v>5.460849696</v>
      </c>
      <c r="S13" s="131" t="n">
        <v>173.586519235</v>
      </c>
      <c r="T13" s="132" t="n">
        <v>4.961111111</v>
      </c>
      <c r="U13" s="132" t="n">
        <v>0.191070563902449</v>
      </c>
      <c r="V13" s="129" t="n">
        <v>4.09452409310104</v>
      </c>
      <c r="W13" s="129" t="n">
        <v>0.295901395</v>
      </c>
      <c r="X13" s="129" t="n">
        <v>0.013074918</v>
      </c>
      <c r="Y13" s="132" t="n">
        <v>4.41867399780254</v>
      </c>
      <c r="Z13" s="129" t="n">
        <v>0</v>
      </c>
      <c r="AA13" s="133">
        <f>I13-R13</f>
        <v/>
      </c>
      <c r="AB13" s="134">
        <f>J13-S13</f>
        <v/>
      </c>
      <c r="AC13" s="135">
        <f>K13-T13</f>
        <v/>
      </c>
      <c r="AD13" s="135">
        <f>L13-U13</f>
        <v/>
      </c>
      <c r="AE13" s="136">
        <f>M13-V13</f>
        <v/>
      </c>
      <c r="AF13" s="136">
        <f>N13-W13</f>
        <v/>
      </c>
      <c r="AG13" s="136">
        <f>O13-X13</f>
        <v/>
      </c>
      <c r="AH13" s="135">
        <f>P13-Y13</f>
        <v/>
      </c>
      <c r="AI13" s="137">
        <f>Q13-Z13</f>
        <v/>
      </c>
    </row>
    <row r="14">
      <c r="B14" t="inlineStr">
        <is>
          <t>BASEPRICE</t>
        </is>
      </c>
      <c r="C14" s="126" t="n">
        <v>46064</v>
      </c>
      <c r="D14" s="127" t="inlineStr">
        <is>
          <t>CRT-B2</t>
        </is>
      </c>
      <c r="E14" s="127" t="inlineStr">
        <is>
          <t>STACR 2021-DNA5 B2</t>
        </is>
      </c>
      <c r="F14" s="128" t="inlineStr">
        <is>
          <t>35564KJB6</t>
        </is>
      </c>
      <c r="G14" s="129" t="n">
        <v>9.197279999999999</v>
      </c>
      <c r="H14" s="129" t="n">
        <v>121.261505</v>
      </c>
      <c r="I14" s="130" t="n">
        <v>5.829685852</v>
      </c>
      <c r="J14" s="131" t="n">
        <v>187.02591164</v>
      </c>
      <c r="K14" s="132" t="n">
        <v>7.922531121</v>
      </c>
      <c r="L14" s="132" t="n">
        <v>0.466925921791913</v>
      </c>
      <c r="M14" s="129" t="n">
        <v>5.82579577253309</v>
      </c>
      <c r="N14" s="129" t="n">
        <v>0.297281721</v>
      </c>
      <c r="O14" s="129" t="n">
        <v>0.014377963</v>
      </c>
      <c r="P14" s="132" t="n">
        <v>4.83647731573782</v>
      </c>
      <c r="Q14" s="129" t="n">
        <v>0</v>
      </c>
      <c r="R14" s="130" t="n">
        <v>5.831971046</v>
      </c>
      <c r="S14" s="131" t="n">
        <v>187.215220729</v>
      </c>
      <c r="T14" s="132" t="n">
        <v>7.929027365</v>
      </c>
      <c r="U14" s="132" t="n">
        <v>0.458937605136931</v>
      </c>
      <c r="V14" s="129" t="n">
        <v>5.82920071955234</v>
      </c>
      <c r="W14" s="129" t="n">
        <v>0.263676321</v>
      </c>
      <c r="X14" s="129" t="n">
        <v>0.012463623</v>
      </c>
      <c r="Y14" s="132" t="n">
        <v>4.72686472290396</v>
      </c>
      <c r="Z14" s="129" t="n">
        <v>0</v>
      </c>
      <c r="AA14" s="133">
        <f>I14-R14</f>
        <v/>
      </c>
      <c r="AB14" s="134">
        <f>J14-S14</f>
        <v/>
      </c>
      <c r="AC14" s="135">
        <f>K14-T14</f>
        <v/>
      </c>
      <c r="AD14" s="135">
        <f>L14-U14</f>
        <v/>
      </c>
      <c r="AE14" s="136">
        <f>M14-V14</f>
        <v/>
      </c>
      <c r="AF14" s="136">
        <f>N14-W14</f>
        <v/>
      </c>
      <c r="AG14" s="136">
        <f>O14-X14</f>
        <v/>
      </c>
      <c r="AH14" s="135">
        <f>P14-Y14</f>
        <v/>
      </c>
      <c r="AI14" s="137">
        <f>Q14-Z14</f>
        <v/>
      </c>
    </row>
    <row r="15">
      <c r="B15" t="inlineStr">
        <is>
          <t>BASEPRICE</t>
        </is>
      </c>
      <c r="C15" s="126" t="n">
        <v>46064</v>
      </c>
      <c r="D15" s="127" t="inlineStr">
        <is>
          <t>CRT-B2</t>
        </is>
      </c>
      <c r="E15" s="127" t="inlineStr">
        <is>
          <t>STACR 2021-DNA6 B2</t>
        </is>
      </c>
      <c r="F15" s="128" t="inlineStr">
        <is>
          <t>35564KLV9</t>
        </is>
      </c>
      <c r="G15" s="129" t="n">
        <v>11.19728</v>
      </c>
      <c r="H15" s="129" t="n">
        <v>104.09</v>
      </c>
      <c r="I15" s="130" t="n">
        <v>5.29025988</v>
      </c>
      <c r="J15" s="131" t="n">
        <v>174.959811313</v>
      </c>
      <c r="K15" s="132" t="n">
        <v>0.708333333</v>
      </c>
      <c r="L15" s="132" t="n">
        <v>0.0413673032952223</v>
      </c>
      <c r="M15" s="129" t="n">
        <v>0.672493968680938</v>
      </c>
      <c r="N15" s="129" t="n">
        <v>0.3300253</v>
      </c>
      <c r="O15" s="129" t="n">
        <v>0.014162328</v>
      </c>
      <c r="P15" s="132" t="n">
        <v>4.29128554689595</v>
      </c>
      <c r="Q15" s="129" t="n">
        <v>0</v>
      </c>
      <c r="R15" s="130" t="n">
        <v>5.29025988</v>
      </c>
      <c r="S15" s="131" t="n">
        <v>174.959811313</v>
      </c>
      <c r="T15" s="132" t="n">
        <v>0.708333333</v>
      </c>
      <c r="U15" s="132" t="n">
        <v>0.0413673032952223</v>
      </c>
      <c r="V15" s="129" t="n">
        <v>0.672493968680938</v>
      </c>
      <c r="W15" s="129" t="n">
        <v>0.296228095</v>
      </c>
      <c r="X15" s="129" t="n">
        <v>0.012885745</v>
      </c>
      <c r="Y15" s="132" t="n">
        <v>4.34994020401745</v>
      </c>
      <c r="Z15" s="129" t="n">
        <v>0</v>
      </c>
      <c r="AA15" s="133">
        <f>I15-R15</f>
        <v/>
      </c>
      <c r="AB15" s="134">
        <f>J15-S15</f>
        <v/>
      </c>
      <c r="AC15" s="135">
        <f>K15-T15</f>
        <v/>
      </c>
      <c r="AD15" s="135">
        <f>L15-U15</f>
        <v/>
      </c>
      <c r="AE15" s="136">
        <f>M15-V15</f>
        <v/>
      </c>
      <c r="AF15" s="136">
        <f>N15-W15</f>
        <v/>
      </c>
      <c r="AG15" s="136">
        <f>O15-X15</f>
        <v/>
      </c>
      <c r="AH15" s="135">
        <f>P15-Y15</f>
        <v/>
      </c>
      <c r="AI15" s="137">
        <f>Q15-Z15</f>
        <v/>
      </c>
    </row>
    <row r="16">
      <c r="B16" t="inlineStr">
        <is>
          <t>BASEPRICE</t>
        </is>
      </c>
      <c r="C16" s="126" t="n">
        <v>46064</v>
      </c>
      <c r="D16" s="127" t="inlineStr">
        <is>
          <t>CRT-B2</t>
        </is>
      </c>
      <c r="E16" s="127" t="inlineStr">
        <is>
          <t>STACR 2021-DNA7 B2</t>
        </is>
      </c>
      <c r="F16" s="128" t="inlineStr">
        <is>
          <t>35564KNE5</t>
        </is>
      </c>
      <c r="G16" s="129" t="n">
        <v>11.49728</v>
      </c>
      <c r="H16" s="129" t="n">
        <v>104.765625</v>
      </c>
      <c r="I16" s="130" t="n">
        <v>5.295525736</v>
      </c>
      <c r="J16" s="131" t="n">
        <v>178.270758409</v>
      </c>
      <c r="K16" s="132" t="n">
        <v>0.788888889</v>
      </c>
      <c r="L16" s="132" t="n">
        <v>0.0435636689038094</v>
      </c>
      <c r="M16" s="129" t="n">
        <v>0.747031891424319</v>
      </c>
      <c r="N16" s="129" t="n">
        <v>0.397744845</v>
      </c>
      <c r="O16" s="129" t="n">
        <v>0.02206481</v>
      </c>
      <c r="P16" s="132" t="n">
        <v>5.54747856003011</v>
      </c>
      <c r="Q16" s="129" t="n">
        <v>0</v>
      </c>
      <c r="R16" s="130" t="n">
        <v>5.295525736</v>
      </c>
      <c r="S16" s="131" t="n">
        <v>178.270758409</v>
      </c>
      <c r="T16" s="132" t="n">
        <v>0.788888889</v>
      </c>
      <c r="U16" s="132" t="n">
        <v>0.0435636689038094</v>
      </c>
      <c r="V16" s="129" t="n">
        <v>0.747031891424319</v>
      </c>
      <c r="W16" s="129" t="n">
        <v>0.351619652</v>
      </c>
      <c r="X16" s="129" t="n">
        <v>0.020005265</v>
      </c>
      <c r="Y16" s="132" t="n">
        <v>5.68946157764811</v>
      </c>
      <c r="Z16" s="129" t="n">
        <v>0</v>
      </c>
      <c r="AA16" s="133">
        <f>I16-R16</f>
        <v/>
      </c>
      <c r="AB16" s="134">
        <f>J16-S16</f>
        <v/>
      </c>
      <c r="AC16" s="135">
        <f>K16-T16</f>
        <v/>
      </c>
      <c r="AD16" s="135">
        <f>L16-U16</f>
        <v/>
      </c>
      <c r="AE16" s="136">
        <f>M16-V16</f>
        <v/>
      </c>
      <c r="AF16" s="136">
        <f>N16-W16</f>
        <v/>
      </c>
      <c r="AG16" s="136">
        <f>O16-X16</f>
        <v/>
      </c>
      <c r="AH16" s="135">
        <f>P16-Y16</f>
        <v/>
      </c>
      <c r="AI16" s="137">
        <f>Q16-Z16</f>
        <v/>
      </c>
    </row>
    <row r="17">
      <c r="B17" t="inlineStr">
        <is>
          <t>BASEPRICE</t>
        </is>
      </c>
      <c r="C17" s="126" t="n">
        <v>46064</v>
      </c>
      <c r="D17" s="127" t="inlineStr">
        <is>
          <t>CRT-B2</t>
        </is>
      </c>
      <c r="E17" s="127" t="inlineStr">
        <is>
          <t>STACR 2021-HQA3 B2</t>
        </is>
      </c>
      <c r="F17" s="128" t="inlineStr">
        <is>
          <t>35564KKL2</t>
        </is>
      </c>
      <c r="G17" s="129" t="n">
        <v>9.947279999999999</v>
      </c>
      <c r="H17" s="129" t="n">
        <v>102.8</v>
      </c>
      <c r="I17" s="130" t="n">
        <v>5.373912168</v>
      </c>
      <c r="J17" s="131" t="n">
        <v>180.442748236</v>
      </c>
      <c r="K17" s="132" t="n">
        <v>0.622222222</v>
      </c>
      <c r="L17" s="132" t="n">
        <v>0.0376227499999932</v>
      </c>
      <c r="M17" s="129" t="n">
        <v>0.595641661478608</v>
      </c>
      <c r="N17" s="129" t="n">
        <v>0.461238388</v>
      </c>
      <c r="O17" s="129" t="n">
        <v>0.030669926</v>
      </c>
      <c r="P17" s="132" t="n">
        <v>6.6494738508192</v>
      </c>
      <c r="Q17" s="129" t="n">
        <v>0</v>
      </c>
      <c r="R17" s="130" t="n">
        <v>5.373912168</v>
      </c>
      <c r="S17" s="131" t="n">
        <v>180.442748236</v>
      </c>
      <c r="T17" s="132" t="n">
        <v>0.622222222</v>
      </c>
      <c r="U17" s="132" t="n">
        <v>0.0376227499999932</v>
      </c>
      <c r="V17" s="129" t="n">
        <v>0.595641661478608</v>
      </c>
      <c r="W17" s="129" t="n">
        <v>0.4158836</v>
      </c>
      <c r="X17" s="129" t="n">
        <v>0.027265305</v>
      </c>
      <c r="Y17" s="132" t="n">
        <v>6.55599427339765</v>
      </c>
      <c r="Z17" s="129" t="n">
        <v>0</v>
      </c>
      <c r="AA17" s="133">
        <f>I17-R17</f>
        <v/>
      </c>
      <c r="AB17" s="134">
        <f>J17-S17</f>
        <v/>
      </c>
      <c r="AC17" s="135">
        <f>K17-T17</f>
        <v/>
      </c>
      <c r="AD17" s="135">
        <f>L17-U17</f>
        <v/>
      </c>
      <c r="AE17" s="136">
        <f>M17-V17</f>
        <v/>
      </c>
      <c r="AF17" s="136">
        <f>N17-W17</f>
        <v/>
      </c>
      <c r="AG17" s="136">
        <f>O17-X17</f>
        <v/>
      </c>
      <c r="AH17" s="135">
        <f>P17-Y17</f>
        <v/>
      </c>
      <c r="AI17" s="137">
        <f>Q17-Z17</f>
        <v/>
      </c>
    </row>
    <row r="18">
      <c r="B18" t="inlineStr">
        <is>
          <t>BASEPRICE</t>
        </is>
      </c>
      <c r="C18" s="126" t="n">
        <v>46064</v>
      </c>
      <c r="D18" s="127" t="inlineStr">
        <is>
          <t>CRT-B2</t>
        </is>
      </c>
      <c r="E18" s="127" t="inlineStr">
        <is>
          <t>STACR 2021-HQA4 B2</t>
        </is>
      </c>
      <c r="F18" s="128" t="inlineStr">
        <is>
          <t>35564KPP8</t>
        </is>
      </c>
      <c r="G18" s="129" t="n">
        <v>10.69728</v>
      </c>
      <c r="H18" s="129" t="n">
        <v>104.445312</v>
      </c>
      <c r="I18" s="130" t="n">
        <v>5.451046272</v>
      </c>
      <c r="J18" s="131" t="n">
        <v>196.935794782</v>
      </c>
      <c r="K18" s="132" t="n">
        <v>0.880555556</v>
      </c>
      <c r="L18" s="132" t="n">
        <v>0.0417671948741957</v>
      </c>
      <c r="M18" s="129" t="n">
        <v>0.830687519991327</v>
      </c>
      <c r="N18" s="129" t="n">
        <v>0.551209255</v>
      </c>
      <c r="O18" s="129" t="n">
        <v>0.050338158</v>
      </c>
      <c r="P18" s="132" t="n">
        <v>9.13231364375404</v>
      </c>
      <c r="Q18" s="129" t="n">
        <v>0</v>
      </c>
      <c r="R18" s="130" t="n">
        <v>5.451046272</v>
      </c>
      <c r="S18" s="131" t="n">
        <v>196.935794782</v>
      </c>
      <c r="T18" s="132" t="n">
        <v>0.880555556</v>
      </c>
      <c r="U18" s="132" t="n">
        <v>0.0417671948741957</v>
      </c>
      <c r="V18" s="129" t="n">
        <v>0.830687519991327</v>
      </c>
      <c r="W18" s="129" t="n">
        <v>0.487676812</v>
      </c>
      <c r="X18" s="129" t="n">
        <v>0.0349635</v>
      </c>
      <c r="Y18" s="132" t="n">
        <v>7.16939972122357</v>
      </c>
      <c r="Z18" s="129" t="n">
        <v>0</v>
      </c>
      <c r="AA18" s="133">
        <f>I18-R18</f>
        <v/>
      </c>
      <c r="AB18" s="134">
        <f>J18-S18</f>
        <v/>
      </c>
      <c r="AC18" s="135">
        <f>K18-T18</f>
        <v/>
      </c>
      <c r="AD18" s="135">
        <f>L18-U18</f>
        <v/>
      </c>
      <c r="AE18" s="136">
        <f>M18-V18</f>
        <v/>
      </c>
      <c r="AF18" s="136">
        <f>N18-W18</f>
        <v/>
      </c>
      <c r="AG18" s="136">
        <f>O18-X18</f>
        <v/>
      </c>
      <c r="AH18" s="135">
        <f>P18-Y18</f>
        <v/>
      </c>
      <c r="AI18" s="137">
        <f>Q18-Z18</f>
        <v/>
      </c>
    </row>
    <row r="19">
      <c r="B19" t="inlineStr">
        <is>
          <t>BASEPRICE</t>
        </is>
      </c>
      <c r="C19" s="126" t="n">
        <v>46064</v>
      </c>
      <c r="D19" s="127" t="inlineStr">
        <is>
          <t>CRT-B2</t>
        </is>
      </c>
      <c r="E19" s="127" t="inlineStr">
        <is>
          <t>STACR 2022-DNA2 B2</t>
        </is>
      </c>
      <c r="F19" s="128" t="inlineStr">
        <is>
          <t>35564KSQ3</t>
        </is>
      </c>
      <c r="G19" s="129" t="n">
        <v>12.19728</v>
      </c>
      <c r="H19" s="129" t="n">
        <v>106.75</v>
      </c>
      <c r="I19" s="130" t="n">
        <v>5.422974677</v>
      </c>
      <c r="J19" s="131" t="n">
        <v>195.445588955</v>
      </c>
      <c r="K19" s="132" t="n">
        <v>1.038888889</v>
      </c>
      <c r="L19" s="132" t="n">
        <v>0.0523413189695522</v>
      </c>
      <c r="M19" s="129" t="n">
        <v>0.970087614988293</v>
      </c>
      <c r="N19" s="129" t="n">
        <v>0.608149487</v>
      </c>
      <c r="O19" s="129" t="n">
        <v>0.043197129</v>
      </c>
      <c r="P19" s="132" t="n">
        <v>7.10304455128152</v>
      </c>
      <c r="Q19" s="129" t="n">
        <v>0</v>
      </c>
      <c r="R19" s="130" t="n">
        <v>5.422974677</v>
      </c>
      <c r="S19" s="131" t="n">
        <v>195.445588955</v>
      </c>
      <c r="T19" s="132" t="n">
        <v>1.038888889</v>
      </c>
      <c r="U19" s="132" t="n">
        <v>0.0523413189695522</v>
      </c>
      <c r="V19" s="129" t="n">
        <v>0.970087614988293</v>
      </c>
      <c r="W19" s="129" t="n">
        <v>0.560329886</v>
      </c>
      <c r="X19" s="129" t="n">
        <v>0.039485778</v>
      </c>
      <c r="Y19" s="132" t="n">
        <v>7.0468805941934</v>
      </c>
      <c r="Z19" s="129" t="n">
        <v>0</v>
      </c>
      <c r="AA19" s="133">
        <f>I19-R19</f>
        <v/>
      </c>
      <c r="AB19" s="134">
        <f>J19-S19</f>
        <v/>
      </c>
      <c r="AC19" s="135">
        <f>K19-T19</f>
        <v/>
      </c>
      <c r="AD19" s="135">
        <f>L19-U19</f>
        <v/>
      </c>
      <c r="AE19" s="136">
        <f>M19-V19</f>
        <v/>
      </c>
      <c r="AF19" s="136">
        <f>N19-W19</f>
        <v/>
      </c>
      <c r="AG19" s="136">
        <f>O19-X19</f>
        <v/>
      </c>
      <c r="AH19" s="135">
        <f>P19-Y19</f>
        <v/>
      </c>
      <c r="AI19" s="137">
        <f>Q19-Z19</f>
        <v/>
      </c>
    </row>
    <row r="20">
      <c r="B20" t="inlineStr">
        <is>
          <t>BASEPRICE</t>
        </is>
      </c>
      <c r="C20" s="126" t="n">
        <v>46064</v>
      </c>
      <c r="D20" s="127" t="inlineStr">
        <is>
          <t>CRT-B2</t>
        </is>
      </c>
      <c r="E20" s="127" t="inlineStr">
        <is>
          <t>STACR 2022-HQA1 B2</t>
        </is>
      </c>
      <c r="F20" s="128" t="inlineStr">
        <is>
          <t>35564KUL1</t>
        </is>
      </c>
      <c r="G20" s="129" t="n">
        <v>14.69728</v>
      </c>
      <c r="H20" s="129" t="n">
        <v>109.957031</v>
      </c>
      <c r="I20" s="130" t="n">
        <v>5.413784268</v>
      </c>
      <c r="J20" s="131" t="n">
        <v>194.10088807</v>
      </c>
      <c r="K20" s="132" t="n">
        <v>1.122222222</v>
      </c>
      <c r="L20" s="132" t="n">
        <v>0.068447816674852</v>
      </c>
      <c r="M20" s="129" t="n">
        <v>1.02625293693133</v>
      </c>
      <c r="N20" s="129" t="n">
        <v>0.65533951</v>
      </c>
      <c r="O20" s="129" t="n">
        <v>0.054343299</v>
      </c>
      <c r="P20" s="132" t="n">
        <v>8.292388627690091</v>
      </c>
      <c r="Q20" s="129" t="n">
        <v>0</v>
      </c>
      <c r="R20" s="130" t="n">
        <v>5.413784268</v>
      </c>
      <c r="S20" s="131" t="n">
        <v>194.10088807</v>
      </c>
      <c r="T20" s="132" t="n">
        <v>1.122222222</v>
      </c>
      <c r="U20" s="132" t="n">
        <v>0.068447816674852</v>
      </c>
      <c r="V20" s="129" t="n">
        <v>1.02625293693133</v>
      </c>
      <c r="W20" s="129" t="n">
        <v>0.607059761</v>
      </c>
      <c r="X20" s="129" t="n">
        <v>0.048410982</v>
      </c>
      <c r="Y20" s="132" t="n">
        <v>7.97466495230278</v>
      </c>
      <c r="Z20" s="129" t="n">
        <v>0</v>
      </c>
      <c r="AA20" s="133">
        <f>I20-R20</f>
        <v/>
      </c>
      <c r="AB20" s="134">
        <f>J20-S20</f>
        <v/>
      </c>
      <c r="AC20" s="135">
        <f>K20-T20</f>
        <v/>
      </c>
      <c r="AD20" s="135">
        <f>L20-U20</f>
        <v/>
      </c>
      <c r="AE20" s="136">
        <f>M20-V20</f>
        <v/>
      </c>
      <c r="AF20" s="136">
        <f>N20-W20</f>
        <v/>
      </c>
      <c r="AG20" s="136">
        <f>O20-X20</f>
        <v/>
      </c>
      <c r="AH20" s="135">
        <f>P20-Y20</f>
        <v/>
      </c>
      <c r="AI20" s="137">
        <f>Q20-Z20</f>
        <v/>
      </c>
    </row>
    <row r="21">
      <c r="B21" t="inlineStr">
        <is>
          <t>BASEPRICE</t>
        </is>
      </c>
      <c r="C21" s="138" t="n">
        <v>46064</v>
      </c>
      <c r="D21" s="139" t="inlineStr">
        <is>
          <t>MI-CRT</t>
        </is>
      </c>
      <c r="E21" s="139" t="inlineStr">
        <is>
          <t>BMIR 2022-2 B1</t>
        </is>
      </c>
      <c r="F21" s="140" t="inlineStr">
        <is>
          <t>07876GAE0</t>
        </is>
      </c>
      <c r="G21" s="141" t="n">
        <v>15.69728</v>
      </c>
      <c r="H21" s="141" t="n">
        <v>114.749475</v>
      </c>
      <c r="I21" s="142" t="n">
        <v>6.007927063</v>
      </c>
      <c r="J21" s="143" t="n">
        <v>251.155253937</v>
      </c>
      <c r="K21" s="144" t="n">
        <v>1.627777778</v>
      </c>
      <c r="L21" s="144" t="n">
        <v>0.107069490296149</v>
      </c>
      <c r="M21" s="141" t="n">
        <v>1.4364751045702</v>
      </c>
      <c r="N21" s="141" t="n">
        <v>1.080975161</v>
      </c>
      <c r="O21" s="141" t="n">
        <v>0.137306213</v>
      </c>
      <c r="P21" s="144" t="n">
        <v>12.7020692013847</v>
      </c>
      <c r="Q21" s="141" t="n">
        <v>0</v>
      </c>
      <c r="R21" s="142" t="n">
        <v>6.007927063</v>
      </c>
      <c r="S21" s="143" t="n">
        <v>251.155253937</v>
      </c>
      <c r="T21" s="144" t="n">
        <v>1.627777778</v>
      </c>
      <c r="U21" s="144" t="n">
        <v>0.107069490296149</v>
      </c>
      <c r="V21" s="141" t="n">
        <v>1.4364751045702</v>
      </c>
      <c r="W21" s="141" t="n">
        <v>1.119751071</v>
      </c>
      <c r="X21" s="141" t="n">
        <v>0.139672456</v>
      </c>
      <c r="Y21" s="144" t="n">
        <v>12.4735273416854</v>
      </c>
      <c r="Z21" s="141" t="n">
        <v>0</v>
      </c>
      <c r="AA21" s="145">
        <f>I21-R21</f>
        <v/>
      </c>
      <c r="AB21" s="146">
        <f>J21-S21</f>
        <v/>
      </c>
      <c r="AC21" s="147">
        <f>K21-T21</f>
        <v/>
      </c>
      <c r="AD21" s="147">
        <f>L21-U21</f>
        <v/>
      </c>
      <c r="AE21" s="148">
        <f>M21-V21</f>
        <v/>
      </c>
      <c r="AF21" s="148">
        <f>N21-W21</f>
        <v/>
      </c>
      <c r="AG21" s="148">
        <f>O21-X21</f>
        <v/>
      </c>
      <c r="AH21" s="147">
        <f>P21-Y21</f>
        <v/>
      </c>
      <c r="AI21" s="149">
        <f>Q21-Z21</f>
        <v/>
      </c>
    </row>
    <row r="22">
      <c r="B22" t="inlineStr">
        <is>
          <t>BASEPRICE</t>
        </is>
      </c>
      <c r="C22" s="138" t="n">
        <v>46064</v>
      </c>
      <c r="D22" s="139" t="inlineStr">
        <is>
          <t>MI-CRT</t>
        </is>
      </c>
      <c r="E22" s="139" t="inlineStr">
        <is>
          <t>BMIR 2025-1 B1</t>
        </is>
      </c>
      <c r="F22" s="140" t="inlineStr">
        <is>
          <t>07876NAE5</t>
        </is>
      </c>
      <c r="G22" s="141" t="n">
        <v>8.74728</v>
      </c>
      <c r="H22" s="141" t="n">
        <v>103.87375</v>
      </c>
      <c r="I22" s="142" t="n">
        <v>6.954070391</v>
      </c>
      <c r="J22" s="143" t="n">
        <v>339.755493805</v>
      </c>
      <c r="K22" s="144" t="n">
        <v>2.794444444</v>
      </c>
      <c r="L22" s="144" t="n">
        <v>-1.34076879962454</v>
      </c>
      <c r="M22" s="141" t="n">
        <v>2.45234604122793</v>
      </c>
      <c r="N22" s="141" t="n">
        <v>0.574858811</v>
      </c>
      <c r="O22" s="141" t="n">
        <v>0.0897476</v>
      </c>
      <c r="P22" s="144" t="n">
        <v>15.6121117538198</v>
      </c>
      <c r="Q22" s="141" t="n">
        <v>0</v>
      </c>
      <c r="R22" s="142" t="n">
        <v>7.139892849</v>
      </c>
      <c r="S22" s="143" t="n">
        <v>355.581666734</v>
      </c>
      <c r="T22" s="144" t="n">
        <v>3.205555556</v>
      </c>
      <c r="U22" s="144" t="n">
        <v>-1.54141968110326</v>
      </c>
      <c r="V22" s="141" t="n">
        <v>2.76336180122504</v>
      </c>
      <c r="W22" s="141" t="n">
        <v>0.748709689</v>
      </c>
      <c r="X22" s="141" t="n">
        <v>0.125763362</v>
      </c>
      <c r="Y22" s="144" t="n">
        <v>16.7973466682358</v>
      </c>
      <c r="Z22" s="141" t="n">
        <v>0</v>
      </c>
      <c r="AA22" s="145">
        <f>I22-R22</f>
        <v/>
      </c>
      <c r="AB22" s="146">
        <f>J22-S22</f>
        <v/>
      </c>
      <c r="AC22" s="147">
        <f>K22-T22</f>
        <v/>
      </c>
      <c r="AD22" s="147">
        <f>L22-U22</f>
        <v/>
      </c>
      <c r="AE22" s="148">
        <f>M22-V22</f>
        <v/>
      </c>
      <c r="AF22" s="148">
        <f>N22-W22</f>
        <v/>
      </c>
      <c r="AG22" s="148">
        <f>O22-X22</f>
        <v/>
      </c>
      <c r="AH22" s="147">
        <f>P22-Y22</f>
        <v/>
      </c>
      <c r="AI22" s="149">
        <f>Q22-Z22</f>
        <v/>
      </c>
    </row>
    <row r="23">
      <c r="B23" t="inlineStr">
        <is>
          <t>BASEPRICE</t>
        </is>
      </c>
      <c r="C23" s="138" t="n">
        <v>46064</v>
      </c>
      <c r="D23" s="139" t="inlineStr">
        <is>
          <t>MI-CRT</t>
        </is>
      </c>
      <c r="E23" s="139" t="inlineStr">
        <is>
          <t>BMIR 2025-1 M1B</t>
        </is>
      </c>
      <c r="F23" s="140" t="inlineStr">
        <is>
          <t>07876NAB1</t>
        </is>
      </c>
      <c r="G23" s="141" t="n">
        <v>6.19728</v>
      </c>
      <c r="H23" s="141" t="n">
        <v>100.441375</v>
      </c>
      <c r="I23" s="142" t="n">
        <v>5.572717724</v>
      </c>
      <c r="J23" s="143" t="n">
        <v>208.021400539</v>
      </c>
      <c r="K23" s="144" t="n">
        <v>0.942775984</v>
      </c>
      <c r="L23" s="144" t="n">
        <v>-0.022027971042818</v>
      </c>
      <c r="M23" s="141" t="n">
        <v>0.9002592357979921</v>
      </c>
      <c r="N23" s="141" t="n">
        <v>0.574858811</v>
      </c>
      <c r="O23" s="141" t="n">
        <v>0.0897476</v>
      </c>
      <c r="P23" s="144" t="n">
        <v>15.6121117538198</v>
      </c>
      <c r="Q23" s="141" t="n">
        <v>0</v>
      </c>
      <c r="R23" s="142" t="n">
        <v>5.590432254</v>
      </c>
      <c r="S23" s="143" t="n">
        <v>210.522913016</v>
      </c>
      <c r="T23" s="144" t="n">
        <v>1.017831937</v>
      </c>
      <c r="U23" s="144" t="n">
        <v>-0.0153677107666025</v>
      </c>
      <c r="V23" s="141" t="n">
        <v>0.970256774163041</v>
      </c>
      <c r="W23" s="141" t="n">
        <v>0.748709689</v>
      </c>
      <c r="X23" s="141" t="n">
        <v>0.125763362</v>
      </c>
      <c r="Y23" s="144" t="n">
        <v>16.7973466682358</v>
      </c>
      <c r="Z23" s="141" t="n">
        <v>0</v>
      </c>
      <c r="AA23" s="145">
        <f>I23-R23</f>
        <v/>
      </c>
      <c r="AB23" s="146">
        <f>J23-S23</f>
        <v/>
      </c>
      <c r="AC23" s="147">
        <f>K23-T23</f>
        <v/>
      </c>
      <c r="AD23" s="147">
        <f>L23-U23</f>
        <v/>
      </c>
      <c r="AE23" s="148">
        <f>M23-V23</f>
        <v/>
      </c>
      <c r="AF23" s="148">
        <f>N23-W23</f>
        <v/>
      </c>
      <c r="AG23" s="148">
        <f>O23-X23</f>
        <v/>
      </c>
      <c r="AH23" s="147">
        <f>P23-Y23</f>
        <v/>
      </c>
      <c r="AI23" s="149">
        <f>Q23-Z23</f>
        <v/>
      </c>
    </row>
    <row r="24">
      <c r="B24" t="inlineStr">
        <is>
          <t>BASEPRICE</t>
        </is>
      </c>
      <c r="C24" s="138" t="n">
        <v>46064</v>
      </c>
      <c r="D24" s="139" t="inlineStr">
        <is>
          <t>MI-CRT</t>
        </is>
      </c>
      <c r="E24" s="139" t="inlineStr">
        <is>
          <t>BMIR 2025-1 M1C</t>
        </is>
      </c>
      <c r="F24" s="140" t="inlineStr">
        <is>
          <t>07876NAC9</t>
        </is>
      </c>
      <c r="G24" s="141" t="n">
        <v>6.94728</v>
      </c>
      <c r="H24" s="141" t="n">
        <v>100.687955</v>
      </c>
      <c r="I24" s="142" t="n">
        <v>6.228379521</v>
      </c>
      <c r="J24" s="143" t="n">
        <v>273.663822181</v>
      </c>
      <c r="K24" s="144" t="n">
        <v>1.505205532</v>
      </c>
      <c r="L24" s="144" t="n">
        <v>-0.08799627820427761</v>
      </c>
      <c r="M24" s="141" t="n">
        <v>1.40481023474953</v>
      </c>
      <c r="N24" s="141" t="n">
        <v>0.574858811</v>
      </c>
      <c r="O24" s="141" t="n">
        <v>0.0897476</v>
      </c>
      <c r="P24" s="144" t="n">
        <v>15.6121117538198</v>
      </c>
      <c r="Q24" s="141" t="n">
        <v>0</v>
      </c>
      <c r="R24" s="142" t="n">
        <v>6.263906103</v>
      </c>
      <c r="S24" s="143" t="n">
        <v>275.924882865</v>
      </c>
      <c r="T24" s="144" t="n">
        <v>1.738630744</v>
      </c>
      <c r="U24" s="144" t="n">
        <v>-0.0969587563875</v>
      </c>
      <c r="V24" s="141" t="n">
        <v>1.61053438814999</v>
      </c>
      <c r="W24" s="141" t="n">
        <v>0.748709689</v>
      </c>
      <c r="X24" s="141" t="n">
        <v>0.125763362</v>
      </c>
      <c r="Y24" s="144" t="n">
        <v>16.7973466682358</v>
      </c>
      <c r="Z24" s="141" t="n">
        <v>0</v>
      </c>
      <c r="AA24" s="145">
        <f>I24-R24</f>
        <v/>
      </c>
      <c r="AB24" s="146">
        <f>J24-S24</f>
        <v/>
      </c>
      <c r="AC24" s="147">
        <f>K24-T24</f>
        <v/>
      </c>
      <c r="AD24" s="147">
        <f>L24-U24</f>
        <v/>
      </c>
      <c r="AE24" s="148">
        <f>M24-V24</f>
        <v/>
      </c>
      <c r="AF24" s="148">
        <f>N24-W24</f>
        <v/>
      </c>
      <c r="AG24" s="148">
        <f>O24-X24</f>
        <v/>
      </c>
      <c r="AH24" s="147">
        <f>P24-Y24</f>
        <v/>
      </c>
      <c r="AI24" s="149">
        <f>Q24-Z24</f>
        <v/>
      </c>
    </row>
    <row r="25">
      <c r="B25" t="inlineStr">
        <is>
          <t>BASEPRICE</t>
        </is>
      </c>
      <c r="C25" s="138" t="n">
        <v>46064</v>
      </c>
      <c r="D25" s="139" t="inlineStr">
        <is>
          <t>MI-CRT</t>
        </is>
      </c>
      <c r="E25" s="139" t="inlineStr">
        <is>
          <t>BMIR 2025-1 M2</t>
        </is>
      </c>
      <c r="F25" s="140" t="inlineStr">
        <is>
          <t>07876NAD7</t>
        </is>
      </c>
      <c r="G25" s="141" t="n">
        <v>7.59728</v>
      </c>
      <c r="H25" s="141" t="n">
        <v>102.938</v>
      </c>
      <c r="I25" s="142" t="n">
        <v>5.941752539</v>
      </c>
      <c r="J25" s="143" t="n">
        <v>240.950343561</v>
      </c>
      <c r="K25" s="144" t="n">
        <v>2.315992522</v>
      </c>
      <c r="L25" s="144" t="n">
        <v>-0.968090341759117</v>
      </c>
      <c r="M25" s="141" t="n">
        <v>2.1028535458237</v>
      </c>
      <c r="N25" s="141" t="n">
        <v>0.574858811</v>
      </c>
      <c r="O25" s="141" t="n">
        <v>0.0897476</v>
      </c>
      <c r="P25" s="144" t="n">
        <v>15.6121117538198</v>
      </c>
      <c r="Q25" s="141" t="n">
        <v>0</v>
      </c>
      <c r="R25" s="142" t="n">
        <v>6.089405898</v>
      </c>
      <c r="S25" s="143" t="n">
        <v>253.824992334</v>
      </c>
      <c r="T25" s="144" t="n">
        <v>2.620505483</v>
      </c>
      <c r="U25" s="144" t="n">
        <v>-1.02229774718763</v>
      </c>
      <c r="V25" s="141" t="n">
        <v>2.35195247527638</v>
      </c>
      <c r="W25" s="141" t="n">
        <v>0.748709689</v>
      </c>
      <c r="X25" s="141" t="n">
        <v>0.125763362</v>
      </c>
      <c r="Y25" s="144" t="n">
        <v>16.7973466682358</v>
      </c>
      <c r="Z25" s="141" t="n">
        <v>0</v>
      </c>
      <c r="AA25" s="145">
        <f>I25-R25</f>
        <v/>
      </c>
      <c r="AB25" s="146">
        <f>J25-S25</f>
        <v/>
      </c>
      <c r="AC25" s="147">
        <f>K25-T25</f>
        <v/>
      </c>
      <c r="AD25" s="147">
        <f>L25-U25</f>
        <v/>
      </c>
      <c r="AE25" s="148">
        <f>M25-V25</f>
        <v/>
      </c>
      <c r="AF25" s="148">
        <f>N25-W25</f>
        <v/>
      </c>
      <c r="AG25" s="148">
        <f>O25-X25</f>
        <v/>
      </c>
      <c r="AH25" s="147">
        <f>P25-Y25</f>
        <v/>
      </c>
      <c r="AI25" s="149">
        <f>Q25-Z25</f>
        <v/>
      </c>
    </row>
    <row r="26">
      <c r="B26" t="inlineStr">
        <is>
          <t>BASEPRICE</t>
        </is>
      </c>
      <c r="C26" s="138" t="n">
        <v>46064</v>
      </c>
      <c r="D26" s="139" t="inlineStr">
        <is>
          <t>MI-CRT</t>
        </is>
      </c>
      <c r="E26" s="139" t="inlineStr">
        <is>
          <t>EMIR 2023-1 M2</t>
        </is>
      </c>
      <c r="F26" s="140" t="inlineStr">
        <is>
          <t>26982EAG1</t>
        </is>
      </c>
      <c r="G26" s="141" t="n">
        <v>8.89728</v>
      </c>
      <c r="H26" s="141" t="n">
        <v>106.59389</v>
      </c>
      <c r="I26" s="142" t="n">
        <v>5.898374904</v>
      </c>
      <c r="J26" s="143" t="n">
        <v>235.095983156</v>
      </c>
      <c r="K26" s="144" t="n">
        <v>2.622222222</v>
      </c>
      <c r="L26" s="144" t="n">
        <v>0.00803135526811331</v>
      </c>
      <c r="M26" s="141" t="n">
        <v>2.32842215721746</v>
      </c>
      <c r="N26" s="141" t="n">
        <v>2.055207158</v>
      </c>
      <c r="O26" s="141" t="n">
        <v>0.263273176</v>
      </c>
      <c r="P26" s="144" t="n">
        <v>12.8100554231332</v>
      </c>
      <c r="Q26" s="141" t="n">
        <v>0</v>
      </c>
      <c r="R26" s="142" t="n">
        <v>5.898374904</v>
      </c>
      <c r="S26" s="143" t="n">
        <v>235.095983156</v>
      </c>
      <c r="T26" s="144" t="n">
        <v>2.622222222</v>
      </c>
      <c r="U26" s="144" t="n">
        <v>0.0577616099759564</v>
      </c>
      <c r="V26" s="141" t="n">
        <v>2.32842215721746</v>
      </c>
      <c r="W26" s="141" t="n">
        <v>2.183197322</v>
      </c>
      <c r="X26" s="141" t="n">
        <v>0.273179006</v>
      </c>
      <c r="Y26" s="144" t="n">
        <v>12.5127950298942</v>
      </c>
      <c r="Z26" s="141" t="n">
        <v>0</v>
      </c>
      <c r="AA26" s="145">
        <f>I26-R26</f>
        <v/>
      </c>
      <c r="AB26" s="146">
        <f>J26-S26</f>
        <v/>
      </c>
      <c r="AC26" s="147">
        <f>K26-T26</f>
        <v/>
      </c>
      <c r="AD26" s="147">
        <f>L26-U26</f>
        <v/>
      </c>
      <c r="AE26" s="148">
        <f>M26-V26</f>
        <v/>
      </c>
      <c r="AF26" s="148">
        <f>N26-W26</f>
        <v/>
      </c>
      <c r="AG26" s="148">
        <f>O26-X26</f>
        <v/>
      </c>
      <c r="AH26" s="147">
        <f>P26-Y26</f>
        <v/>
      </c>
      <c r="AI26" s="149">
        <f>Q26-Z26</f>
        <v/>
      </c>
    </row>
    <row r="27">
      <c r="B27" t="inlineStr">
        <is>
          <t>BASEPRICE</t>
        </is>
      </c>
      <c r="C27" s="138" t="n">
        <v>46064</v>
      </c>
      <c r="D27" s="139" t="inlineStr">
        <is>
          <t>MI-CRT</t>
        </is>
      </c>
      <c r="E27" s="139" t="inlineStr">
        <is>
          <t>HMIR 2023-1 B1</t>
        </is>
      </c>
      <c r="F27" s="140" t="inlineStr">
        <is>
          <t>43731BAD3</t>
        </is>
      </c>
      <c r="G27" s="141" t="n">
        <v>10.94728</v>
      </c>
      <c r="H27" s="141" t="n">
        <v>110.808905</v>
      </c>
      <c r="I27" s="142" t="n">
        <v>6.34321839</v>
      </c>
      <c r="J27" s="143" t="n">
        <v>279.226468525</v>
      </c>
      <c r="K27" s="144" t="n">
        <v>2.705555556</v>
      </c>
      <c r="L27" s="144" t="n">
        <v>0.102808480960985</v>
      </c>
      <c r="M27" s="141" t="n">
        <v>2.33794566510697</v>
      </c>
      <c r="N27" s="141" t="n">
        <v>1.901007877</v>
      </c>
      <c r="O27" s="141" t="n">
        <v>0.293076788</v>
      </c>
      <c r="P27" s="144" t="n">
        <v>15.4169160236468</v>
      </c>
      <c r="Q27" s="141" t="n">
        <v>0</v>
      </c>
      <c r="R27" s="142" t="n">
        <v>6.34321839</v>
      </c>
      <c r="S27" s="143" t="n">
        <v>279.226468525</v>
      </c>
      <c r="T27" s="144" t="n">
        <v>2.705555556</v>
      </c>
      <c r="U27" s="144" t="n">
        <v>0.102808480960985</v>
      </c>
      <c r="V27" s="141" t="n">
        <v>2.33794566510697</v>
      </c>
      <c r="W27" s="141" t="n">
        <v>2.041182058</v>
      </c>
      <c r="X27" s="141" t="n">
        <v>0.304933029</v>
      </c>
      <c r="Y27" s="144" t="n">
        <v>14.9390412190268</v>
      </c>
      <c r="Z27" s="141" t="n">
        <v>0</v>
      </c>
      <c r="AA27" s="145">
        <f>I27-R27</f>
        <v/>
      </c>
      <c r="AB27" s="146">
        <f>J27-S27</f>
        <v/>
      </c>
      <c r="AC27" s="147">
        <f>K27-T27</f>
        <v/>
      </c>
      <c r="AD27" s="147">
        <f>L27-U27</f>
        <v/>
      </c>
      <c r="AE27" s="148">
        <f>M27-V27</f>
        <v/>
      </c>
      <c r="AF27" s="148">
        <f>N27-W27</f>
        <v/>
      </c>
      <c r="AG27" s="148">
        <f>O27-X27</f>
        <v/>
      </c>
      <c r="AH27" s="147">
        <f>P27-Y27</f>
        <v/>
      </c>
      <c r="AI27" s="149">
        <f>Q27-Z27</f>
        <v/>
      </c>
    </row>
    <row r="28">
      <c r="B28" t="inlineStr">
        <is>
          <t>BASEPRICE</t>
        </is>
      </c>
      <c r="C28" s="138" t="n">
        <v>46064</v>
      </c>
      <c r="D28" s="139" t="inlineStr">
        <is>
          <t>MI-CRT</t>
        </is>
      </c>
      <c r="E28" s="139" t="inlineStr">
        <is>
          <t>RMIR 2022-1 M1B</t>
        </is>
      </c>
      <c r="F28" s="140" t="inlineStr">
        <is>
          <t>75049XAB8</t>
        </is>
      </c>
      <c r="G28" s="141" t="n">
        <v>10.44728</v>
      </c>
      <c r="H28" s="141" t="n">
        <v>103.26507</v>
      </c>
      <c r="I28" s="142" t="n">
        <v>6.407342528</v>
      </c>
      <c r="J28" s="143" t="n">
        <v>289.96155021</v>
      </c>
      <c r="K28" s="144" t="n">
        <v>0.867057563</v>
      </c>
      <c r="L28" s="144" t="n">
        <v>-0.140598682594222</v>
      </c>
      <c r="M28" s="141" t="n">
        <v>0.811623124837854</v>
      </c>
      <c r="N28" s="141" t="n">
        <v>2.046161136</v>
      </c>
      <c r="O28" s="141" t="n">
        <v>0.203972044</v>
      </c>
      <c r="P28" s="144" t="n">
        <v>9.96852302642894</v>
      </c>
      <c r="Q28" s="141" t="n">
        <v>0</v>
      </c>
      <c r="R28" s="142" t="n">
        <v>6.529580038</v>
      </c>
      <c r="S28" s="143" t="n">
        <v>302.257942632</v>
      </c>
      <c r="T28" s="144" t="n">
        <v>0.8975586169999999</v>
      </c>
      <c r="U28" s="144" t="n">
        <v>-0.126741656205717</v>
      </c>
      <c r="V28" s="141" t="n">
        <v>0.838230225380188</v>
      </c>
      <c r="W28" s="141" t="n">
        <v>1.999163458</v>
      </c>
      <c r="X28" s="141" t="n">
        <v>0.204349062</v>
      </c>
      <c r="Y28" s="144" t="n">
        <v>10.2217285526234</v>
      </c>
      <c r="Z28" s="141" t="n">
        <v>0</v>
      </c>
      <c r="AA28" s="145">
        <f>I28-R28</f>
        <v/>
      </c>
      <c r="AB28" s="146">
        <f>J28-S28</f>
        <v/>
      </c>
      <c r="AC28" s="147">
        <f>K28-T28</f>
        <v/>
      </c>
      <c r="AD28" s="147">
        <f>L28-U28</f>
        <v/>
      </c>
      <c r="AE28" s="148">
        <f>M28-V28</f>
        <v/>
      </c>
      <c r="AF28" s="148">
        <f>N28-W28</f>
        <v/>
      </c>
      <c r="AG28" s="148">
        <f>O28-X28</f>
        <v/>
      </c>
      <c r="AH28" s="147">
        <f>P28-Y28</f>
        <v/>
      </c>
      <c r="AI28" s="149">
        <f>Q28-Z28</f>
        <v/>
      </c>
    </row>
    <row r="29">
      <c r="B29" t="inlineStr">
        <is>
          <t>BASEPRICE</t>
        </is>
      </c>
      <c r="C29" s="138" t="n">
        <v>46064</v>
      </c>
      <c r="D29" s="139" t="inlineStr">
        <is>
          <t>MI-CRT</t>
        </is>
      </c>
      <c r="E29" s="139" t="inlineStr">
        <is>
          <t>RMIR 2023-1 B1</t>
        </is>
      </c>
      <c r="F29" s="140" t="inlineStr">
        <is>
          <t>75050KAD8</t>
        </is>
      </c>
      <c r="G29" s="141" t="n">
        <v>10.94728</v>
      </c>
      <c r="H29" s="141" t="n">
        <v>111.60411</v>
      </c>
      <c r="I29" s="142" t="n">
        <v>5.616919966</v>
      </c>
      <c r="J29" s="143" t="n">
        <v>207.905278821</v>
      </c>
      <c r="K29" s="144" t="n">
        <v>2.455555556</v>
      </c>
      <c r="L29" s="144" t="n">
        <v>0.11142073889573</v>
      </c>
      <c r="M29" s="141" t="n">
        <v>2.15413259422077</v>
      </c>
      <c r="N29" s="141" t="n">
        <v>2.529519809</v>
      </c>
      <c r="O29" s="141" t="n">
        <v>0.335263173</v>
      </c>
      <c r="P29" s="144" t="n">
        <v>13.2540244123465</v>
      </c>
      <c r="Q29" s="141" t="n">
        <v>0</v>
      </c>
      <c r="R29" s="142" t="n">
        <v>5.616919966</v>
      </c>
      <c r="S29" s="143" t="n">
        <v>207.905278821</v>
      </c>
      <c r="T29" s="144" t="n">
        <v>2.455555556</v>
      </c>
      <c r="U29" s="144" t="n">
        <v>0.11142073889573</v>
      </c>
      <c r="V29" s="141" t="n">
        <v>2.15413259422077</v>
      </c>
      <c r="W29" s="141" t="n">
        <v>2.582711405</v>
      </c>
      <c r="X29" s="141" t="n">
        <v>0.333524878</v>
      </c>
      <c r="Y29" s="144" t="n">
        <v>12.9137493780495</v>
      </c>
      <c r="Z29" s="141" t="n">
        <v>0</v>
      </c>
      <c r="AA29" s="145">
        <f>I29-R29</f>
        <v/>
      </c>
      <c r="AB29" s="146">
        <f>J29-S29</f>
        <v/>
      </c>
      <c r="AC29" s="147">
        <f>K29-T29</f>
        <v/>
      </c>
      <c r="AD29" s="147">
        <f>L29-U29</f>
        <v/>
      </c>
      <c r="AE29" s="148">
        <f>M29-V29</f>
        <v/>
      </c>
      <c r="AF29" s="148">
        <f>N29-W29</f>
        <v/>
      </c>
      <c r="AG29" s="148">
        <f>O29-X29</f>
        <v/>
      </c>
      <c r="AH29" s="147">
        <f>P29-Y29</f>
        <v/>
      </c>
      <c r="AI29" s="149">
        <f>Q29-Z29</f>
        <v/>
      </c>
    </row>
    <row r="30">
      <c r="B30" t="inlineStr">
        <is>
          <t>BASEPRICE</t>
        </is>
      </c>
      <c r="C30" s="138" t="n">
        <v>46064</v>
      </c>
      <c r="D30" s="139" t="inlineStr">
        <is>
          <t>MI-CRT</t>
        </is>
      </c>
      <c r="E30" s="139" t="inlineStr">
        <is>
          <t>RMIR 2024-1 M1B</t>
        </is>
      </c>
      <c r="F30" s="140" t="inlineStr">
        <is>
          <t>75049AAB8</t>
        </is>
      </c>
      <c r="G30" s="141" t="n">
        <v>6.59728</v>
      </c>
      <c r="H30" s="141" t="n">
        <v>100.736545</v>
      </c>
      <c r="I30" s="142" t="n">
        <v>4.657786774</v>
      </c>
      <c r="J30" s="143" t="n">
        <v>104.998398856</v>
      </c>
      <c r="K30" s="144" t="n">
        <v>0.38987162</v>
      </c>
      <c r="L30" s="144" t="n">
        <v>0.00772114131966626</v>
      </c>
      <c r="M30" s="141" t="n">
        <v>0.376581823408771</v>
      </c>
      <c r="N30" s="141" t="n">
        <v>1.810726321</v>
      </c>
      <c r="O30" s="141" t="n">
        <v>0.27908855</v>
      </c>
      <c r="P30" s="144" t="n">
        <v>15.413071912815</v>
      </c>
      <c r="Q30" s="141" t="n">
        <v>0</v>
      </c>
      <c r="R30" s="142" t="n">
        <v>4.841641546</v>
      </c>
      <c r="S30" s="143" t="n">
        <v>125.00846881</v>
      </c>
      <c r="T30" s="144" t="n">
        <v>0.433141878</v>
      </c>
      <c r="U30" s="144" t="n">
        <v>-0.00354939510781005</v>
      </c>
      <c r="V30" s="141" t="n">
        <v>0.418089460979631</v>
      </c>
      <c r="W30" s="141" t="n">
        <v>2.112697072</v>
      </c>
      <c r="X30" s="141" t="n">
        <v>0.302798649</v>
      </c>
      <c r="Y30" s="144" t="n">
        <v>14.3323268164211</v>
      </c>
      <c r="Z30" s="141" t="n">
        <v>0</v>
      </c>
      <c r="AA30" s="145">
        <f>I30-R30</f>
        <v/>
      </c>
      <c r="AB30" s="146">
        <f>J30-S30</f>
        <v/>
      </c>
      <c r="AC30" s="147">
        <f>K30-T30</f>
        <v/>
      </c>
      <c r="AD30" s="147">
        <f>L30-U30</f>
        <v/>
      </c>
      <c r="AE30" s="148">
        <f>M30-V30</f>
        <v/>
      </c>
      <c r="AF30" s="148">
        <f>N30-W30</f>
        <v/>
      </c>
      <c r="AG30" s="148">
        <f>O30-X30</f>
        <v/>
      </c>
      <c r="AH30" s="147">
        <f>P30-Y30</f>
        <v/>
      </c>
      <c r="AI30" s="149">
        <f>Q30-Z30</f>
        <v/>
      </c>
    </row>
    <row r="31">
      <c r="B31" t="inlineStr">
        <is>
          <t>BASEPRICE</t>
        </is>
      </c>
      <c r="C31" s="138" t="n">
        <v>46064</v>
      </c>
      <c r="D31" s="139" t="inlineStr">
        <is>
          <t>MI-CRT</t>
        </is>
      </c>
      <c r="E31" s="139" t="inlineStr">
        <is>
          <t>TMIR 2021-3 B1</t>
        </is>
      </c>
      <c r="F31" s="140" t="inlineStr">
        <is>
          <t>89600HAG4</t>
        </is>
      </c>
      <c r="G31" s="141" t="n">
        <v>8.64728</v>
      </c>
      <c r="H31" s="141" t="n">
        <v>102.27056</v>
      </c>
      <c r="I31" s="142" t="n">
        <v>5.651637651</v>
      </c>
      <c r="J31" s="143" t="n">
        <v>213.973994483</v>
      </c>
      <c r="K31" s="144" t="n">
        <v>0.788888889</v>
      </c>
      <c r="L31" s="144" t="n">
        <v>0.033116786492611</v>
      </c>
      <c r="M31" s="141" t="n">
        <v>0.752596351286229</v>
      </c>
      <c r="N31" s="141" t="n">
        <v>1.092951507</v>
      </c>
      <c r="O31" s="141" t="n">
        <v>0.10650129</v>
      </c>
      <c r="P31" s="144" t="n">
        <v>9.74437468797964</v>
      </c>
      <c r="Q31" s="141" t="n">
        <v>0</v>
      </c>
      <c r="R31" s="142" t="n">
        <v>5.651637651</v>
      </c>
      <c r="S31" s="143" t="n">
        <v>213.973994483</v>
      </c>
      <c r="T31" s="144" t="n">
        <v>0.788888889</v>
      </c>
      <c r="U31" s="144" t="n">
        <v>-0.215286175219933</v>
      </c>
      <c r="V31" s="141" t="n">
        <v>0.752596351286229</v>
      </c>
      <c r="W31" s="141" t="n">
        <v>1.016118124</v>
      </c>
      <c r="X31" s="141" t="n">
        <v>0.099766865</v>
      </c>
      <c r="Y31" s="144" t="n">
        <v>9.818431798781701</v>
      </c>
      <c r="Z31" s="141" t="n">
        <v>0</v>
      </c>
      <c r="AA31" s="145">
        <f>I31-R31</f>
        <v/>
      </c>
      <c r="AB31" s="146">
        <f>J31-S31</f>
        <v/>
      </c>
      <c r="AC31" s="147">
        <f>K31-T31</f>
        <v/>
      </c>
      <c r="AD31" s="147">
        <f>L31-U31</f>
        <v/>
      </c>
      <c r="AE31" s="148">
        <f>M31-V31</f>
        <v/>
      </c>
      <c r="AF31" s="148">
        <f>N31-W31</f>
        <v/>
      </c>
      <c r="AG31" s="148">
        <f>O31-X31</f>
        <v/>
      </c>
      <c r="AH31" s="147">
        <f>P31-Y31</f>
        <v/>
      </c>
      <c r="AI31" s="149">
        <f>Q31-Z31</f>
        <v/>
      </c>
    </row>
    <row r="32">
      <c r="B32" t="inlineStr">
        <is>
          <t>BASEPRICE</t>
        </is>
      </c>
      <c r="C32" s="138" t="n">
        <v>46064</v>
      </c>
      <c r="D32" s="139" t="inlineStr">
        <is>
          <t>MI-CRT</t>
        </is>
      </c>
      <c r="E32" s="139" t="inlineStr">
        <is>
          <t>TMIR 2023-1 B1</t>
        </is>
      </c>
      <c r="F32" s="140" t="inlineStr">
        <is>
          <t>89589AAD1</t>
        </is>
      </c>
      <c r="G32" s="141" t="n">
        <v>11.09728</v>
      </c>
      <c r="H32" s="141" t="n">
        <v>111.56115</v>
      </c>
      <c r="I32" s="142" t="n">
        <v>6.331964649</v>
      </c>
      <c r="J32" s="143" t="n">
        <v>277.647219755</v>
      </c>
      <c r="K32" s="144" t="n">
        <v>2.794444444</v>
      </c>
      <c r="L32" s="144" t="n">
        <v>0.113529263547395</v>
      </c>
      <c r="M32" s="141" t="n">
        <v>2.40311128201887</v>
      </c>
      <c r="N32" s="141" t="n">
        <v>2.18693828</v>
      </c>
      <c r="O32" s="141" t="n">
        <v>0.387734765</v>
      </c>
      <c r="P32" s="144" t="n">
        <v>17.7295705391375</v>
      </c>
      <c r="Q32" s="141" t="n">
        <v>0</v>
      </c>
      <c r="R32" s="142" t="n">
        <v>6.331964649</v>
      </c>
      <c r="S32" s="143" t="n">
        <v>277.647219755</v>
      </c>
      <c r="T32" s="144" t="n">
        <v>2.794444444</v>
      </c>
      <c r="U32" s="144" t="n">
        <v>0.113529263547395</v>
      </c>
      <c r="V32" s="141" t="n">
        <v>2.40311128201887</v>
      </c>
      <c r="W32" s="141" t="n">
        <v>2.291445948</v>
      </c>
      <c r="X32" s="141" t="n">
        <v>0.40466336</v>
      </c>
      <c r="Y32" s="144" t="n">
        <v>17.6597384002531</v>
      </c>
      <c r="Z32" s="141" t="n">
        <v>0</v>
      </c>
      <c r="AA32" s="145">
        <f>I32-R32</f>
        <v/>
      </c>
      <c r="AB32" s="146">
        <f>J32-S32</f>
        <v/>
      </c>
      <c r="AC32" s="147">
        <f>K32-T32</f>
        <v/>
      </c>
      <c r="AD32" s="147">
        <f>L32-U32</f>
        <v/>
      </c>
      <c r="AE32" s="148">
        <f>M32-V32</f>
        <v/>
      </c>
      <c r="AF32" s="148">
        <f>N32-W32</f>
        <v/>
      </c>
      <c r="AG32" s="148">
        <f>O32-X32</f>
        <v/>
      </c>
      <c r="AH32" s="147">
        <f>P32-Y32</f>
        <v/>
      </c>
      <c r="AI32" s="149">
        <f>Q32-Z32</f>
        <v/>
      </c>
    </row>
    <row r="33">
      <c r="B33" t="inlineStr">
        <is>
          <t>BASEPRICE</t>
        </is>
      </c>
      <c r="C33" s="138" t="n">
        <v>46064</v>
      </c>
      <c r="D33" s="139" t="inlineStr">
        <is>
          <t>MI-CRT</t>
        </is>
      </c>
      <c r="E33" s="139" t="inlineStr">
        <is>
          <t>TMIR 2023-1 M1B</t>
        </is>
      </c>
      <c r="F33" s="140" t="inlineStr">
        <is>
          <t>89589AAB5</t>
        </is>
      </c>
      <c r="G33" s="141" t="n">
        <v>8.947279999999999</v>
      </c>
      <c r="H33" s="141" t="n">
        <v>104.345385</v>
      </c>
      <c r="I33" s="142" t="n">
        <v>5.456775508</v>
      </c>
      <c r="J33" s="143" t="n">
        <v>195.896738083</v>
      </c>
      <c r="K33" s="144" t="n">
        <v>1.382733578</v>
      </c>
      <c r="L33" s="144" t="n">
        <v>-1.30055778700706</v>
      </c>
      <c r="M33" s="141" t="n">
        <v>1.28573038280515</v>
      </c>
      <c r="N33" s="141" t="n">
        <v>2.18693828</v>
      </c>
      <c r="O33" s="141" t="n">
        <v>0.387734765</v>
      </c>
      <c r="P33" s="144" t="n">
        <v>17.7295705391375</v>
      </c>
      <c r="Q33" s="141" t="n">
        <v>0</v>
      </c>
      <c r="R33" s="142" t="n">
        <v>5.772039822</v>
      </c>
      <c r="S33" s="143" t="n">
        <v>226.850997757</v>
      </c>
      <c r="T33" s="144" t="n">
        <v>1.549915766</v>
      </c>
      <c r="U33" s="144" t="n">
        <v>-1.28558803439175</v>
      </c>
      <c r="V33" s="141" t="n">
        <v>1.42870156068714</v>
      </c>
      <c r="W33" s="141" t="n">
        <v>2.291445948</v>
      </c>
      <c r="X33" s="141" t="n">
        <v>0.40466336</v>
      </c>
      <c r="Y33" s="144" t="n">
        <v>17.6597384002531</v>
      </c>
      <c r="Z33" s="141" t="n">
        <v>0</v>
      </c>
      <c r="AA33" s="145">
        <f>I33-R33</f>
        <v/>
      </c>
      <c r="AB33" s="146">
        <f>J33-S33</f>
        <v/>
      </c>
      <c r="AC33" s="147">
        <f>K33-T33</f>
        <v/>
      </c>
      <c r="AD33" s="147">
        <f>L33-U33</f>
        <v/>
      </c>
      <c r="AE33" s="148">
        <f>M33-V33</f>
        <v/>
      </c>
      <c r="AF33" s="148">
        <f>N33-W33</f>
        <v/>
      </c>
      <c r="AG33" s="148">
        <f>O33-X33</f>
        <v/>
      </c>
      <c r="AH33" s="147">
        <f>P33-Y33</f>
        <v/>
      </c>
      <c r="AI33" s="149">
        <f>Q33-Z33</f>
        <v/>
      </c>
    </row>
    <row r="34">
      <c r="B34" t="inlineStr">
        <is>
          <t>BASEPRICE</t>
        </is>
      </c>
      <c r="C34" s="138" t="n">
        <v>46064</v>
      </c>
      <c r="D34" s="150" t="inlineStr">
        <is>
          <t>MI-CRT</t>
        </is>
      </c>
      <c r="E34" s="150" t="inlineStr">
        <is>
          <t>TMIR 2023-1 M2</t>
        </is>
      </c>
      <c r="F34" s="140" t="inlineStr">
        <is>
          <t>89589AAC3</t>
        </is>
      </c>
      <c r="G34" s="141" t="n">
        <v>10.19728</v>
      </c>
      <c r="H34" s="141" t="n">
        <v>109.35919</v>
      </c>
      <c r="I34" s="142" t="n">
        <v>6.116337506</v>
      </c>
      <c r="J34" s="143" t="n">
        <v>256.681439252</v>
      </c>
      <c r="K34" s="144" t="n">
        <v>2.659533976</v>
      </c>
      <c r="L34" s="144" t="n">
        <v>-1.31976361748839</v>
      </c>
      <c r="M34" s="141" t="n">
        <v>2.32336718203563</v>
      </c>
      <c r="N34" s="141" t="n">
        <v>2.18693828</v>
      </c>
      <c r="O34" s="141" t="n">
        <v>0.387734765</v>
      </c>
      <c r="P34" s="144" t="n">
        <v>17.7295705391375</v>
      </c>
      <c r="Q34" s="141" t="n">
        <v>0</v>
      </c>
      <c r="R34" s="142" t="n">
        <v>6.230719501</v>
      </c>
      <c r="S34" s="143" t="n">
        <v>267.69535957</v>
      </c>
      <c r="T34" s="144" t="n">
        <v>2.75071226</v>
      </c>
      <c r="U34" s="144" t="n">
        <v>-0.7287298973227661</v>
      </c>
      <c r="V34" s="141" t="n">
        <v>2.39277546770417</v>
      </c>
      <c r="W34" s="141" t="n">
        <v>2.291445948</v>
      </c>
      <c r="X34" s="141" t="n">
        <v>0.40466336</v>
      </c>
      <c r="Y34" s="144" t="n">
        <v>17.6597384002531</v>
      </c>
      <c r="Z34" s="141" t="n">
        <v>0</v>
      </c>
      <c r="AA34" s="145">
        <f>I34-R34</f>
        <v/>
      </c>
      <c r="AB34" s="146">
        <f>J34-S34</f>
        <v/>
      </c>
      <c r="AC34" s="147">
        <f>K34-T34</f>
        <v/>
      </c>
      <c r="AD34" s="147">
        <f>L34-U34</f>
        <v/>
      </c>
      <c r="AE34" s="148">
        <f>M34-V34</f>
        <v/>
      </c>
      <c r="AF34" s="148">
        <f>N34-W34</f>
        <v/>
      </c>
      <c r="AG34" s="148">
        <f>O34-X34</f>
        <v/>
      </c>
      <c r="AH34" s="147">
        <f>P34-Y34</f>
        <v/>
      </c>
      <c r="AI34" s="149">
        <f>Q34-Z34</f>
        <v/>
      </c>
    </row>
    <row r="35">
      <c r="B35" t="inlineStr">
        <is>
          <t>BASEPRICE</t>
        </is>
      </c>
      <c r="C35" s="151" t="n">
        <v>46064</v>
      </c>
      <c r="D35" s="152" t="inlineStr">
        <is>
          <t>Non-QM</t>
        </is>
      </c>
      <c r="E35" s="152" t="inlineStr">
        <is>
          <t>ADMT 2023-NQM3 B2</t>
        </is>
      </c>
      <c r="F35" s="153" t="inlineStr">
        <is>
          <t>00249FAF4</t>
        </is>
      </c>
      <c r="G35" s="154" t="n">
        <v>8.065424999999999</v>
      </c>
      <c r="H35" s="154" t="n">
        <v>100.2329</v>
      </c>
      <c r="I35" s="155" t="n">
        <v>6.665359806</v>
      </c>
      <c r="J35" s="156" t="n">
        <v>306.609332103</v>
      </c>
      <c r="K35" s="157" t="n">
        <v>0.538888889</v>
      </c>
      <c r="L35" s="157" t="n">
        <v>0.514685386734292</v>
      </c>
      <c r="M35" s="154" t="n">
        <v>0.5147198584496701</v>
      </c>
      <c r="N35" s="154" t="n">
        <v>4.819088578</v>
      </c>
      <c r="O35" s="154" t="n">
        <v>2.866606553</v>
      </c>
      <c r="P35" s="157" t="n">
        <v>59.4844130088534</v>
      </c>
      <c r="Q35" s="154" t="n">
        <v>0</v>
      </c>
      <c r="R35" s="155" t="n">
        <v>6.667156912</v>
      </c>
      <c r="S35" s="156" t="n">
        <v>306.78902006</v>
      </c>
      <c r="T35" s="157" t="n">
        <v>0.538888889</v>
      </c>
      <c r="U35" s="157" t="n">
        <v>0.514699169633922</v>
      </c>
      <c r="V35" s="154" t="n">
        <v>0.5147142036197691</v>
      </c>
      <c r="W35" s="154" t="n">
        <v>5.515279545</v>
      </c>
      <c r="X35" s="154" t="n">
        <v>2.908649098</v>
      </c>
      <c r="Y35" s="157" t="n">
        <v>52.7380176157508</v>
      </c>
      <c r="Z35" s="154" t="n">
        <v>0</v>
      </c>
      <c r="AA35" s="158">
        <f>I35-R35</f>
        <v/>
      </c>
      <c r="AB35" s="159">
        <f>J35-S35</f>
        <v/>
      </c>
      <c r="AC35" s="160">
        <f>K35-T35</f>
        <v/>
      </c>
      <c r="AD35" s="160">
        <f>L35-U35</f>
        <v/>
      </c>
      <c r="AE35" s="161">
        <f>M35-V35</f>
        <v/>
      </c>
      <c r="AF35" s="161">
        <f>N35-W35</f>
        <v/>
      </c>
      <c r="AG35" s="161">
        <f>O35-X35</f>
        <v/>
      </c>
      <c r="AH35" s="160">
        <f>P35-Y35</f>
        <v/>
      </c>
      <c r="AI35" s="162">
        <f>Q35-Z35</f>
        <v/>
      </c>
    </row>
    <row r="36">
      <c r="B36" t="inlineStr">
        <is>
          <t>BASEPRICE</t>
        </is>
      </c>
      <c r="C36" s="151" t="n">
        <v>46064</v>
      </c>
      <c r="D36" s="152" t="inlineStr">
        <is>
          <t>Non-QM</t>
        </is>
      </c>
      <c r="E36" s="152" t="inlineStr">
        <is>
          <t>ADMT 2024-NQM1 B1</t>
        </is>
      </c>
      <c r="F36" s="153" t="inlineStr">
        <is>
          <t>00039GAE9</t>
        </is>
      </c>
      <c r="G36" s="154" t="n">
        <v>8.450137</v>
      </c>
      <c r="H36" s="154" t="n">
        <v>101.768925</v>
      </c>
      <c r="I36" s="155" t="n">
        <v>7.193963593</v>
      </c>
      <c r="J36" s="156" t="n">
        <v>368.30959625</v>
      </c>
      <c r="K36" s="157" t="n">
        <v>1.955555556</v>
      </c>
      <c r="L36" s="157" t="n">
        <v>1.75528171885475</v>
      </c>
      <c r="M36" s="154" t="n">
        <v>1.75898397177724</v>
      </c>
      <c r="N36" s="154" t="n">
        <v>4.355464506</v>
      </c>
      <c r="O36" s="154" t="n">
        <v>2.740040163</v>
      </c>
      <c r="P36" s="157" t="n">
        <v>62.9104004687761</v>
      </c>
      <c r="Q36" s="154" t="n">
        <v>0</v>
      </c>
      <c r="R36" s="155" t="n">
        <v>7.207145766</v>
      </c>
      <c r="S36" s="156" t="n">
        <v>369.628021752</v>
      </c>
      <c r="T36" s="157" t="n">
        <v>1.955555556</v>
      </c>
      <c r="U36" s="157" t="n">
        <v>1.75518005226056</v>
      </c>
      <c r="V36" s="154" t="n">
        <v>1.75873432386163</v>
      </c>
      <c r="W36" s="154" t="n">
        <v>4.954006577</v>
      </c>
      <c r="X36" s="154" t="n">
        <v>2.702086341</v>
      </c>
      <c r="Y36" s="157" t="n">
        <v>54.5434548582352</v>
      </c>
      <c r="Z36" s="154" t="n">
        <v>0</v>
      </c>
      <c r="AA36" s="158">
        <f>I36-R36</f>
        <v/>
      </c>
      <c r="AB36" s="159">
        <f>J36-S36</f>
        <v/>
      </c>
      <c r="AC36" s="160">
        <f>K36-T36</f>
        <v/>
      </c>
      <c r="AD36" s="160">
        <f>L36-U36</f>
        <v/>
      </c>
      <c r="AE36" s="161">
        <f>M36-V36</f>
        <v/>
      </c>
      <c r="AF36" s="161">
        <f>N36-W36</f>
        <v/>
      </c>
      <c r="AG36" s="161">
        <f>O36-X36</f>
        <v/>
      </c>
      <c r="AH36" s="160">
        <f>P36-Y36</f>
        <v/>
      </c>
      <c r="AI36" s="162">
        <f>Q36-Z36</f>
        <v/>
      </c>
    </row>
    <row r="37">
      <c r="B37" t="inlineStr">
        <is>
          <t>BASEPRICE</t>
        </is>
      </c>
      <c r="C37" s="151" t="n">
        <v>46064</v>
      </c>
      <c r="D37" s="152" t="inlineStr">
        <is>
          <t>Non-QM</t>
        </is>
      </c>
      <c r="E37" s="152" t="inlineStr">
        <is>
          <t>BRAVO 2021-NQM1 B1</t>
        </is>
      </c>
      <c r="F37" s="153" t="inlineStr">
        <is>
          <t>10569TAE8</t>
        </is>
      </c>
      <c r="G37" s="154" t="n">
        <v>3.172</v>
      </c>
      <c r="H37" s="154" t="n">
        <v>90.54235</v>
      </c>
      <c r="I37" s="155" t="n">
        <v>8.245837187999999</v>
      </c>
      <c r="J37" s="156" t="n">
        <v>473.033666401</v>
      </c>
      <c r="K37" s="157" t="n">
        <v>2.038888889</v>
      </c>
      <c r="L37" s="157" t="n">
        <v>1.89930030422227</v>
      </c>
      <c r="M37" s="154" t="n">
        <v>1.89930030422227</v>
      </c>
      <c r="N37" s="154" t="n">
        <v>2.357223245</v>
      </c>
      <c r="O37" s="154" t="n">
        <v>1.320368912</v>
      </c>
      <c r="P37" s="157" t="n">
        <v>56.0137405229092</v>
      </c>
      <c r="Q37" s="154" t="n">
        <v>0</v>
      </c>
      <c r="R37" s="155" t="n">
        <v>8.245837187999999</v>
      </c>
      <c r="S37" s="156" t="n">
        <v>473.033666401</v>
      </c>
      <c r="T37" s="157" t="n">
        <v>2.038888889</v>
      </c>
      <c r="U37" s="157" t="n">
        <v>1.89930030422227</v>
      </c>
      <c r="V37" s="154" t="n">
        <v>1.89930030422227</v>
      </c>
      <c r="W37" s="154" t="n">
        <v>2.682654745</v>
      </c>
      <c r="X37" s="154" t="n">
        <v>1.329766263</v>
      </c>
      <c r="Y37" s="157" t="n">
        <v>49.5690422138165</v>
      </c>
      <c r="Z37" s="154" t="n">
        <v>0</v>
      </c>
      <c r="AA37" s="158">
        <f>I37-R37</f>
        <v/>
      </c>
      <c r="AB37" s="159">
        <f>J37-S37</f>
        <v/>
      </c>
      <c r="AC37" s="160">
        <f>K37-T37</f>
        <v/>
      </c>
      <c r="AD37" s="160">
        <f>L37-U37</f>
        <v/>
      </c>
      <c r="AE37" s="161">
        <f>M37-V37</f>
        <v/>
      </c>
      <c r="AF37" s="161">
        <f>N37-W37</f>
        <v/>
      </c>
      <c r="AG37" s="161">
        <f>O37-X37</f>
        <v/>
      </c>
      <c r="AH37" s="160">
        <f>P37-Y37</f>
        <v/>
      </c>
      <c r="AI37" s="162">
        <f>Q37-Z37</f>
        <v/>
      </c>
    </row>
    <row r="38">
      <c r="B38" t="inlineStr">
        <is>
          <t>BASEPRICE</t>
        </is>
      </c>
      <c r="C38" s="151" t="n">
        <v>46064</v>
      </c>
      <c r="D38" s="152" t="inlineStr">
        <is>
          <t>Non-QM</t>
        </is>
      </c>
      <c r="E38" s="152" t="inlineStr">
        <is>
          <t>CHNGE 2022-1 B1</t>
        </is>
      </c>
      <c r="F38" s="153" t="inlineStr">
        <is>
          <t>17030JAC0</t>
        </is>
      </c>
      <c r="G38" s="154" t="n">
        <v>4.554605</v>
      </c>
      <c r="H38" s="154" t="n">
        <v>90.82789</v>
      </c>
      <c r="I38" s="155" t="n">
        <v>6.557344674</v>
      </c>
      <c r="J38" s="156" t="n">
        <v>273.67911182</v>
      </c>
      <c r="K38" s="157" t="n">
        <v>5.955555556</v>
      </c>
      <c r="L38" s="157" t="n">
        <v>6.68999673338223</v>
      </c>
      <c r="M38" s="154" t="n">
        <v>5.01311392899252</v>
      </c>
      <c r="N38" s="154" t="n">
        <v>2.507360483</v>
      </c>
      <c r="O38" s="154" t="n">
        <v>1.007107601</v>
      </c>
      <c r="P38" s="157" t="n">
        <v>40.1660474362673</v>
      </c>
      <c r="Q38" s="154" t="n">
        <v>0</v>
      </c>
      <c r="R38" s="155" t="n">
        <v>6.390713795</v>
      </c>
      <c r="S38" s="156" t="n">
        <v>249.335395176</v>
      </c>
      <c r="T38" s="157" t="n">
        <v>6.788888889</v>
      </c>
      <c r="U38" s="157" t="n">
        <v>6.72581086492266</v>
      </c>
      <c r="V38" s="154" t="n">
        <v>5.6003758405045</v>
      </c>
      <c r="W38" s="154" t="n">
        <v>3.187907983</v>
      </c>
      <c r="X38" s="154" t="n">
        <v>1.051651632</v>
      </c>
      <c r="Y38" s="157" t="n">
        <v>32.988769989852</v>
      </c>
      <c r="Z38" s="154" t="n">
        <v>0</v>
      </c>
      <c r="AA38" s="158">
        <f>I38-R38</f>
        <v/>
      </c>
      <c r="AB38" s="159">
        <f>J38-S38</f>
        <v/>
      </c>
      <c r="AC38" s="160">
        <f>K38-T38</f>
        <v/>
      </c>
      <c r="AD38" s="160">
        <f>L38-U38</f>
        <v/>
      </c>
      <c r="AE38" s="161">
        <f>M38-V38</f>
        <v/>
      </c>
      <c r="AF38" s="161">
        <f>N38-W38</f>
        <v/>
      </c>
      <c r="AG38" s="161">
        <f>O38-X38</f>
        <v/>
      </c>
      <c r="AH38" s="160">
        <f>P38-Y38</f>
        <v/>
      </c>
      <c r="AI38" s="162">
        <f>Q38-Z38</f>
        <v/>
      </c>
    </row>
    <row r="39">
      <c r="B39" t="inlineStr">
        <is>
          <t>BASEPRICE</t>
        </is>
      </c>
      <c r="C39" s="151" t="n">
        <v>46064</v>
      </c>
      <c r="D39" s="152" t="inlineStr">
        <is>
          <t>Non-QM</t>
        </is>
      </c>
      <c r="E39" s="152" t="inlineStr">
        <is>
          <t>CHNGE 2022-2 B2</t>
        </is>
      </c>
      <c r="F39" s="153" t="inlineStr">
        <is>
          <t>12546YAD3</t>
        </is>
      </c>
      <c r="G39" s="154" t="n">
        <v>4.588167</v>
      </c>
      <c r="H39" s="154" t="n">
        <v>83.88513</v>
      </c>
      <c r="I39" s="155" t="n">
        <v>6.898584879</v>
      </c>
      <c r="J39" s="156" t="n">
        <v>279.771988903</v>
      </c>
      <c r="K39" s="157" t="n">
        <v>9.705555556</v>
      </c>
      <c r="L39" s="157" t="n">
        <v>9.417954551658919</v>
      </c>
      <c r="M39" s="154" t="n">
        <v>7.3936318188933</v>
      </c>
      <c r="N39" s="154" t="n">
        <v>2.795873911</v>
      </c>
      <c r="O39" s="154" t="n">
        <v>0.834936049</v>
      </c>
      <c r="P39" s="157" t="n">
        <v>29.8631510425078</v>
      </c>
      <c r="Q39" s="154" t="n">
        <v>0</v>
      </c>
      <c r="R39" s="155" t="n">
        <v>6.784775546</v>
      </c>
      <c r="S39" s="156" t="n">
        <v>264.622130141</v>
      </c>
      <c r="T39" s="157" t="n">
        <v>10.455555556</v>
      </c>
      <c r="U39" s="157" t="n">
        <v>9.304203137075669</v>
      </c>
      <c r="V39" s="154" t="n">
        <v>7.81746951932959</v>
      </c>
      <c r="W39" s="154" t="n">
        <v>3.47543089</v>
      </c>
      <c r="X39" s="154" t="n">
        <v>0.923696752</v>
      </c>
      <c r="Y39" s="157" t="n">
        <v>26.5779059125529</v>
      </c>
      <c r="Z39" s="154" t="n">
        <v>0</v>
      </c>
      <c r="AA39" s="158">
        <f>I39-R39</f>
        <v/>
      </c>
      <c r="AB39" s="159">
        <f>J39-S39</f>
        <v/>
      </c>
      <c r="AC39" s="160">
        <f>K39-T39</f>
        <v/>
      </c>
      <c r="AD39" s="160">
        <f>L39-U39</f>
        <v/>
      </c>
      <c r="AE39" s="161">
        <f>M39-V39</f>
        <v/>
      </c>
      <c r="AF39" s="161">
        <f>N39-W39</f>
        <v/>
      </c>
      <c r="AG39" s="161">
        <f>O39-X39</f>
        <v/>
      </c>
      <c r="AH39" s="160">
        <f>P39-Y39</f>
        <v/>
      </c>
      <c r="AI39" s="162">
        <f>Q39-Z39</f>
        <v/>
      </c>
    </row>
    <row r="40">
      <c r="B40" t="inlineStr">
        <is>
          <t>BASEPRICE</t>
        </is>
      </c>
      <c r="C40" s="151" t="n">
        <v>46064</v>
      </c>
      <c r="D40" s="152" t="inlineStr">
        <is>
          <t>Non-QM</t>
        </is>
      </c>
      <c r="E40" s="152" t="inlineStr">
        <is>
          <t>CHNGE 2023-4 B2</t>
        </is>
      </c>
      <c r="F40" s="153" t="inlineStr">
        <is>
          <t>12569QAG5</t>
        </is>
      </c>
      <c r="G40" s="154" t="n">
        <v>8.398600999999999</v>
      </c>
      <c r="H40" s="154" t="n">
        <v>101</v>
      </c>
      <c r="I40" s="155" t="n">
        <v>5.515953368</v>
      </c>
      <c r="J40" s="156" t="n">
        <v>191.66420394</v>
      </c>
      <c r="K40" s="157" t="n">
        <v>0.538888889</v>
      </c>
      <c r="L40" s="157" t="n">
        <v>0.517331698019809</v>
      </c>
      <c r="M40" s="154" t="n">
        <v>0.5173198970296941</v>
      </c>
      <c r="N40" s="154" t="n">
        <v>4.285111796</v>
      </c>
      <c r="O40" s="154" t="n">
        <v>2.19492637</v>
      </c>
      <c r="P40" s="157" t="n">
        <v>51.2221494909161</v>
      </c>
      <c r="Q40" s="154" t="n">
        <v>0</v>
      </c>
      <c r="R40" s="155" t="n">
        <v>5.515986503</v>
      </c>
      <c r="S40" s="156" t="n">
        <v>191.667518124</v>
      </c>
      <c r="T40" s="157" t="n">
        <v>0.538888889</v>
      </c>
      <c r="U40" s="157" t="n">
        <v>0.517322468316828</v>
      </c>
      <c r="V40" s="154" t="n">
        <v>0.517319845544555</v>
      </c>
      <c r="W40" s="154" t="n">
        <v>5.083590305</v>
      </c>
      <c r="X40" s="154" t="n">
        <v>2.27780492</v>
      </c>
      <c r="Y40" s="157" t="n">
        <v>44.807012039496</v>
      </c>
      <c r="Z40" s="154" t="n">
        <v>0</v>
      </c>
      <c r="AA40" s="158">
        <f>I40-R40</f>
        <v/>
      </c>
      <c r="AB40" s="159">
        <f>J40-S40</f>
        <v/>
      </c>
      <c r="AC40" s="160">
        <f>K40-T40</f>
        <v/>
      </c>
      <c r="AD40" s="160">
        <f>L40-U40</f>
        <v/>
      </c>
      <c r="AE40" s="161">
        <f>M40-V40</f>
        <v/>
      </c>
      <c r="AF40" s="161">
        <f>N40-W40</f>
        <v/>
      </c>
      <c r="AG40" s="161">
        <f>O40-X40</f>
        <v/>
      </c>
      <c r="AH40" s="160">
        <f>P40-Y40</f>
        <v/>
      </c>
      <c r="AI40" s="162">
        <f>Q40-Z40</f>
        <v/>
      </c>
    </row>
    <row r="41">
      <c r="B41" t="inlineStr">
        <is>
          <t>BASEPRICE</t>
        </is>
      </c>
      <c r="C41" s="151" t="n">
        <v>46064</v>
      </c>
      <c r="D41" s="152" t="inlineStr">
        <is>
          <t>Non-QM</t>
        </is>
      </c>
      <c r="E41" s="152" t="inlineStr">
        <is>
          <t>COLT 2022-3 B2</t>
        </is>
      </c>
      <c r="F41" s="153" t="inlineStr">
        <is>
          <t>12659YAF1</t>
        </is>
      </c>
      <c r="G41" s="154" t="n">
        <v>4.218155</v>
      </c>
      <c r="H41" s="154" t="n">
        <v>84.06952</v>
      </c>
      <c r="I41" s="155" t="n">
        <v>6.623435718</v>
      </c>
      <c r="J41" s="156" t="n">
        <v>253.597412152</v>
      </c>
      <c r="K41" s="157" t="n">
        <v>9.455555556</v>
      </c>
      <c r="L41" s="157" t="n">
        <v>8.38182405585283</v>
      </c>
      <c r="M41" s="154" t="n">
        <v>7.35915396685981</v>
      </c>
      <c r="N41" s="154" t="n">
        <v>3.005415392</v>
      </c>
      <c r="O41" s="154" t="n">
        <v>1.386469247</v>
      </c>
      <c r="P41" s="157" t="n">
        <v>46.1323666169605</v>
      </c>
      <c r="Q41" s="154" t="n">
        <v>0</v>
      </c>
      <c r="R41" s="155" t="n">
        <v>6.51342276</v>
      </c>
      <c r="S41" s="156" t="n">
        <v>238.746191742</v>
      </c>
      <c r="T41" s="157" t="n">
        <v>10.122222222</v>
      </c>
      <c r="U41" s="157" t="n">
        <v>8.38999799332742</v>
      </c>
      <c r="V41" s="154" t="n">
        <v>7.7554969732193</v>
      </c>
      <c r="W41" s="154" t="n">
        <v>3.627066063</v>
      </c>
      <c r="X41" s="154" t="n">
        <v>1.490647652</v>
      </c>
      <c r="Y41" s="157" t="n">
        <v>41.097890860225</v>
      </c>
      <c r="Z41" s="154" t="n">
        <v>0</v>
      </c>
      <c r="AA41" s="158">
        <f>I41-R41</f>
        <v/>
      </c>
      <c r="AB41" s="159">
        <f>J41-S41</f>
        <v/>
      </c>
      <c r="AC41" s="160">
        <f>K41-T41</f>
        <v/>
      </c>
      <c r="AD41" s="160">
        <f>L41-U41</f>
        <v/>
      </c>
      <c r="AE41" s="161">
        <f>M41-V41</f>
        <v/>
      </c>
      <c r="AF41" s="161">
        <f>N41-W41</f>
        <v/>
      </c>
      <c r="AG41" s="161">
        <f>O41-X41</f>
        <v/>
      </c>
      <c r="AH41" s="160">
        <f>P41-Y41</f>
        <v/>
      </c>
      <c r="AI41" s="162">
        <f>Q41-Z41</f>
        <v/>
      </c>
    </row>
    <row r="42">
      <c r="B42" t="inlineStr">
        <is>
          <t>BASEPRICE</t>
        </is>
      </c>
      <c r="C42" s="151" t="n">
        <v>46064</v>
      </c>
      <c r="D42" s="152" t="inlineStr">
        <is>
          <t>Non-QM</t>
        </is>
      </c>
      <c r="E42" s="152" t="inlineStr">
        <is>
          <t>VERUS 2022-1 B2</t>
        </is>
      </c>
      <c r="F42" s="153" t="inlineStr">
        <is>
          <t>92538WAF4</t>
        </is>
      </c>
      <c r="G42" s="154" t="n">
        <v>3.975287</v>
      </c>
      <c r="H42" s="154" t="n">
        <v>77.08325499999999</v>
      </c>
      <c r="I42" s="155" t="n">
        <v>6.928176751</v>
      </c>
      <c r="J42" s="156" t="n">
        <v>274.14095235</v>
      </c>
      <c r="K42" s="157" t="n">
        <v>11.288888889</v>
      </c>
      <c r="L42" s="157" t="n">
        <v>10.3553375671539</v>
      </c>
      <c r="M42" s="154" t="n">
        <v>8.451720650613399</v>
      </c>
      <c r="N42" s="154" t="n">
        <v>2.86046315</v>
      </c>
      <c r="O42" s="154" t="n">
        <v>1.195165673</v>
      </c>
      <c r="P42" s="157" t="n">
        <v>41.782243305599</v>
      </c>
      <c r="Q42" s="154" t="n">
        <v>0</v>
      </c>
      <c r="R42" s="155" t="n">
        <v>6.836837807</v>
      </c>
      <c r="S42" s="156" t="n">
        <v>262.959615595</v>
      </c>
      <c r="T42" s="157" t="n">
        <v>11.705555556</v>
      </c>
      <c r="U42" s="157" t="n">
        <v>10.3249332854457</v>
      </c>
      <c r="V42" s="154" t="n">
        <v>8.687211391112131</v>
      </c>
      <c r="W42" s="154" t="n">
        <v>3.317518107</v>
      </c>
      <c r="X42" s="154" t="n">
        <v>1.278044371</v>
      </c>
      <c r="Y42" s="157" t="n">
        <v>38.5241113922879</v>
      </c>
      <c r="Z42" s="154" t="n">
        <v>0</v>
      </c>
      <c r="AA42" s="158">
        <f>I42-R42</f>
        <v/>
      </c>
      <c r="AB42" s="159">
        <f>J42-S42</f>
        <v/>
      </c>
      <c r="AC42" s="160">
        <f>K42-T42</f>
        <v/>
      </c>
      <c r="AD42" s="160">
        <f>L42-U42</f>
        <v/>
      </c>
      <c r="AE42" s="161">
        <f>M42-V42</f>
        <v/>
      </c>
      <c r="AF42" s="161">
        <f>N42-W42</f>
        <v/>
      </c>
      <c r="AG42" s="161">
        <f>O42-X42</f>
        <v/>
      </c>
      <c r="AH42" s="160">
        <f>P42-Y42</f>
        <v/>
      </c>
      <c r="AI42" s="162">
        <f>Q42-Z42</f>
        <v/>
      </c>
    </row>
    <row r="43">
      <c r="B43" t="inlineStr">
        <is>
          <t>BASEPRICE</t>
        </is>
      </c>
      <c r="C43" s="151" t="n">
        <v>46064</v>
      </c>
      <c r="D43" s="152" t="inlineStr">
        <is>
          <t>Non-QM</t>
        </is>
      </c>
      <c r="E43" s="152" t="inlineStr">
        <is>
          <t>VERUS 2022-3 B2</t>
        </is>
      </c>
      <c r="F43" s="153" t="inlineStr">
        <is>
          <t>92538UAF8</t>
        </is>
      </c>
      <c r="G43" s="154" t="n">
        <v>4.045894</v>
      </c>
      <c r="H43" s="154" t="n">
        <v>79.01873000000001</v>
      </c>
      <c r="I43" s="155" t="n">
        <v>6.723514088</v>
      </c>
      <c r="J43" s="156" t="n">
        <v>254.083011512</v>
      </c>
      <c r="K43" s="157" t="n">
        <v>11.205555556</v>
      </c>
      <c r="L43" s="157" t="n">
        <v>10.2008047800819</v>
      </c>
      <c r="M43" s="154" t="n">
        <v>8.421018107985271</v>
      </c>
      <c r="N43" s="154" t="n">
        <v>3.219975246</v>
      </c>
      <c r="O43" s="154" t="n">
        <v>1.30736052</v>
      </c>
      <c r="P43" s="157" t="n">
        <v>40.6015705128188</v>
      </c>
      <c r="Q43" s="154" t="n">
        <v>0</v>
      </c>
      <c r="R43" s="155" t="n">
        <v>6.619827976</v>
      </c>
      <c r="S43" s="156" t="n">
        <v>240.498243562</v>
      </c>
      <c r="T43" s="157" t="n">
        <v>11.872222222</v>
      </c>
      <c r="U43" s="157" t="n">
        <v>10.2787870091053</v>
      </c>
      <c r="V43" s="154" t="n">
        <v>8.785460771136149</v>
      </c>
      <c r="W43" s="154" t="n">
        <v>3.824590998</v>
      </c>
      <c r="X43" s="154" t="n">
        <v>1.389419693</v>
      </c>
      <c r="Y43" s="157" t="n">
        <v>36.3285824216647</v>
      </c>
      <c r="Z43" s="154" t="n">
        <v>0</v>
      </c>
      <c r="AA43" s="158">
        <f>I43-R43</f>
        <v/>
      </c>
      <c r="AB43" s="159">
        <f>J43-S43</f>
        <v/>
      </c>
      <c r="AC43" s="160">
        <f>K43-T43</f>
        <v/>
      </c>
      <c r="AD43" s="160">
        <f>L43-U43</f>
        <v/>
      </c>
      <c r="AE43" s="161">
        <f>M43-V43</f>
        <v/>
      </c>
      <c r="AF43" s="161">
        <f>N43-W43</f>
        <v/>
      </c>
      <c r="AG43" s="161">
        <f>O43-X43</f>
        <v/>
      </c>
      <c r="AH43" s="160">
        <f>P43-Y43</f>
        <v/>
      </c>
      <c r="AI43" s="162">
        <f>Q43-Z43</f>
        <v/>
      </c>
    </row>
    <row r="44">
      <c r="B44" t="inlineStr">
        <is>
          <t>BASEPRICE</t>
        </is>
      </c>
      <c r="C44" s="151" t="n">
        <v>46064</v>
      </c>
      <c r="D44" s="163" t="inlineStr">
        <is>
          <t>Non-QM</t>
        </is>
      </c>
      <c r="E44" s="163" t="inlineStr">
        <is>
          <t>VISIO 2023-1 B1</t>
        </is>
      </c>
      <c r="F44" s="153" t="inlineStr">
        <is>
          <t>927958AE8</t>
        </is>
      </c>
      <c r="G44" s="154" t="n">
        <v>7.80731</v>
      </c>
      <c r="H44" s="154" t="n">
        <v>99.95143</v>
      </c>
      <c r="I44" s="155" t="n">
        <v>3.966535671</v>
      </c>
      <c r="J44" s="156" t="n">
        <v>28.268167133</v>
      </c>
      <c r="K44" s="157" t="n">
        <v>0.122222222</v>
      </c>
      <c r="L44" s="157" t="n">
        <v>0.120105562271596</v>
      </c>
      <c r="M44" s="154" t="n">
        <v>0.120105562271596</v>
      </c>
      <c r="N44" s="154" t="n">
        <v>4.525248158</v>
      </c>
      <c r="O44" s="154" t="n">
        <v>3.237282288</v>
      </c>
      <c r="P44" s="157" t="n">
        <v>71.53822674402819</v>
      </c>
      <c r="Q44" s="154" t="n">
        <v>0</v>
      </c>
      <c r="R44" s="155" t="n">
        <v>3.966707137</v>
      </c>
      <c r="S44" s="156" t="n">
        <v>28.285313653</v>
      </c>
      <c r="T44" s="157" t="n">
        <v>0.122222222</v>
      </c>
      <c r="U44" s="157" t="n">
        <v>0.120105474228826</v>
      </c>
      <c r="V44" s="154" t="n">
        <v>0.120105474228826</v>
      </c>
      <c r="W44" s="154" t="n">
        <v>5.148062256</v>
      </c>
      <c r="X44" s="154" t="n">
        <v>3.362275263</v>
      </c>
      <c r="Y44" s="157" t="n">
        <v>65.3114724687199</v>
      </c>
      <c r="Z44" s="154" t="n">
        <v>0</v>
      </c>
      <c r="AA44" s="158">
        <f>I44-R44</f>
        <v/>
      </c>
      <c r="AB44" s="159">
        <f>J44-S44</f>
        <v/>
      </c>
      <c r="AC44" s="160">
        <f>K44-T44</f>
        <v/>
      </c>
      <c r="AD44" s="160">
        <f>L44-U44</f>
        <v/>
      </c>
      <c r="AE44" s="161">
        <f>M44-V44</f>
        <v/>
      </c>
      <c r="AF44" s="161">
        <f>N44-W44</f>
        <v/>
      </c>
      <c r="AG44" s="161">
        <f>O44-X44</f>
        <v/>
      </c>
      <c r="AH44" s="160">
        <f>P44-Y44</f>
        <v/>
      </c>
      <c r="AI44" s="162">
        <f>Q44-Z44</f>
        <v/>
      </c>
    </row>
    <row r="45">
      <c r="B45" t="inlineStr">
        <is>
          <t>BASEPRICE</t>
        </is>
      </c>
      <c r="C45" s="164" t="n">
        <v>46064</v>
      </c>
      <c r="D45" s="165" t="inlineStr">
        <is>
          <t>Prime Fixed</t>
        </is>
      </c>
      <c r="E45" s="165" t="inlineStr">
        <is>
          <t>CHASE 2024-6 A11X</t>
        </is>
      </c>
      <c r="F45" s="166" t="inlineStr">
        <is>
          <t>161931AQ3</t>
        </is>
      </c>
      <c r="G45" s="167" t="n">
        <v>3.05272</v>
      </c>
      <c r="H45" s="167" t="n">
        <v>4.938545</v>
      </c>
      <c r="I45" s="168" t="n">
        <v>5.965053576</v>
      </c>
      <c r="J45" s="169" t="n">
        <v>241.623889727</v>
      </c>
      <c r="K45" s="170" t="n">
        <v>1.59292597</v>
      </c>
      <c r="L45" s="170" t="n">
        <v>-34.0758251671292</v>
      </c>
      <c r="M45" s="167" t="n">
        <v>1.34381304615023</v>
      </c>
      <c r="N45" s="167" t="n">
        <v>0.392045167</v>
      </c>
      <c r="O45" s="167" t="n">
        <v>0.134698542</v>
      </c>
      <c r="P45" s="170" t="n">
        <v>34.3579141737003</v>
      </c>
      <c r="Q45" s="167" t="n">
        <v>0</v>
      </c>
      <c r="R45" s="168" t="n">
        <v>5.913453271</v>
      </c>
      <c r="S45" s="169" t="n">
        <v>236.465556944</v>
      </c>
      <c r="T45" s="170" t="n">
        <v>1.591762461</v>
      </c>
      <c r="U45" s="170" t="n">
        <v>-35.1615250240709</v>
      </c>
      <c r="V45" s="167" t="n">
        <v>1.34406273507684</v>
      </c>
      <c r="W45" s="167" t="n">
        <v>0.464763088</v>
      </c>
      <c r="X45" s="167" t="n">
        <v>0.160337143</v>
      </c>
      <c r="Y45" s="170" t="n">
        <v>34.4986826922882</v>
      </c>
      <c r="Z45" s="167" t="n">
        <v>0</v>
      </c>
      <c r="AA45" s="171">
        <f>I45-R45</f>
        <v/>
      </c>
      <c r="AB45" s="172">
        <f>J45-S45</f>
        <v/>
      </c>
      <c r="AC45" s="173">
        <f>K45-T45</f>
        <v/>
      </c>
      <c r="AD45" s="173">
        <f>L45-U45</f>
        <v/>
      </c>
      <c r="AE45" s="174">
        <f>M45-V45</f>
        <v/>
      </c>
      <c r="AF45" s="174">
        <f>N45-W45</f>
        <v/>
      </c>
      <c r="AG45" s="174">
        <f>O45-X45</f>
        <v/>
      </c>
      <c r="AH45" s="173">
        <f>P45-Y45</f>
        <v/>
      </c>
      <c r="AI45" s="175">
        <f>Q45-Z45</f>
        <v/>
      </c>
    </row>
    <row r="46">
      <c r="B46" t="inlineStr">
        <is>
          <t>BASEPRICE</t>
        </is>
      </c>
      <c r="C46" s="164" t="n">
        <v>46064</v>
      </c>
      <c r="D46" s="165" t="inlineStr">
        <is>
          <t>Prime Fixed</t>
        </is>
      </c>
      <c r="E46" s="165" t="inlineStr">
        <is>
          <t>CHASE 2024-9 A11X</t>
        </is>
      </c>
      <c r="F46" s="166" t="inlineStr">
        <is>
          <t>16160QAY0</t>
        </is>
      </c>
      <c r="G46" s="167" t="n">
        <v>2.55272</v>
      </c>
      <c r="H46" s="167" t="n">
        <v>4.292795</v>
      </c>
      <c r="I46" s="168" t="n">
        <v>-2.727264819</v>
      </c>
      <c r="J46" s="169" t="n">
        <v>-627.125488334</v>
      </c>
      <c r="K46" s="170" t="n">
        <v>1.441875422</v>
      </c>
      <c r="L46" s="170" t="n">
        <v>-46.9362401419122</v>
      </c>
      <c r="M46" s="167" t="n">
        <v>1.39525737893378</v>
      </c>
      <c r="N46" s="167" t="n">
        <v>0.216008889</v>
      </c>
      <c r="O46" s="167" t="n">
        <v>0.061656493</v>
      </c>
      <c r="P46" s="170" t="n">
        <v>28.5434980409533</v>
      </c>
      <c r="Q46" s="167" t="n">
        <v>0</v>
      </c>
      <c r="R46" s="168" t="n">
        <v>-2.760362464</v>
      </c>
      <c r="S46" s="169" t="n">
        <v>-630.434513688</v>
      </c>
      <c r="T46" s="170" t="n">
        <v>1.441233218</v>
      </c>
      <c r="U46" s="170" t="n">
        <v>-48.2712331243397</v>
      </c>
      <c r="V46" s="167" t="n">
        <v>1.39545699247228</v>
      </c>
      <c r="W46" s="167" t="n">
        <v>0.24470278</v>
      </c>
      <c r="X46" s="167" t="n">
        <v>0.069869101</v>
      </c>
      <c r="Y46" s="170" t="n">
        <v>28.5526388380222</v>
      </c>
      <c r="Z46" s="167" t="n">
        <v>0</v>
      </c>
      <c r="AA46" s="171">
        <f>I46-R46</f>
        <v/>
      </c>
      <c r="AB46" s="172">
        <f>J46-S46</f>
        <v/>
      </c>
      <c r="AC46" s="173">
        <f>K46-T46</f>
        <v/>
      </c>
      <c r="AD46" s="173">
        <f>L46-U46</f>
        <v/>
      </c>
      <c r="AE46" s="174">
        <f>M46-V46</f>
        <v/>
      </c>
      <c r="AF46" s="174">
        <f>N46-W46</f>
        <v/>
      </c>
      <c r="AG46" s="174">
        <f>O46-X46</f>
        <v/>
      </c>
      <c r="AH46" s="173">
        <f>P46-Y46</f>
        <v/>
      </c>
      <c r="AI46" s="175">
        <f>Q46-Z46</f>
        <v/>
      </c>
    </row>
    <row r="47">
      <c r="B47" t="inlineStr">
        <is>
          <t>BASEPRICE</t>
        </is>
      </c>
      <c r="C47" s="164" t="n">
        <v>46064</v>
      </c>
      <c r="D47" s="165" t="inlineStr">
        <is>
          <t>Prime Fixed</t>
        </is>
      </c>
      <c r="E47" s="165" t="inlineStr">
        <is>
          <t>CHASE 2025-10 A3X</t>
        </is>
      </c>
      <c r="F47" s="166" t="inlineStr">
        <is>
          <t>16160BAC1</t>
        </is>
      </c>
      <c r="G47" s="167" t="n">
        <v>0.5</v>
      </c>
      <c r="H47" s="167" t="n">
        <v>1.11069</v>
      </c>
      <c r="I47" s="168" t="n">
        <v>5.538902047</v>
      </c>
      <c r="J47" s="169" t="n">
        <v>182.127032486</v>
      </c>
      <c r="K47" s="170" t="n">
        <v>2.637142972</v>
      </c>
      <c r="L47" s="170" t="n">
        <v>-93.6859047979184</v>
      </c>
      <c r="M47" s="167" t="n">
        <v>2.44520577298797</v>
      </c>
      <c r="N47" s="167" t="n">
        <v>0.209864964</v>
      </c>
      <c r="O47" s="167" t="n">
        <v>0.058386939</v>
      </c>
      <c r="P47" s="170" t="n">
        <v>27.8211941084173</v>
      </c>
      <c r="Q47" s="167" t="n">
        <v>0</v>
      </c>
      <c r="R47" s="168" t="n">
        <v>5.523565489</v>
      </c>
      <c r="S47" s="169" t="n">
        <v>180.594746912</v>
      </c>
      <c r="T47" s="170" t="n">
        <v>2.636093279</v>
      </c>
      <c r="U47" s="170" t="n">
        <v>-93.67618039236871</v>
      </c>
      <c r="V47" s="167" t="n">
        <v>2.44540096696647</v>
      </c>
      <c r="W47" s="167" t="n">
        <v>0.23767852</v>
      </c>
      <c r="X47" s="167" t="n">
        <v>0.066746207</v>
      </c>
      <c r="Y47" s="170" t="n">
        <v>28.0825574814249</v>
      </c>
      <c r="Z47" s="167" t="n">
        <v>0</v>
      </c>
      <c r="AA47" s="171">
        <f>I47-R47</f>
        <v/>
      </c>
      <c r="AB47" s="172">
        <f>J47-S47</f>
        <v/>
      </c>
      <c r="AC47" s="173">
        <f>K47-T47</f>
        <v/>
      </c>
      <c r="AD47" s="173">
        <f>L47-U47</f>
        <v/>
      </c>
      <c r="AE47" s="174">
        <f>M47-V47</f>
        <v/>
      </c>
      <c r="AF47" s="174">
        <f>N47-W47</f>
        <v/>
      </c>
      <c r="AG47" s="174">
        <f>O47-X47</f>
        <v/>
      </c>
      <c r="AH47" s="173">
        <f>P47-Y47</f>
        <v/>
      </c>
      <c r="AI47" s="175">
        <f>Q47-Z47</f>
        <v/>
      </c>
    </row>
    <row r="48">
      <c r="B48" t="inlineStr">
        <is>
          <t>BASEPRICE</t>
        </is>
      </c>
      <c r="C48" s="164" t="n">
        <v>46064</v>
      </c>
      <c r="D48" s="165" t="inlineStr">
        <is>
          <t>Prime Fixed</t>
        </is>
      </c>
      <c r="E48" s="165" t="inlineStr">
        <is>
          <t>CHASE 2025-12 A11X</t>
        </is>
      </c>
      <c r="F48" s="166" t="inlineStr">
        <is>
          <t>16160CCC7</t>
        </is>
      </c>
      <c r="G48" s="167" t="n">
        <v>2.55272</v>
      </c>
      <c r="H48" s="167" t="n">
        <v>4.918335</v>
      </c>
      <c r="I48" s="168" t="n">
        <v>19.982223407</v>
      </c>
      <c r="J48" s="169" t="n">
        <v>1633.230041412</v>
      </c>
      <c r="K48" s="170" t="n">
        <v>2.744708673</v>
      </c>
      <c r="L48" s="170" t="n">
        <v>-47.9039549766333</v>
      </c>
      <c r="M48" s="167" t="n">
        <v>1.71769184083639</v>
      </c>
      <c r="N48" s="167" t="n">
        <v>0.244610432</v>
      </c>
      <c r="O48" s="167" t="n">
        <v>0.066793566</v>
      </c>
      <c r="P48" s="170" t="n">
        <v>27.3060987031003</v>
      </c>
      <c r="Q48" s="167" t="n">
        <v>0</v>
      </c>
      <c r="R48" s="168" t="n">
        <v>19.961235568</v>
      </c>
      <c r="S48" s="169" t="n">
        <v>1631.131240377</v>
      </c>
      <c r="T48" s="170" t="n">
        <v>2.743227671</v>
      </c>
      <c r="U48" s="170" t="n">
        <v>-47.8930327844687</v>
      </c>
      <c r="V48" s="167" t="n">
        <v>1.71784217626494</v>
      </c>
      <c r="W48" s="167" t="n">
        <v>0.283600719</v>
      </c>
      <c r="X48" s="167" t="n">
        <v>0.079235761</v>
      </c>
      <c r="Y48" s="170" t="n">
        <v>27.9391960920945</v>
      </c>
      <c r="Z48" s="167" t="n">
        <v>0</v>
      </c>
      <c r="AA48" s="171">
        <f>I48-R48</f>
        <v/>
      </c>
      <c r="AB48" s="172">
        <f>J48-S48</f>
        <v/>
      </c>
      <c r="AC48" s="173">
        <f>K48-T48</f>
        <v/>
      </c>
      <c r="AD48" s="173">
        <f>L48-U48</f>
        <v/>
      </c>
      <c r="AE48" s="174">
        <f>M48-V48</f>
        <v/>
      </c>
      <c r="AF48" s="174">
        <f>N48-W48</f>
        <v/>
      </c>
      <c r="AG48" s="174">
        <f>O48-X48</f>
        <v/>
      </c>
      <c r="AH48" s="173">
        <f>P48-Y48</f>
        <v/>
      </c>
      <c r="AI48" s="175">
        <f>Q48-Z48</f>
        <v/>
      </c>
    </row>
    <row r="49">
      <c r="B49" t="inlineStr">
        <is>
          <t>BASEPRICE</t>
        </is>
      </c>
      <c r="C49" s="164" t="n">
        <v>46064</v>
      </c>
      <c r="D49" s="165" t="inlineStr">
        <is>
          <t>Prime Fixed</t>
        </is>
      </c>
      <c r="E49" s="165" t="inlineStr">
        <is>
          <t>CHASE 2025-2 AX1</t>
        </is>
      </c>
      <c r="F49" s="166" t="inlineStr">
        <is>
          <t>16159VBH8</t>
        </is>
      </c>
      <c r="G49" s="167" t="n">
        <v>0.185622</v>
      </c>
      <c r="H49" s="167" t="n">
        <v>0.23147</v>
      </c>
      <c r="I49" s="168" t="n">
        <v>-15.234517783</v>
      </c>
      <c r="J49" s="169" t="n">
        <v>-1876.171127291</v>
      </c>
      <c r="K49" s="170" t="n">
        <v>3.927599413</v>
      </c>
      <c r="L49" s="170" t="n">
        <v>-80.0088901369508</v>
      </c>
      <c r="M49" s="167" t="n">
        <v>1.2435905300903</v>
      </c>
      <c r="N49" s="167" t="n">
        <v>0.402532997</v>
      </c>
      <c r="O49" s="167" t="n">
        <v>0.133378035</v>
      </c>
      <c r="P49" s="170" t="n">
        <v>33.1346836145212</v>
      </c>
      <c r="Q49" s="167" t="n">
        <v>0</v>
      </c>
      <c r="R49" s="168" t="n">
        <v>-15.319687338</v>
      </c>
      <c r="S49" s="169" t="n">
        <v>-1884.678974021</v>
      </c>
      <c r="T49" s="170" t="n">
        <v>3.925638963</v>
      </c>
      <c r="U49" s="170" t="n">
        <v>-79.9306674731066</v>
      </c>
      <c r="V49" s="167" t="n">
        <v>1.24324793709769</v>
      </c>
      <c r="W49" s="167" t="n">
        <v>0.461969427</v>
      </c>
      <c r="X49" s="167" t="n">
        <v>0.154380528</v>
      </c>
      <c r="Y49" s="170" t="n">
        <v>33.4179101423523</v>
      </c>
      <c r="Z49" s="167" t="n">
        <v>0</v>
      </c>
      <c r="AA49" s="171">
        <f>I49-R49</f>
        <v/>
      </c>
      <c r="AB49" s="172">
        <f>J49-S49</f>
        <v/>
      </c>
      <c r="AC49" s="173">
        <f>K49-T49</f>
        <v/>
      </c>
      <c r="AD49" s="173">
        <f>L49-U49</f>
        <v/>
      </c>
      <c r="AE49" s="174">
        <f>M49-V49</f>
        <v/>
      </c>
      <c r="AF49" s="174">
        <f>N49-W49</f>
        <v/>
      </c>
      <c r="AG49" s="174">
        <f>O49-X49</f>
        <v/>
      </c>
      <c r="AH49" s="173">
        <f>P49-Y49</f>
        <v/>
      </c>
      <c r="AI49" s="175">
        <f>Q49-Z49</f>
        <v/>
      </c>
    </row>
    <row r="50">
      <c r="B50" t="inlineStr">
        <is>
          <t>BASEPRICE</t>
        </is>
      </c>
      <c r="C50" s="164" t="n">
        <v>46064</v>
      </c>
      <c r="D50" s="165" t="inlineStr">
        <is>
          <t>Prime Fixed</t>
        </is>
      </c>
      <c r="E50" s="165" t="inlineStr">
        <is>
          <t>CHASE 2025-5 A11X</t>
        </is>
      </c>
      <c r="F50" s="166" t="inlineStr">
        <is>
          <t>161935BB6</t>
        </is>
      </c>
      <c r="G50" s="167" t="n">
        <v>2.30272</v>
      </c>
      <c r="H50" s="167" t="n">
        <v>4.179655</v>
      </c>
      <c r="I50" s="168" t="n">
        <v>18.716872493</v>
      </c>
      <c r="J50" s="169" t="n">
        <v>1509.667618905</v>
      </c>
      <c r="K50" s="170" t="n">
        <v>2.355380293</v>
      </c>
      <c r="L50" s="170" t="n">
        <v>-37.0104672754091</v>
      </c>
      <c r="M50" s="167" t="n">
        <v>1.60680321701194</v>
      </c>
      <c r="N50" s="167" t="n">
        <v>0.310223777</v>
      </c>
      <c r="O50" s="167" t="n">
        <v>0.088479672</v>
      </c>
      <c r="P50" s="170" t="n">
        <v>28.5212412973748</v>
      </c>
      <c r="Q50" s="167" t="n">
        <v>0</v>
      </c>
      <c r="R50" s="168" t="n">
        <v>18.689589744</v>
      </c>
      <c r="S50" s="169" t="n">
        <v>1506.939890957</v>
      </c>
      <c r="T50" s="170" t="n">
        <v>2.353956455</v>
      </c>
      <c r="U50" s="170" t="n">
        <v>-36.982263177224</v>
      </c>
      <c r="V50" s="167" t="n">
        <v>1.60698686853342</v>
      </c>
      <c r="W50" s="167" t="n">
        <v>0.364235466</v>
      </c>
      <c r="X50" s="167" t="n">
        <v>0.105883029</v>
      </c>
      <c r="Y50" s="170" t="n">
        <v>29.0699393342437</v>
      </c>
      <c r="Z50" s="167" t="n">
        <v>0</v>
      </c>
      <c r="AA50" s="171">
        <f>I50-R50</f>
        <v/>
      </c>
      <c r="AB50" s="172">
        <f>J50-S50</f>
        <v/>
      </c>
      <c r="AC50" s="173">
        <f>K50-T50</f>
        <v/>
      </c>
      <c r="AD50" s="173">
        <f>L50-U50</f>
        <v/>
      </c>
      <c r="AE50" s="174">
        <f>M50-V50</f>
        <v/>
      </c>
      <c r="AF50" s="174">
        <f>N50-W50</f>
        <v/>
      </c>
      <c r="AG50" s="174">
        <f>O50-X50</f>
        <v/>
      </c>
      <c r="AH50" s="173">
        <f>P50-Y50</f>
        <v/>
      </c>
      <c r="AI50" s="175">
        <f>Q50-Z50</f>
        <v/>
      </c>
    </row>
    <row r="51">
      <c r="B51" t="inlineStr">
        <is>
          <t>BASEPRICE</t>
        </is>
      </c>
      <c r="C51" s="164" t="n">
        <v>46064</v>
      </c>
      <c r="D51" s="166" t="inlineStr">
        <is>
          <t>Prime Fixed</t>
        </is>
      </c>
      <c r="E51" s="166" t="inlineStr">
        <is>
          <t>CHASE 2025-6 AX1</t>
        </is>
      </c>
      <c r="F51" s="166" t="inlineStr">
        <is>
          <t>161922BL2</t>
        </is>
      </c>
      <c r="G51" s="176" t="n">
        <v>0.364537</v>
      </c>
      <c r="H51" s="176" t="n">
        <v>0.668635</v>
      </c>
      <c r="I51" s="177" t="n">
        <v>-1.6103604</v>
      </c>
      <c r="J51" s="178" t="n">
        <v>-524.208160789</v>
      </c>
      <c r="K51" s="179" t="n">
        <v>2.504946957</v>
      </c>
      <c r="L51" s="179" t="n">
        <v>-77.7594364638405</v>
      </c>
      <c r="M51" s="176" t="n">
        <v>1.9631363898091</v>
      </c>
      <c r="N51" s="176" t="n">
        <v>0.290967743</v>
      </c>
      <c r="O51" s="176" t="n">
        <v>0.082498744</v>
      </c>
      <c r="P51" s="179" t="n">
        <v>28.3532267698829</v>
      </c>
      <c r="Q51" s="176" t="n">
        <v>0</v>
      </c>
      <c r="R51" s="177" t="n">
        <v>-1.642923241</v>
      </c>
      <c r="S51" s="178" t="n">
        <v>-527.456214602</v>
      </c>
      <c r="T51" s="179" t="n">
        <v>2.503606698</v>
      </c>
      <c r="U51" s="179" t="n">
        <v>-77.73662222288689</v>
      </c>
      <c r="V51" s="176" t="n">
        <v>1.96309167183891</v>
      </c>
      <c r="W51" s="176" t="n">
        <v>0.340188107</v>
      </c>
      <c r="X51" s="176" t="n">
        <v>0.098331483</v>
      </c>
      <c r="Y51" s="179" t="n">
        <v>28.9050325324865</v>
      </c>
      <c r="Z51" s="176" t="n">
        <v>0</v>
      </c>
      <c r="AA51" s="171">
        <f>I51-R51</f>
        <v/>
      </c>
      <c r="AB51" s="172">
        <f>J51-S51</f>
        <v/>
      </c>
      <c r="AC51" s="173">
        <f>K51-T51</f>
        <v/>
      </c>
      <c r="AD51" s="173">
        <f>L51-U51</f>
        <v/>
      </c>
      <c r="AE51" s="174">
        <f>M51-V51</f>
        <v/>
      </c>
      <c r="AF51" s="174">
        <f>N51-W51</f>
        <v/>
      </c>
      <c r="AG51" s="174">
        <f>O51-X51</f>
        <v/>
      </c>
      <c r="AH51" s="173">
        <f>P51-Y51</f>
        <v/>
      </c>
      <c r="AI51" s="175">
        <f>Q51-Z51</f>
        <v/>
      </c>
    </row>
    <row r="52">
      <c r="B52" t="inlineStr">
        <is>
          <t>BASEPRICE</t>
        </is>
      </c>
      <c r="C52" s="164" t="n">
        <v>46064</v>
      </c>
      <c r="D52" s="166" t="inlineStr">
        <is>
          <t>Prime Fixed</t>
        </is>
      </c>
      <c r="E52" s="166" t="inlineStr">
        <is>
          <t>GCAT 2024-INV3 AX1</t>
        </is>
      </c>
      <c r="F52" s="166" t="inlineStr">
        <is>
          <t>36830FBA3</t>
        </is>
      </c>
      <c r="G52" s="176" t="n">
        <v>0.499171</v>
      </c>
      <c r="H52" s="176" t="n">
        <v>1.083835</v>
      </c>
      <c r="I52" s="177" t="n">
        <v>-5.509006394</v>
      </c>
      <c r="J52" s="178" t="n">
        <v>-913.812654454</v>
      </c>
      <c r="K52" s="179" t="n">
        <v>3.114941616</v>
      </c>
      <c r="L52" s="179" t="n">
        <v>-33.2314601392279</v>
      </c>
      <c r="M52" s="176" t="n">
        <v>2.1300383360936</v>
      </c>
      <c r="N52" s="176" t="n">
        <v>0.7289372079999999</v>
      </c>
      <c r="O52" s="176" t="n">
        <v>0.246798543</v>
      </c>
      <c r="P52" s="179" t="n">
        <v>33.8573117535249</v>
      </c>
      <c r="Q52" s="176" t="n">
        <v>0</v>
      </c>
      <c r="R52" s="177" t="n">
        <v>-5.606304513</v>
      </c>
      <c r="S52" s="178" t="n">
        <v>-923.509686476</v>
      </c>
      <c r="T52" s="179" t="n">
        <v>3.11250134</v>
      </c>
      <c r="U52" s="179" t="n">
        <v>-33.1839997785641</v>
      </c>
      <c r="V52" s="176" t="n">
        <v>2.12901760876886</v>
      </c>
      <c r="W52" s="176" t="n">
        <v>0.8412316949999999</v>
      </c>
      <c r="X52" s="176" t="n">
        <v>0.286134726</v>
      </c>
      <c r="Y52" s="179" t="n">
        <v>34.0137833251754</v>
      </c>
      <c r="Z52" s="176" t="n">
        <v>0</v>
      </c>
      <c r="AA52" s="171">
        <f>I52-R52</f>
        <v/>
      </c>
      <c r="AB52" s="172">
        <f>J52-S52</f>
        <v/>
      </c>
      <c r="AC52" s="173">
        <f>K52-T52</f>
        <v/>
      </c>
      <c r="AD52" s="173">
        <f>L52-U52</f>
        <v/>
      </c>
      <c r="AE52" s="174">
        <f>M52-V52</f>
        <v/>
      </c>
      <c r="AF52" s="174">
        <f>N52-W52</f>
        <v/>
      </c>
      <c r="AG52" s="174">
        <f>O52-X52</f>
        <v/>
      </c>
      <c r="AH52" s="173">
        <f>P52-Y52</f>
        <v/>
      </c>
      <c r="AI52" s="175">
        <f>Q52-Z52</f>
        <v/>
      </c>
    </row>
    <row r="53">
      <c r="B53" t="inlineStr">
        <is>
          <t>BASEPRICE</t>
        </is>
      </c>
      <c r="C53" s="164" t="n">
        <v>46064</v>
      </c>
      <c r="D53" s="166" t="inlineStr">
        <is>
          <t>Prime Fixed</t>
        </is>
      </c>
      <c r="E53" s="166" t="inlineStr">
        <is>
          <t>GSMBS 2024-INV1 AX</t>
        </is>
      </c>
      <c r="F53" s="166" t="inlineStr">
        <is>
          <t>362952BQ5</t>
        </is>
      </c>
      <c r="G53" s="176" t="n">
        <v>1.02212</v>
      </c>
      <c r="H53" s="176" t="n">
        <v>1.845455</v>
      </c>
      <c r="I53" s="177" t="n">
        <v>4.260231704</v>
      </c>
      <c r="J53" s="178" t="n">
        <v>67.22456762100001</v>
      </c>
      <c r="K53" s="179" t="n">
        <v>4.24061584</v>
      </c>
      <c r="L53" s="179" t="n">
        <v>-25.9104743274694</v>
      </c>
      <c r="M53" s="176" t="n">
        <v>1.68225147727796</v>
      </c>
      <c r="N53" s="176" t="n">
        <v>0.696232707</v>
      </c>
      <c r="O53" s="176" t="n">
        <v>0.258108806</v>
      </c>
      <c r="P53" s="179" t="n">
        <v>37.0722035039357</v>
      </c>
      <c r="Q53" s="176" t="n">
        <v>0</v>
      </c>
      <c r="R53" s="177" t="n">
        <v>4.15055654</v>
      </c>
      <c r="S53" s="178" t="n">
        <v>56.305893436</v>
      </c>
      <c r="T53" s="179" t="n">
        <v>4.237961708</v>
      </c>
      <c r="U53" s="179" t="n">
        <v>-25.9208854185011</v>
      </c>
      <c r="V53" s="176" t="n">
        <v>1.68054436439794</v>
      </c>
      <c r="W53" s="176" t="n">
        <v>0.803571528</v>
      </c>
      <c r="X53" s="176" t="n">
        <v>0.300551879</v>
      </c>
      <c r="Y53" s="179" t="n">
        <v>37.4020069810139</v>
      </c>
      <c r="Z53" s="176" t="n">
        <v>0</v>
      </c>
      <c r="AA53" s="171">
        <f>I53-R53</f>
        <v/>
      </c>
      <c r="AB53" s="172">
        <f>J53-S53</f>
        <v/>
      </c>
      <c r="AC53" s="173">
        <f>K53-T53</f>
        <v/>
      </c>
      <c r="AD53" s="173">
        <f>L53-U53</f>
        <v/>
      </c>
      <c r="AE53" s="174">
        <f>M53-V53</f>
        <v/>
      </c>
      <c r="AF53" s="174">
        <f>N53-W53</f>
        <v/>
      </c>
      <c r="AG53" s="174">
        <f>O53-X53</f>
        <v/>
      </c>
      <c r="AH53" s="173">
        <f>P53-Y53</f>
        <v/>
      </c>
      <c r="AI53" s="175">
        <f>Q53-Z53</f>
        <v/>
      </c>
    </row>
    <row r="54">
      <c r="B54" t="inlineStr">
        <is>
          <t>BASEPRICE</t>
        </is>
      </c>
      <c r="C54" s="164" t="n">
        <v>46064</v>
      </c>
      <c r="D54" s="166" t="inlineStr">
        <is>
          <t>Prime Fixed</t>
        </is>
      </c>
      <c r="E54" s="166" t="inlineStr">
        <is>
          <t>GSMBS 2024-PJ1 A3X</t>
        </is>
      </c>
      <c r="F54" s="166" t="inlineStr">
        <is>
          <t>36268VAF9</t>
        </is>
      </c>
      <c r="G54" s="176" t="n">
        <v>0.5</v>
      </c>
      <c r="H54" s="176" t="n">
        <v>0.67</v>
      </c>
      <c r="I54" s="177" t="n">
        <v>16.480902897</v>
      </c>
      <c r="J54" s="178" t="n">
        <v>1292.676039936</v>
      </c>
      <c r="K54" s="179" t="n">
        <v>1.860232161</v>
      </c>
      <c r="L54" s="179" t="n">
        <v>-34.370576119403</v>
      </c>
      <c r="M54" s="176" t="n">
        <v>1.25160014925372</v>
      </c>
      <c r="N54" s="176" t="n">
        <v>1.545252921</v>
      </c>
      <c r="O54" s="176" t="n">
        <v>0.523773361</v>
      </c>
      <c r="P54" s="179" t="n">
        <v>33.8956395993119</v>
      </c>
      <c r="Q54" s="176" t="n">
        <v>0</v>
      </c>
      <c r="R54" s="177" t="n">
        <v>16.343463724</v>
      </c>
      <c r="S54" s="178" t="n">
        <v>1278.962068089</v>
      </c>
      <c r="T54" s="179" t="n">
        <v>1.857190836</v>
      </c>
      <c r="U54" s="179" t="n">
        <v>-34.3788370149254</v>
      </c>
      <c r="V54" s="176" t="n">
        <v>1.25061402985075</v>
      </c>
      <c r="W54" s="176" t="n">
        <v>1.759146719</v>
      </c>
      <c r="X54" s="176" t="n">
        <v>0.604864021</v>
      </c>
      <c r="Y54" s="179" t="n">
        <v>34.3839439011568</v>
      </c>
      <c r="Z54" s="176" t="n">
        <v>0</v>
      </c>
      <c r="AA54" s="171">
        <f>I54-R54</f>
        <v/>
      </c>
      <c r="AB54" s="172">
        <f>J54-S54</f>
        <v/>
      </c>
      <c r="AC54" s="173">
        <f>K54-T54</f>
        <v/>
      </c>
      <c r="AD54" s="173">
        <f>L54-U54</f>
        <v/>
      </c>
      <c r="AE54" s="174">
        <f>M54-V54</f>
        <v/>
      </c>
      <c r="AF54" s="174">
        <f>N54-W54</f>
        <v/>
      </c>
      <c r="AG54" s="174">
        <f>O54-X54</f>
        <v/>
      </c>
      <c r="AH54" s="173">
        <f>P54-Y54</f>
        <v/>
      </c>
      <c r="AI54" s="175">
        <f>Q54-Z54</f>
        <v/>
      </c>
    </row>
    <row r="55">
      <c r="B55" t="inlineStr">
        <is>
          <t>BASEPRICE</t>
        </is>
      </c>
      <c r="C55" s="164" t="n">
        <v>46064</v>
      </c>
      <c r="D55" s="166" t="inlineStr">
        <is>
          <t>Prime Fixed</t>
        </is>
      </c>
      <c r="E55" s="166" t="inlineStr">
        <is>
          <t>JPMMT 2019-5 AX4</t>
        </is>
      </c>
      <c r="F55" s="166" t="inlineStr">
        <is>
          <t>46591FAX2</t>
        </is>
      </c>
      <c r="G55" s="176" t="n">
        <v>0.2</v>
      </c>
      <c r="H55" s="176" t="n">
        <v>0.7668700000000001</v>
      </c>
      <c r="I55" s="177" t="n">
        <v>8.824495274</v>
      </c>
      <c r="J55" s="178" t="n">
        <v>495.063975427</v>
      </c>
      <c r="K55" s="179" t="n">
        <v>5.63584013</v>
      </c>
      <c r="L55" s="179" t="n">
        <v>-11.4313043931827</v>
      </c>
      <c r="M55" s="176" t="n">
        <v>3.61639300011736</v>
      </c>
      <c r="N55" s="176" t="n">
        <v>0.792334329</v>
      </c>
      <c r="O55" s="176" t="n">
        <v>-0.716431582</v>
      </c>
      <c r="P55" s="179" t="n">
        <v>-90.4203636997786</v>
      </c>
      <c r="Q55" s="176" t="n">
        <v>0</v>
      </c>
      <c r="R55" s="177" t="n">
        <v>8.801086357000001</v>
      </c>
      <c r="S55" s="178" t="n">
        <v>492.72306951</v>
      </c>
      <c r="T55" s="179" t="n">
        <v>5.629958047</v>
      </c>
      <c r="U55" s="179" t="n">
        <v>-11.5386500971482</v>
      </c>
      <c r="V55" s="176" t="n">
        <v>3.61662524287037</v>
      </c>
      <c r="W55" s="176" t="n">
        <v>0.931455505</v>
      </c>
      <c r="X55" s="176" t="n">
        <v>-0.684856855</v>
      </c>
      <c r="Y55" s="179" t="n">
        <v>-73.5254503649104</v>
      </c>
      <c r="Z55" s="176" t="n">
        <v>0</v>
      </c>
      <c r="AA55" s="171">
        <f>I55-R55</f>
        <v/>
      </c>
      <c r="AB55" s="172">
        <f>J55-S55</f>
        <v/>
      </c>
      <c r="AC55" s="173">
        <f>K55-T55</f>
        <v/>
      </c>
      <c r="AD55" s="173">
        <f>L55-U55</f>
        <v/>
      </c>
      <c r="AE55" s="174">
        <f>M55-V55</f>
        <v/>
      </c>
      <c r="AF55" s="174">
        <f>N55-W55</f>
        <v/>
      </c>
      <c r="AG55" s="174">
        <f>O55-X55</f>
        <v/>
      </c>
      <c r="AH55" s="173">
        <f>P55-Y55</f>
        <v/>
      </c>
      <c r="AI55" s="175">
        <f>Q55-Z55</f>
        <v/>
      </c>
    </row>
    <row r="56">
      <c r="B56" t="inlineStr">
        <is>
          <t>BASEPRICE</t>
        </is>
      </c>
      <c r="C56" s="164" t="n">
        <v>46064</v>
      </c>
      <c r="D56" s="166" t="inlineStr">
        <is>
          <t>Prime Fixed</t>
        </is>
      </c>
      <c r="E56" s="166" t="inlineStr">
        <is>
          <t>JPMMT 2024-12 AX1</t>
        </is>
      </c>
      <c r="F56" s="166" t="inlineStr">
        <is>
          <t>46658TBH6</t>
        </is>
      </c>
      <c r="G56" s="176" t="n">
        <v>0.467004</v>
      </c>
      <c r="H56" s="176" t="n">
        <v>0.6418700000000001</v>
      </c>
      <c r="I56" s="177" t="n">
        <v>14.532668615</v>
      </c>
      <c r="J56" s="178" t="n">
        <v>1093.589594718</v>
      </c>
      <c r="K56" s="179" t="n">
        <v>2.619233465</v>
      </c>
      <c r="L56" s="179" t="n">
        <v>-56.419947341362</v>
      </c>
      <c r="M56" s="176" t="n">
        <v>1.46624067178712</v>
      </c>
      <c r="N56" s="176" t="n">
        <v>0.384569933</v>
      </c>
      <c r="O56" s="176" t="n">
        <v>0.113692822</v>
      </c>
      <c r="P56" s="179" t="n">
        <v>29.5636273780145</v>
      </c>
      <c r="Q56" s="176" t="n">
        <v>0</v>
      </c>
      <c r="R56" s="177" t="n">
        <v>14.460859716</v>
      </c>
      <c r="S56" s="178" t="n">
        <v>1086.469111582</v>
      </c>
      <c r="T56" s="179" t="n">
        <v>2.609456587</v>
      </c>
      <c r="U56" s="179" t="n">
        <v>-52.9434770280587</v>
      </c>
      <c r="V56" s="176" t="n">
        <v>1.46507517098477</v>
      </c>
      <c r="W56" s="176" t="n">
        <v>0.450299778</v>
      </c>
      <c r="X56" s="176" t="n">
        <v>0.135167536</v>
      </c>
      <c r="Y56" s="179" t="n">
        <v>30.0172335416963</v>
      </c>
      <c r="Z56" s="176" t="n">
        <v>0</v>
      </c>
      <c r="AA56" s="171">
        <f>I56-R56</f>
        <v/>
      </c>
      <c r="AB56" s="172">
        <f>J56-S56</f>
        <v/>
      </c>
      <c r="AC56" s="173">
        <f>K56-T56</f>
        <v/>
      </c>
      <c r="AD56" s="173">
        <f>L56-U56</f>
        <v/>
      </c>
      <c r="AE56" s="174">
        <f>M56-V56</f>
        <v/>
      </c>
      <c r="AF56" s="174">
        <f>N56-W56</f>
        <v/>
      </c>
      <c r="AG56" s="174">
        <f>O56-X56</f>
        <v/>
      </c>
      <c r="AH56" s="173">
        <f>P56-Y56</f>
        <v/>
      </c>
      <c r="AI56" s="175">
        <f>Q56-Z56</f>
        <v/>
      </c>
    </row>
    <row r="57">
      <c r="B57" t="inlineStr">
        <is>
          <t>BASEPRICE</t>
        </is>
      </c>
      <c r="C57" s="164" t="n">
        <v>46064</v>
      </c>
      <c r="D57" s="166" t="inlineStr">
        <is>
          <t>Prime Fixed</t>
        </is>
      </c>
      <c r="E57" s="166" t="inlineStr">
        <is>
          <t>JPMMT 2024-4 AX1</t>
        </is>
      </c>
      <c r="F57" s="166" t="inlineStr">
        <is>
          <t>46657WAX6</t>
        </is>
      </c>
      <c r="G57" s="176" t="n">
        <v>0.58272</v>
      </c>
      <c r="H57" s="176" t="n">
        <v>0.75008</v>
      </c>
      <c r="I57" s="177" t="n">
        <v>10.443815626</v>
      </c>
      <c r="J57" s="178" t="n">
        <v>688.581734085</v>
      </c>
      <c r="K57" s="179" t="n">
        <v>1.830990907</v>
      </c>
      <c r="L57" s="179" t="n">
        <v>-37.2767350149317</v>
      </c>
      <c r="M57" s="176" t="n">
        <v>1.31649357401877</v>
      </c>
      <c r="N57" s="176" t="n">
        <v>0.533842972</v>
      </c>
      <c r="O57" s="176" t="n">
        <v>0.167190126</v>
      </c>
      <c r="P57" s="179" t="n">
        <v>31.3182217935052</v>
      </c>
      <c r="Q57" s="176" t="n">
        <v>0</v>
      </c>
      <c r="R57" s="177" t="n">
        <v>10.390713763</v>
      </c>
      <c r="S57" s="178" t="n">
        <v>683.2739184770001</v>
      </c>
      <c r="T57" s="179" t="n">
        <v>1.83040661</v>
      </c>
      <c r="U57" s="179" t="n">
        <v>-34.8134449658703</v>
      </c>
      <c r="V57" s="176" t="n">
        <v>1.31650077325086</v>
      </c>
      <c r="W57" s="176" t="n">
        <v>0.619925405</v>
      </c>
      <c r="X57" s="176" t="n">
        <v>0.195138082</v>
      </c>
      <c r="Y57" s="179" t="n">
        <v>31.4776714143535</v>
      </c>
      <c r="Z57" s="176" t="n">
        <v>0</v>
      </c>
      <c r="AA57" s="171">
        <f>I57-R57</f>
        <v/>
      </c>
      <c r="AB57" s="172">
        <f>J57-S57</f>
        <v/>
      </c>
      <c r="AC57" s="173">
        <f>K57-T57</f>
        <v/>
      </c>
      <c r="AD57" s="173">
        <f>L57-U57</f>
        <v/>
      </c>
      <c r="AE57" s="174">
        <f>M57-V57</f>
        <v/>
      </c>
      <c r="AF57" s="174">
        <f>N57-W57</f>
        <v/>
      </c>
      <c r="AG57" s="174">
        <f>O57-X57</f>
        <v/>
      </c>
      <c r="AH57" s="173">
        <f>P57-Y57</f>
        <v/>
      </c>
      <c r="AI57" s="175">
        <f>Q57-Z57</f>
        <v/>
      </c>
    </row>
    <row r="58">
      <c r="B58" t="inlineStr">
        <is>
          <t>BASEPRICE</t>
        </is>
      </c>
      <c r="C58" s="164" t="n">
        <v>46064</v>
      </c>
      <c r="D58" s="166" t="inlineStr">
        <is>
          <t>Prime Fixed</t>
        </is>
      </c>
      <c r="E58" s="166" t="inlineStr">
        <is>
          <t>JPMMT 2024-4 AX2</t>
        </is>
      </c>
      <c r="F58" s="166" t="inlineStr">
        <is>
          <t>46657WAY4</t>
        </is>
      </c>
      <c r="G58" s="176" t="n">
        <v>0.5</v>
      </c>
      <c r="H58" s="176" t="n">
        <v>0.762505</v>
      </c>
      <c r="I58" s="177" t="n">
        <v>6.322905784</v>
      </c>
      <c r="J58" s="178" t="n">
        <v>276.243527264</v>
      </c>
      <c r="K58" s="179" t="n">
        <v>1.830990907</v>
      </c>
      <c r="L58" s="179" t="n">
        <v>-50.9880470291998</v>
      </c>
      <c r="M58" s="176" t="n">
        <v>1.42349387872865</v>
      </c>
      <c r="N58" s="176" t="n">
        <v>0.533842972</v>
      </c>
      <c r="O58" s="176" t="n">
        <v>0.167190126</v>
      </c>
      <c r="P58" s="179" t="n">
        <v>31.3182217935052</v>
      </c>
      <c r="Q58" s="176" t="n">
        <v>0</v>
      </c>
      <c r="R58" s="177" t="n">
        <v>6.270726854</v>
      </c>
      <c r="S58" s="178" t="n">
        <v>271.028066799</v>
      </c>
      <c r="T58" s="179" t="n">
        <v>1.83040661</v>
      </c>
      <c r="U58" s="179" t="n">
        <v>-51.478216142845</v>
      </c>
      <c r="V58" s="176" t="n">
        <v>1.42348653451454</v>
      </c>
      <c r="W58" s="176" t="n">
        <v>0.619925405</v>
      </c>
      <c r="X58" s="176" t="n">
        <v>0.195138082</v>
      </c>
      <c r="Y58" s="179" t="n">
        <v>31.4776714143535</v>
      </c>
      <c r="Z58" s="176" t="n">
        <v>0</v>
      </c>
      <c r="AA58" s="171">
        <f>I58-R58</f>
        <v/>
      </c>
      <c r="AB58" s="172">
        <f>J58-S58</f>
        <v/>
      </c>
      <c r="AC58" s="173">
        <f>K58-T58</f>
        <v/>
      </c>
      <c r="AD58" s="173">
        <f>L58-U58</f>
        <v/>
      </c>
      <c r="AE58" s="174">
        <f>M58-V58</f>
        <v/>
      </c>
      <c r="AF58" s="174">
        <f>N58-W58</f>
        <v/>
      </c>
      <c r="AG58" s="174">
        <f>O58-X58</f>
        <v/>
      </c>
      <c r="AH58" s="173">
        <f>P58-Y58</f>
        <v/>
      </c>
      <c r="AI58" s="175">
        <f>Q58-Z58</f>
        <v/>
      </c>
    </row>
    <row r="59">
      <c r="B59" t="inlineStr">
        <is>
          <t>BASEPRICE</t>
        </is>
      </c>
      <c r="C59" s="164" t="n">
        <v>46064</v>
      </c>
      <c r="D59" s="166" t="inlineStr">
        <is>
          <t>Prime Fixed</t>
        </is>
      </c>
      <c r="E59" s="166" t="inlineStr">
        <is>
          <t>JPMMT 2024-INV1 AX1</t>
        </is>
      </c>
      <c r="F59" s="166" t="inlineStr">
        <is>
          <t>46658PAX0</t>
        </is>
      </c>
      <c r="G59" s="176" t="n">
        <v>1.038638</v>
      </c>
      <c r="H59" s="176" t="n">
        <v>2.050615</v>
      </c>
      <c r="I59" s="177" t="n">
        <v>-2.082240623</v>
      </c>
      <c r="J59" s="178" t="n">
        <v>-572.992202361</v>
      </c>
      <c r="K59" s="179" t="n">
        <v>2.413684669</v>
      </c>
      <c r="L59" s="179" t="n">
        <v>-63.5974156045869</v>
      </c>
      <c r="M59" s="176" t="n">
        <v>2.09820180775036</v>
      </c>
      <c r="N59" s="176" t="n">
        <v>0.684833384</v>
      </c>
      <c r="O59" s="176" t="n">
        <v>0.334541608</v>
      </c>
      <c r="P59" s="179" t="n">
        <v>48.8500729981937</v>
      </c>
      <c r="Q59" s="176" t="n">
        <v>0</v>
      </c>
      <c r="R59" s="177" t="n">
        <v>-2.234763809</v>
      </c>
      <c r="S59" s="178" t="n">
        <v>-588.05834026</v>
      </c>
      <c r="T59" s="179" t="n">
        <v>2.405144721</v>
      </c>
      <c r="U59" s="179" t="n">
        <v>-67.14944560534281</v>
      </c>
      <c r="V59" s="176" t="n">
        <v>2.09255633066178</v>
      </c>
      <c r="W59" s="176" t="n">
        <v>0.7949753899999999</v>
      </c>
      <c r="X59" s="176" t="n">
        <v>0.380727015</v>
      </c>
      <c r="Y59" s="179" t="n">
        <v>47.8916730994654</v>
      </c>
      <c r="Z59" s="176" t="n">
        <v>0</v>
      </c>
      <c r="AA59" s="171">
        <f>I59-R59</f>
        <v/>
      </c>
      <c r="AB59" s="172">
        <f>J59-S59</f>
        <v/>
      </c>
      <c r="AC59" s="173">
        <f>K59-T59</f>
        <v/>
      </c>
      <c r="AD59" s="173">
        <f>L59-U59</f>
        <v/>
      </c>
      <c r="AE59" s="174">
        <f>M59-V59</f>
        <v/>
      </c>
      <c r="AF59" s="174">
        <f>N59-W59</f>
        <v/>
      </c>
      <c r="AG59" s="174">
        <f>O59-X59</f>
        <v/>
      </c>
      <c r="AH59" s="173">
        <f>P59-Y59</f>
        <v/>
      </c>
      <c r="AI59" s="175">
        <f>Q59-Z59</f>
        <v/>
      </c>
    </row>
    <row r="60">
      <c r="B60" t="inlineStr">
        <is>
          <t>BASEPRICE</t>
        </is>
      </c>
      <c r="C60" s="164" t="n">
        <v>46064</v>
      </c>
      <c r="D60" s="166" t="inlineStr">
        <is>
          <t>Prime Fixed</t>
        </is>
      </c>
      <c r="E60" s="166" t="inlineStr">
        <is>
          <t>JPMMT 2025-3 B1</t>
        </is>
      </c>
      <c r="F60" s="166" t="inlineStr">
        <is>
          <t>46593RAJ5</t>
        </is>
      </c>
      <c r="G60" s="176" t="n">
        <v>6.87581</v>
      </c>
      <c r="H60" s="176" t="n">
        <v>101.057985</v>
      </c>
      <c r="I60" s="177" t="n">
        <v>6.059709846</v>
      </c>
      <c r="J60" s="178" t="n">
        <v>254.878225316</v>
      </c>
      <c r="K60" s="179" t="n">
        <v>1.955555556</v>
      </c>
      <c r="L60" s="179" t="n">
        <v>0.884073298116924</v>
      </c>
      <c r="M60" s="176" t="n">
        <v>1.79126965375374</v>
      </c>
      <c r="N60" s="176" t="n">
        <v>0.498701111</v>
      </c>
      <c r="O60" s="176" t="n">
        <v>0.165735911</v>
      </c>
      <c r="P60" s="179" t="n">
        <v>33.2335154954167</v>
      </c>
      <c r="Q60" s="176" t="n">
        <v>0</v>
      </c>
      <c r="R60" s="177" t="n">
        <v>6.059675664</v>
      </c>
      <c r="S60" s="178" t="n">
        <v>254.874807104</v>
      </c>
      <c r="T60" s="179" t="n">
        <v>1.955555556</v>
      </c>
      <c r="U60" s="179" t="n">
        <v>0.884150872392711</v>
      </c>
      <c r="V60" s="176" t="n">
        <v>1.79127035731022</v>
      </c>
      <c r="W60" s="176" t="n">
        <v>0.59008501</v>
      </c>
      <c r="X60" s="176" t="n">
        <v>0.197370509</v>
      </c>
      <c r="Y60" s="179" t="n">
        <v>33.4478093249649</v>
      </c>
      <c r="Z60" s="176" t="n">
        <v>0</v>
      </c>
      <c r="AA60" s="171">
        <f>I60-R60</f>
        <v/>
      </c>
      <c r="AB60" s="172">
        <f>J60-S60</f>
        <v/>
      </c>
      <c r="AC60" s="173">
        <f>K60-T60</f>
        <v/>
      </c>
      <c r="AD60" s="173">
        <f>L60-U60</f>
        <v/>
      </c>
      <c r="AE60" s="174">
        <f>M60-V60</f>
        <v/>
      </c>
      <c r="AF60" s="174">
        <f>N60-W60</f>
        <v/>
      </c>
      <c r="AG60" s="174">
        <f>O60-X60</f>
        <v/>
      </c>
      <c r="AH60" s="173">
        <f>P60-Y60</f>
        <v/>
      </c>
      <c r="AI60" s="175">
        <f>Q60-Z60</f>
        <v/>
      </c>
    </row>
    <row r="61">
      <c r="B61" t="inlineStr">
        <is>
          <t>BASEPRICE</t>
        </is>
      </c>
      <c r="C61" s="164" t="n">
        <v>46064</v>
      </c>
      <c r="D61" s="166" t="inlineStr">
        <is>
          <t>Prime Fixed</t>
        </is>
      </c>
      <c r="E61" s="166" t="inlineStr">
        <is>
          <t>JPMMT 2025-5MPR B1</t>
        </is>
      </c>
      <c r="F61" s="166" t="inlineStr">
        <is>
          <t>46593VAK3</t>
        </is>
      </c>
      <c r="G61" s="176" t="n">
        <v>7.217904</v>
      </c>
      <c r="H61" s="176" t="n">
        <v>101.45633</v>
      </c>
      <c r="I61" s="177" t="n">
        <v>5.608722442</v>
      </c>
      <c r="J61" s="178" t="n">
        <v>213.485904017</v>
      </c>
      <c r="K61" s="179" t="n">
        <v>1.205555556</v>
      </c>
      <c r="L61" s="179" t="n">
        <v>-0.222830186150038</v>
      </c>
      <c r="M61" s="176" t="n">
        <v>1.13241936604645</v>
      </c>
      <c r="N61" s="176" t="n">
        <v>0.441931696</v>
      </c>
      <c r="O61" s="176" t="n">
        <v>0.148466521</v>
      </c>
      <c r="P61" s="179" t="n">
        <v>33.5949021859704</v>
      </c>
      <c r="Q61" s="176" t="n">
        <v>0</v>
      </c>
      <c r="R61" s="177" t="n">
        <v>5.60869171</v>
      </c>
      <c r="S61" s="178" t="n">
        <v>213.482832126</v>
      </c>
      <c r="T61" s="179" t="n">
        <v>1.205555556</v>
      </c>
      <c r="U61" s="179" t="n">
        <v>-0.22286379765561</v>
      </c>
      <c r="V61" s="176" t="n">
        <v>1.13241972777844</v>
      </c>
      <c r="W61" s="176" t="n">
        <v>0.528659286</v>
      </c>
      <c r="X61" s="176" t="n">
        <v>0.180215837</v>
      </c>
      <c r="Y61" s="179" t="n">
        <v>34.0892218811796</v>
      </c>
      <c r="Z61" s="176" t="n">
        <v>0</v>
      </c>
      <c r="AA61" s="171">
        <f>I61-R61</f>
        <v/>
      </c>
      <c r="AB61" s="172">
        <f>J61-S61</f>
        <v/>
      </c>
      <c r="AC61" s="173">
        <f>K61-T61</f>
        <v/>
      </c>
      <c r="AD61" s="173">
        <f>L61-U61</f>
        <v/>
      </c>
      <c r="AE61" s="174">
        <f>M61-V61</f>
        <v/>
      </c>
      <c r="AF61" s="174">
        <f>N61-W61</f>
        <v/>
      </c>
      <c r="AG61" s="174">
        <f>O61-X61</f>
        <v/>
      </c>
      <c r="AH61" s="173">
        <f>P61-Y61</f>
        <v/>
      </c>
      <c r="AI61" s="175">
        <f>Q61-Z61</f>
        <v/>
      </c>
    </row>
    <row r="62">
      <c r="B62" t="inlineStr">
        <is>
          <t>BASEPRICE</t>
        </is>
      </c>
      <c r="C62" s="164" t="n">
        <v>46064</v>
      </c>
      <c r="D62" s="166" t="inlineStr">
        <is>
          <t>Prime Fixed</t>
        </is>
      </c>
      <c r="E62" s="166" t="inlineStr">
        <is>
          <t>JPMMT 2025-7MPR B1</t>
        </is>
      </c>
      <c r="F62" s="166" t="inlineStr">
        <is>
          <t>46594CAK4</t>
        </is>
      </c>
      <c r="G62" s="176" t="n">
        <v>7.174238</v>
      </c>
      <c r="H62" s="176" t="n">
        <v>101.86067</v>
      </c>
      <c r="I62" s="177" t="n">
        <v>6.480422671</v>
      </c>
      <c r="J62" s="178" t="n">
        <v>287.183933866</v>
      </c>
      <c r="K62" s="179" t="n">
        <v>3.538888889</v>
      </c>
      <c r="L62" s="179" t="n">
        <v>3.26222580314856</v>
      </c>
      <c r="M62" s="176" t="n">
        <v>3.05812340916273</v>
      </c>
      <c r="N62" s="176" t="n">
        <v>0.310183752</v>
      </c>
      <c r="O62" s="176" t="n">
        <v>0.09954722000000001</v>
      </c>
      <c r="P62" s="179" t="n">
        <v>32.0929833874729</v>
      </c>
      <c r="Q62" s="176" t="n">
        <v>0</v>
      </c>
      <c r="R62" s="177" t="n">
        <v>6.480184476</v>
      </c>
      <c r="S62" s="178" t="n">
        <v>287.160084357</v>
      </c>
      <c r="T62" s="179" t="n">
        <v>3.538888889</v>
      </c>
      <c r="U62" s="179" t="n">
        <v>3.26583607097814</v>
      </c>
      <c r="V62" s="176" t="n">
        <v>3.05813266690667</v>
      </c>
      <c r="W62" s="176" t="n">
        <v>0.374554074</v>
      </c>
      <c r="X62" s="176" t="n">
        <v>0.12169912</v>
      </c>
      <c r="Y62" s="179" t="n">
        <v>32.4917357593606</v>
      </c>
      <c r="Z62" s="176" t="n">
        <v>0</v>
      </c>
      <c r="AA62" s="171">
        <f>I62-R62</f>
        <v/>
      </c>
      <c r="AB62" s="172">
        <f>J62-S62</f>
        <v/>
      </c>
      <c r="AC62" s="173">
        <f>K62-T62</f>
        <v/>
      </c>
      <c r="AD62" s="173">
        <f>L62-U62</f>
        <v/>
      </c>
      <c r="AE62" s="174">
        <f>M62-V62</f>
        <v/>
      </c>
      <c r="AF62" s="174">
        <f>N62-W62</f>
        <v/>
      </c>
      <c r="AG62" s="174">
        <f>O62-X62</f>
        <v/>
      </c>
      <c r="AH62" s="173">
        <f>P62-Y62</f>
        <v/>
      </c>
      <c r="AI62" s="175">
        <f>Q62-Z62</f>
        <v/>
      </c>
    </row>
    <row r="63">
      <c r="B63" t="inlineStr">
        <is>
          <t>BASEPRICE</t>
        </is>
      </c>
      <c r="C63" s="164" t="n">
        <v>46064</v>
      </c>
      <c r="D63" s="166" t="inlineStr">
        <is>
          <t>Prime Fixed</t>
        </is>
      </c>
      <c r="E63" s="166" t="inlineStr">
        <is>
          <t>JPMMT 2025-7MPR B2</t>
        </is>
      </c>
      <c r="F63" s="166" t="inlineStr">
        <is>
          <t>46594CAL2</t>
        </is>
      </c>
      <c r="G63" s="176" t="n">
        <v>7.174238</v>
      </c>
      <c r="H63" s="176" t="n">
        <v>98.99930999999999</v>
      </c>
      <c r="I63" s="177" t="n">
        <v>7.415196693</v>
      </c>
      <c r="J63" s="178" t="n">
        <v>380.672504953</v>
      </c>
      <c r="K63" s="179" t="n">
        <v>3.538888889</v>
      </c>
      <c r="L63" s="179" t="n">
        <v>3.24372730880651</v>
      </c>
      <c r="M63" s="176" t="n">
        <v>3.03781315243509</v>
      </c>
      <c r="N63" s="176" t="n">
        <v>0.310183752</v>
      </c>
      <c r="O63" s="176" t="n">
        <v>0.09954722000000001</v>
      </c>
      <c r="P63" s="179" t="n">
        <v>32.0929833874729</v>
      </c>
      <c r="Q63" s="176" t="n">
        <v>0</v>
      </c>
      <c r="R63" s="177" t="n">
        <v>7.414955658</v>
      </c>
      <c r="S63" s="178" t="n">
        <v>380.648371158</v>
      </c>
      <c r="T63" s="179" t="n">
        <v>3.538888889</v>
      </c>
      <c r="U63" s="179" t="n">
        <v>3.2473310884692</v>
      </c>
      <c r="V63" s="176" t="n">
        <v>3.03782243330786</v>
      </c>
      <c r="W63" s="176" t="n">
        <v>0.374554074</v>
      </c>
      <c r="X63" s="176" t="n">
        <v>0.12169912</v>
      </c>
      <c r="Y63" s="179" t="n">
        <v>32.4917357593606</v>
      </c>
      <c r="Z63" s="176" t="n">
        <v>0</v>
      </c>
      <c r="AA63" s="171">
        <f>I63-R63</f>
        <v/>
      </c>
      <c r="AB63" s="172">
        <f>J63-S63</f>
        <v/>
      </c>
      <c r="AC63" s="173">
        <f>K63-T63</f>
        <v/>
      </c>
      <c r="AD63" s="173">
        <f>L63-U63</f>
        <v/>
      </c>
      <c r="AE63" s="174">
        <f>M63-V63</f>
        <v/>
      </c>
      <c r="AF63" s="174">
        <f>N63-W63</f>
        <v/>
      </c>
      <c r="AG63" s="174">
        <f>O63-X63</f>
        <v/>
      </c>
      <c r="AH63" s="173">
        <f>P63-Y63</f>
        <v/>
      </c>
      <c r="AI63" s="175">
        <f>Q63-Z63</f>
        <v/>
      </c>
    </row>
    <row r="64">
      <c r="B64" t="inlineStr">
        <is>
          <t>BASEPRICE</t>
        </is>
      </c>
      <c r="C64" s="164" t="n">
        <v>46064</v>
      </c>
      <c r="D64" s="166" t="inlineStr">
        <is>
          <t>Prime Fixed</t>
        </is>
      </c>
      <c r="E64" s="166" t="inlineStr">
        <is>
          <t>JPMMT 2025-7MPR B3</t>
        </is>
      </c>
      <c r="F64" s="166" t="inlineStr">
        <is>
          <t>46594CAM0</t>
        </is>
      </c>
      <c r="G64" s="176" t="n">
        <v>7.174238</v>
      </c>
      <c r="H64" s="176" t="n">
        <v>92.528935</v>
      </c>
      <c r="I64" s="177" t="n">
        <v>9.657950357000001</v>
      </c>
      <c r="J64" s="178" t="n">
        <v>604.975104689</v>
      </c>
      <c r="K64" s="179" t="n">
        <v>3.538888889</v>
      </c>
      <c r="L64" s="179" t="n">
        <v>3.19978343098837</v>
      </c>
      <c r="M64" s="176" t="n">
        <v>2.98949351789254</v>
      </c>
      <c r="N64" s="176" t="n">
        <v>0.310183752</v>
      </c>
      <c r="O64" s="176" t="n">
        <v>0.09954722000000001</v>
      </c>
      <c r="P64" s="179" t="n">
        <v>32.0929833874729</v>
      </c>
      <c r="Q64" s="176" t="n">
        <v>0</v>
      </c>
      <c r="R64" s="177" t="n">
        <v>9.657702399</v>
      </c>
      <c r="S64" s="178" t="n">
        <v>604.950277924</v>
      </c>
      <c r="T64" s="179" t="n">
        <v>3.538888889</v>
      </c>
      <c r="U64" s="179" t="n">
        <v>3.2033711616804</v>
      </c>
      <c r="V64" s="176" t="n">
        <v>2.98950285659292</v>
      </c>
      <c r="W64" s="176" t="n">
        <v>0.374554074</v>
      </c>
      <c r="X64" s="176" t="n">
        <v>0.12169912</v>
      </c>
      <c r="Y64" s="179" t="n">
        <v>32.4917357593606</v>
      </c>
      <c r="Z64" s="176" t="n">
        <v>0</v>
      </c>
      <c r="AA64" s="171">
        <f>I64-R64</f>
        <v/>
      </c>
      <c r="AB64" s="172">
        <f>J64-S64</f>
        <v/>
      </c>
      <c r="AC64" s="173">
        <f>K64-T64</f>
        <v/>
      </c>
      <c r="AD64" s="173">
        <f>L64-U64</f>
        <v/>
      </c>
      <c r="AE64" s="174">
        <f>M64-V64</f>
        <v/>
      </c>
      <c r="AF64" s="174">
        <f>N64-W64</f>
        <v/>
      </c>
      <c r="AG64" s="174">
        <f>O64-X64</f>
        <v/>
      </c>
      <c r="AH64" s="173">
        <f>P64-Y64</f>
        <v/>
      </c>
      <c r="AI64" s="175">
        <f>Q64-Z64</f>
        <v/>
      </c>
    </row>
    <row r="65">
      <c r="B65" t="inlineStr">
        <is>
          <t>BASEPRICE</t>
        </is>
      </c>
      <c r="C65" s="164" t="n">
        <v>46064</v>
      </c>
      <c r="D65" s="166" t="inlineStr">
        <is>
          <t>Prime Fixed</t>
        </is>
      </c>
      <c r="E65" s="166" t="inlineStr">
        <is>
          <t>JPMMT 2025-INV1 AX1</t>
        </is>
      </c>
      <c r="F65" s="166" t="inlineStr">
        <is>
          <t>466910AW6</t>
        </is>
      </c>
      <c r="G65" s="176" t="n">
        <v>0.36008</v>
      </c>
      <c r="H65" s="176" t="n">
        <v>0.5464</v>
      </c>
      <c r="I65" s="177" t="n">
        <v>-24.327346466</v>
      </c>
      <c r="J65" s="178" t="n">
        <v>-2787.572168771</v>
      </c>
      <c r="K65" s="179" t="n">
        <v>3.05611959</v>
      </c>
      <c r="L65" s="179" t="n">
        <v>-61.6935948023426</v>
      </c>
      <c r="M65" s="176" t="n">
        <v>1.65125951683748</v>
      </c>
      <c r="N65" s="176" t="n">
        <v>0.404402314</v>
      </c>
      <c r="O65" s="176" t="n">
        <v>0.158726413</v>
      </c>
      <c r="P65" s="179" t="n">
        <v>39.2496302580504</v>
      </c>
      <c r="Q65" s="176" t="n">
        <v>0</v>
      </c>
      <c r="R65" s="177" t="n">
        <v>-24.442986762</v>
      </c>
      <c r="S65" s="178" t="n">
        <v>-2799.109528245</v>
      </c>
      <c r="T65" s="179" t="n">
        <v>3.054774504</v>
      </c>
      <c r="U65" s="179" t="n">
        <v>-61.5895845534407</v>
      </c>
      <c r="V65" s="176" t="n">
        <v>1.65031826500732</v>
      </c>
      <c r="W65" s="176" t="n">
        <v>0.468865122</v>
      </c>
      <c r="X65" s="176" t="n">
        <v>0.18481571</v>
      </c>
      <c r="Y65" s="179" t="n">
        <v>39.4176707390063</v>
      </c>
      <c r="Z65" s="176" t="n">
        <v>0</v>
      </c>
      <c r="AA65" s="171">
        <f>I65-R65</f>
        <v/>
      </c>
      <c r="AB65" s="172">
        <f>J65-S65</f>
        <v/>
      </c>
      <c r="AC65" s="173">
        <f>K65-T65</f>
        <v/>
      </c>
      <c r="AD65" s="173">
        <f>L65-U65</f>
        <v/>
      </c>
      <c r="AE65" s="174">
        <f>M65-V65</f>
        <v/>
      </c>
      <c r="AF65" s="174">
        <f>N65-W65</f>
        <v/>
      </c>
      <c r="AG65" s="174">
        <f>O65-X65</f>
        <v/>
      </c>
      <c r="AH65" s="173">
        <f>P65-Y65</f>
        <v/>
      </c>
      <c r="AI65" s="175">
        <f>Q65-Z65</f>
        <v/>
      </c>
    </row>
    <row r="66">
      <c r="B66" t="inlineStr">
        <is>
          <t>BASEPRICE</t>
        </is>
      </c>
      <c r="C66" s="164" t="n">
        <v>46064</v>
      </c>
      <c r="D66" s="166" t="inlineStr">
        <is>
          <t>Prime Fixed</t>
        </is>
      </c>
      <c r="E66" s="166" t="inlineStr">
        <is>
          <t>MSRM 2024-3 A7IO</t>
        </is>
      </c>
      <c r="F66" s="166" t="inlineStr">
        <is>
          <t>61776QBQ8</t>
        </is>
      </c>
      <c r="G66" s="176" t="n">
        <v>2</v>
      </c>
      <c r="H66" s="176" t="n">
        <v>2.096865</v>
      </c>
      <c r="I66" s="177" t="n">
        <v>-32.401104897</v>
      </c>
      <c r="J66" s="178" t="n">
        <v>-3592.077360066</v>
      </c>
      <c r="K66" s="179" t="n">
        <v>0.86658121</v>
      </c>
      <c r="L66" s="179" t="n">
        <v>-85.0469350196603</v>
      </c>
      <c r="M66" s="176" t="n">
        <v>0.9649142887119589</v>
      </c>
      <c r="N66" s="176" t="n">
        <v>0.345675843</v>
      </c>
      <c r="O66" s="176" t="n">
        <v>0.100765778</v>
      </c>
      <c r="P66" s="179" t="n">
        <v>29.1503673283875</v>
      </c>
      <c r="Q66" s="176" t="n">
        <v>0</v>
      </c>
      <c r="R66" s="177" t="n">
        <v>-32.483883907</v>
      </c>
      <c r="S66" s="178" t="n">
        <v>-3600.355428556</v>
      </c>
      <c r="T66" s="179" t="n">
        <v>0.866038936</v>
      </c>
      <c r="U66" s="179" t="n">
        <v>-85.02634323144321</v>
      </c>
      <c r="V66" s="176" t="n">
        <v>0.965242969862154</v>
      </c>
      <c r="W66" s="176" t="n">
        <v>0.400326624</v>
      </c>
      <c r="X66" s="176" t="n">
        <v>0.116056431</v>
      </c>
      <c r="Y66" s="179" t="n">
        <v>28.990435320135</v>
      </c>
      <c r="Z66" s="176" t="n">
        <v>0</v>
      </c>
      <c r="AA66" s="171">
        <f>I66-R66</f>
        <v/>
      </c>
      <c r="AB66" s="172">
        <f>J66-S66</f>
        <v/>
      </c>
      <c r="AC66" s="173">
        <f>K66-T66</f>
        <v/>
      </c>
      <c r="AD66" s="173">
        <f>L66-U66</f>
        <v/>
      </c>
      <c r="AE66" s="174">
        <f>M66-V66</f>
        <v/>
      </c>
      <c r="AF66" s="174">
        <f>N66-W66</f>
        <v/>
      </c>
      <c r="AG66" s="174">
        <f>O66-X66</f>
        <v/>
      </c>
      <c r="AH66" s="173">
        <f>P66-Y66</f>
        <v/>
      </c>
      <c r="AI66" s="175">
        <f>Q66-Z66</f>
        <v/>
      </c>
    </row>
    <row r="67">
      <c r="B67" t="inlineStr">
        <is>
          <t>BASEPRICE</t>
        </is>
      </c>
      <c r="C67" s="164" t="n">
        <v>46064</v>
      </c>
      <c r="D67" s="166" t="inlineStr">
        <is>
          <t>Prime Fixed</t>
        </is>
      </c>
      <c r="E67" s="166" t="inlineStr">
        <is>
          <t>PMTLT 2025-INV6 AX1</t>
        </is>
      </c>
      <c r="F67" s="166" t="inlineStr">
        <is>
          <t>69382MBK9</t>
        </is>
      </c>
      <c r="G67" s="176" t="n">
        <v>0.21289</v>
      </c>
      <c r="H67" s="176" t="n">
        <v>0.424765</v>
      </c>
      <c r="I67" s="177" t="n">
        <v>-58.522199959</v>
      </c>
      <c r="J67" s="178" t="n">
        <v>-6204.315616842</v>
      </c>
      <c r="K67" s="179" t="n">
        <v>3.562090223</v>
      </c>
      <c r="L67" s="179" t="n">
        <v>-87.0531945899498</v>
      </c>
      <c r="M67" s="176" t="n">
        <v>1.84199404376537</v>
      </c>
      <c r="N67" s="176" t="n">
        <v>0.415088464</v>
      </c>
      <c r="O67" s="176" t="n">
        <v>0.115416135</v>
      </c>
      <c r="P67" s="179" t="n">
        <v>27.8051897390239</v>
      </c>
      <c r="Q67" s="176" t="n">
        <v>0</v>
      </c>
      <c r="R67" s="177" t="n">
        <v>-58.631884973</v>
      </c>
      <c r="S67" s="178" t="n">
        <v>-6215.27227418</v>
      </c>
      <c r="T67" s="179" t="n">
        <v>3.559417523</v>
      </c>
      <c r="U67" s="179" t="n">
        <v>-86.9225411698233</v>
      </c>
      <c r="V67" s="176" t="n">
        <v>1.84140501218321</v>
      </c>
      <c r="W67" s="176" t="n">
        <v>0.474326567</v>
      </c>
      <c r="X67" s="176" t="n">
        <v>0.132425986</v>
      </c>
      <c r="Y67" s="179" t="n">
        <v>27.918736839381</v>
      </c>
      <c r="Z67" s="176" t="n">
        <v>0</v>
      </c>
      <c r="AA67" s="171">
        <f>I67-R67</f>
        <v/>
      </c>
      <c r="AB67" s="172">
        <f>J67-S67</f>
        <v/>
      </c>
      <c r="AC67" s="173">
        <f>K67-T67</f>
        <v/>
      </c>
      <c r="AD67" s="173">
        <f>L67-U67</f>
        <v/>
      </c>
      <c r="AE67" s="174">
        <f>M67-V67</f>
        <v/>
      </c>
      <c r="AF67" s="174">
        <f>N67-W67</f>
        <v/>
      </c>
      <c r="AG67" s="174">
        <f>O67-X67</f>
        <v/>
      </c>
      <c r="AH67" s="173">
        <f>P67-Y67</f>
        <v/>
      </c>
      <c r="AI67" s="175">
        <f>Q67-Z67</f>
        <v/>
      </c>
    </row>
    <row r="68">
      <c r="B68" t="inlineStr">
        <is>
          <t>BASEPRICE</t>
        </is>
      </c>
      <c r="C68" s="164" t="n">
        <v>46064</v>
      </c>
      <c r="D68" s="166" t="inlineStr">
        <is>
          <t>Prime Fixed</t>
        </is>
      </c>
      <c r="E68" s="166" t="inlineStr">
        <is>
          <t>RCKT 2024-INV1 AX2</t>
        </is>
      </c>
      <c r="F68" s="166" t="inlineStr">
        <is>
          <t>74938QBB9</t>
        </is>
      </c>
      <c r="G68" s="176" t="n">
        <v>0.5</v>
      </c>
      <c r="H68" s="176" t="n">
        <v>1.144745</v>
      </c>
      <c r="I68" s="177" t="n">
        <v>15.430216803</v>
      </c>
      <c r="J68" s="178" t="n">
        <v>1173.209856754</v>
      </c>
      <c r="K68" s="179" t="n">
        <v>3.497377984</v>
      </c>
      <c r="L68" s="179" t="n">
        <v>-31.9733488244107</v>
      </c>
      <c r="M68" s="176" t="n">
        <v>2.19205692097367</v>
      </c>
      <c r="N68" s="176" t="n">
        <v>0.905172365</v>
      </c>
      <c r="O68" s="176" t="n">
        <v>0.369062686</v>
      </c>
      <c r="P68" s="179" t="n">
        <v>40.77264179403</v>
      </c>
      <c r="Q68" s="176" t="n">
        <v>0</v>
      </c>
      <c r="R68" s="177" t="n">
        <v>15.405939233</v>
      </c>
      <c r="S68" s="178" t="n">
        <v>1170.786645297</v>
      </c>
      <c r="T68" s="179" t="n">
        <v>3.494707403</v>
      </c>
      <c r="U68" s="179" t="n">
        <v>-31.9753754766345</v>
      </c>
      <c r="V68" s="176" t="n">
        <v>2.19189924393644</v>
      </c>
      <c r="W68" s="176" t="n">
        <v>1.0388519</v>
      </c>
      <c r="X68" s="176" t="n">
        <v>0.41918523</v>
      </c>
      <c r="Y68" s="179" t="n">
        <v>40.3508170895197</v>
      </c>
      <c r="Z68" s="176" t="n">
        <v>0</v>
      </c>
      <c r="AA68" s="171">
        <f>I68-R68</f>
        <v/>
      </c>
      <c r="AB68" s="172">
        <f>J68-S68</f>
        <v/>
      </c>
      <c r="AC68" s="173">
        <f>K68-T68</f>
        <v/>
      </c>
      <c r="AD68" s="173">
        <f>L68-U68</f>
        <v/>
      </c>
      <c r="AE68" s="174">
        <f>M68-V68</f>
        <v/>
      </c>
      <c r="AF68" s="174">
        <f>N68-W68</f>
        <v/>
      </c>
      <c r="AG68" s="174">
        <f>O68-X68</f>
        <v/>
      </c>
      <c r="AH68" s="173">
        <f>P68-Y68</f>
        <v/>
      </c>
      <c r="AI68" s="175">
        <f>Q68-Z68</f>
        <v/>
      </c>
    </row>
    <row r="69">
      <c r="B69" t="inlineStr">
        <is>
          <t>BASEPRICE</t>
        </is>
      </c>
      <c r="C69" s="164" t="n">
        <v>46064</v>
      </c>
      <c r="D69" s="166" t="inlineStr">
        <is>
          <t>Prime Fixed</t>
        </is>
      </c>
      <c r="E69" s="166" t="inlineStr">
        <is>
          <t>RMCT 2024-J1 A25X</t>
        </is>
      </c>
      <c r="F69" s="166" t="inlineStr">
        <is>
          <t>75023DBQ8</t>
        </is>
      </c>
      <c r="G69" s="176" t="n">
        <v>2.95339</v>
      </c>
      <c r="H69" s="176" t="n">
        <v>4.945715</v>
      </c>
      <c r="I69" s="177" t="n">
        <v>4.529257973</v>
      </c>
      <c r="J69" s="178" t="n">
        <v>95.70620501000001</v>
      </c>
      <c r="K69" s="179" t="n">
        <v>1.631485179</v>
      </c>
      <c r="L69" s="179" t="n">
        <v>-57.4346555755841</v>
      </c>
      <c r="M69" s="176" t="n">
        <v>1.49453367207776</v>
      </c>
      <c r="N69" s="176" t="n">
        <v>0.272390807</v>
      </c>
      <c r="O69" s="176" t="n">
        <v>0.07126381599999999</v>
      </c>
      <c r="P69" s="179" t="n">
        <v>26.1623425492476</v>
      </c>
      <c r="Q69" s="176" t="n">
        <v>0</v>
      </c>
      <c r="R69" s="177" t="n">
        <v>4.493560028</v>
      </c>
      <c r="S69" s="178" t="n">
        <v>92.136139199</v>
      </c>
      <c r="T69" s="179" t="n">
        <v>1.6305788</v>
      </c>
      <c r="U69" s="179" t="n">
        <v>-57.4005081570612</v>
      </c>
      <c r="V69" s="176" t="n">
        <v>1.49482066799241</v>
      </c>
      <c r="W69" s="176" t="n">
        <v>0.317276501</v>
      </c>
      <c r="X69" s="176" t="n">
        <v>0.08404333</v>
      </c>
      <c r="Y69" s="179" t="n">
        <v>26.4889866520559</v>
      </c>
      <c r="Z69" s="176" t="n">
        <v>0</v>
      </c>
      <c r="AA69" s="171">
        <f>I69-R69</f>
        <v/>
      </c>
      <c r="AB69" s="172">
        <f>J69-S69</f>
        <v/>
      </c>
      <c r="AC69" s="173">
        <f>K69-T69</f>
        <v/>
      </c>
      <c r="AD69" s="173">
        <f>L69-U69</f>
        <v/>
      </c>
      <c r="AE69" s="174">
        <f>M69-V69</f>
        <v/>
      </c>
      <c r="AF69" s="174">
        <f>N69-W69</f>
        <v/>
      </c>
      <c r="AG69" s="174">
        <f>O69-X69</f>
        <v/>
      </c>
      <c r="AH69" s="173">
        <f>P69-Y69</f>
        <v/>
      </c>
      <c r="AI69" s="175">
        <f>Q69-Z69</f>
        <v/>
      </c>
    </row>
    <row r="70">
      <c r="B70" t="inlineStr">
        <is>
          <t>BASEPRICE</t>
        </is>
      </c>
      <c r="C70" s="164" t="n">
        <v>46064</v>
      </c>
      <c r="D70" s="166" t="inlineStr">
        <is>
          <t>Prime Fixed</t>
        </is>
      </c>
      <c r="E70" s="166" t="inlineStr">
        <is>
          <t>RMCT 2024-J1 AX</t>
        </is>
      </c>
      <c r="F70" s="166" t="inlineStr">
        <is>
          <t>75023DCD6</t>
        </is>
      </c>
      <c r="G70" s="176" t="n">
        <v>0.13742</v>
      </c>
      <c r="H70" s="176" t="n">
        <v>0.20156</v>
      </c>
      <c r="I70" s="177" t="n">
        <v>-15.033336972</v>
      </c>
      <c r="J70" s="178" t="n">
        <v>-1857.788318094</v>
      </c>
      <c r="K70" s="179" t="n">
        <v>1.732373186</v>
      </c>
      <c r="L70" s="179" t="n">
        <v>-64.83514487001391</v>
      </c>
      <c r="M70" s="176" t="n">
        <v>1.44045941655091</v>
      </c>
      <c r="N70" s="176" t="n">
        <v>0.272390807</v>
      </c>
      <c r="O70" s="176" t="n">
        <v>0.07126381599999999</v>
      </c>
      <c r="P70" s="179" t="n">
        <v>26.1623425492476</v>
      </c>
      <c r="Q70" s="176" t="n">
        <v>0</v>
      </c>
      <c r="R70" s="177" t="n">
        <v>-15.115930185</v>
      </c>
      <c r="S70" s="178" t="n">
        <v>-1866.03968114</v>
      </c>
      <c r="T70" s="179" t="n">
        <v>1.731409389</v>
      </c>
      <c r="U70" s="179" t="n">
        <v>-64.7525332407224</v>
      </c>
      <c r="V70" s="176" t="n">
        <v>1.44041476483429</v>
      </c>
      <c r="W70" s="176" t="n">
        <v>0.317276501</v>
      </c>
      <c r="X70" s="176" t="n">
        <v>0.08404333</v>
      </c>
      <c r="Y70" s="179" t="n">
        <v>26.4889866520559</v>
      </c>
      <c r="Z70" s="176" t="n">
        <v>0</v>
      </c>
      <c r="AA70" s="171">
        <f>I70-R70</f>
        <v/>
      </c>
      <c r="AB70" s="172">
        <f>J70-S70</f>
        <v/>
      </c>
      <c r="AC70" s="173">
        <f>K70-T70</f>
        <v/>
      </c>
      <c r="AD70" s="173">
        <f>L70-U70</f>
        <v/>
      </c>
      <c r="AE70" s="174">
        <f>M70-V70</f>
        <v/>
      </c>
      <c r="AF70" s="174">
        <f>N70-W70</f>
        <v/>
      </c>
      <c r="AG70" s="174">
        <f>O70-X70</f>
        <v/>
      </c>
      <c r="AH70" s="173">
        <f>P70-Y70</f>
        <v/>
      </c>
      <c r="AI70" s="175">
        <f>Q70-Z70</f>
        <v/>
      </c>
    </row>
    <row r="71">
      <c r="B71" t="inlineStr">
        <is>
          <t>BASEPRICE</t>
        </is>
      </c>
      <c r="C71" s="164" t="n">
        <v>46064</v>
      </c>
      <c r="D71" s="166" t="inlineStr">
        <is>
          <t>Prime Fixed</t>
        </is>
      </c>
      <c r="E71" s="166" t="inlineStr">
        <is>
          <t>SEMT 2025-10 I27F</t>
        </is>
      </c>
      <c r="F71" s="166" t="inlineStr">
        <is>
          <t>81750CDB8</t>
        </is>
      </c>
      <c r="G71" s="176" t="n">
        <v>2.55272</v>
      </c>
      <c r="H71" s="176" t="n">
        <v>5.013485</v>
      </c>
      <c r="I71" s="177" t="n">
        <v>14.848904327</v>
      </c>
      <c r="J71" s="178" t="n">
        <v>1120.528721519</v>
      </c>
      <c r="K71" s="179" t="n">
        <v>2.458495682</v>
      </c>
      <c r="L71" s="179" t="n">
        <v>-49.7099715666847</v>
      </c>
      <c r="M71" s="176" t="n">
        <v>1.77859857963074</v>
      </c>
      <c r="N71" s="176" t="n">
        <v>0.244981969</v>
      </c>
      <c r="O71" s="176" t="n">
        <v>0.066397278</v>
      </c>
      <c r="P71" s="179" t="n">
        <v>27.1029244605345</v>
      </c>
      <c r="Q71" s="176" t="n">
        <v>0</v>
      </c>
      <c r="R71" s="177" t="n">
        <v>14.826246349</v>
      </c>
      <c r="S71" s="178" t="n">
        <v>1118.264827666</v>
      </c>
      <c r="T71" s="179" t="n">
        <v>2.457134633</v>
      </c>
      <c r="U71" s="179" t="n">
        <v>-49.7023588581595</v>
      </c>
      <c r="V71" s="176" t="n">
        <v>1.77874303004797</v>
      </c>
      <c r="W71" s="176" t="n">
        <v>0.278177145</v>
      </c>
      <c r="X71" s="176" t="n">
        <v>0.075455469</v>
      </c>
      <c r="Y71" s="179" t="n">
        <v>27.1249706729142</v>
      </c>
      <c r="Z71" s="176" t="n">
        <v>0</v>
      </c>
      <c r="AA71" s="171">
        <f>I71-R71</f>
        <v/>
      </c>
      <c r="AB71" s="172">
        <f>J71-S71</f>
        <v/>
      </c>
      <c r="AC71" s="173">
        <f>K71-T71</f>
        <v/>
      </c>
      <c r="AD71" s="173">
        <f>L71-U71</f>
        <v/>
      </c>
      <c r="AE71" s="174">
        <f>M71-V71</f>
        <v/>
      </c>
      <c r="AF71" s="174">
        <f>N71-W71</f>
        <v/>
      </c>
      <c r="AG71" s="174">
        <f>O71-X71</f>
        <v/>
      </c>
      <c r="AH71" s="173">
        <f>P71-Y71</f>
        <v/>
      </c>
      <c r="AI71" s="175">
        <f>Q71-Z71</f>
        <v/>
      </c>
    </row>
    <row r="72">
      <c r="B72" t="inlineStr">
        <is>
          <t>BASEPRICE</t>
        </is>
      </c>
      <c r="C72" s="180" t="n">
        <v>46064</v>
      </c>
      <c r="D72" s="181" t="inlineStr">
        <is>
          <t>Short CRT-B2</t>
        </is>
      </c>
      <c r="E72" s="181" t="inlineStr">
        <is>
          <t>CAS 2020-SBT1 2B1</t>
        </is>
      </c>
      <c r="F72" s="181" t="inlineStr">
        <is>
          <t>20753VDL9</t>
        </is>
      </c>
      <c r="G72" s="182" t="n">
        <v>10.41176</v>
      </c>
      <c r="H72" s="182" t="n">
        <v>104.9</v>
      </c>
      <c r="I72" s="183" t="n">
        <v>5.448751465</v>
      </c>
      <c r="J72" s="184" t="n">
        <v>198.092297311</v>
      </c>
      <c r="K72" s="185" t="n">
        <v>1.038888889</v>
      </c>
      <c r="L72" s="185" t="n">
        <v>0.0434677836034238</v>
      </c>
      <c r="M72" s="182" t="n">
        <v>0.977258324118211</v>
      </c>
      <c r="N72" s="182" t="n">
        <v>1.520979357</v>
      </c>
      <c r="O72" s="182" t="n">
        <v>0.039414957</v>
      </c>
      <c r="P72" s="185" t="n">
        <v>2.59141958887217</v>
      </c>
      <c r="Q72" s="182" t="n">
        <v>0</v>
      </c>
      <c r="R72" s="183" t="n">
        <v>5.448751465</v>
      </c>
      <c r="S72" s="184" t="n">
        <v>198.092297311</v>
      </c>
      <c r="T72" s="185" t="n">
        <v>1.038888889</v>
      </c>
      <c r="U72" s="185" t="n">
        <v>0.0434677836034238</v>
      </c>
      <c r="V72" s="182" t="n">
        <v>0.977258324118211</v>
      </c>
      <c r="W72" s="182" t="n">
        <v>1.440387294</v>
      </c>
      <c r="X72" s="182" t="n">
        <v>0.036716946</v>
      </c>
      <c r="Y72" s="185" t="n">
        <v>2.54910232497511</v>
      </c>
      <c r="Z72" s="182" t="n">
        <v>0</v>
      </c>
      <c r="AA72" s="186">
        <f>I72-R72</f>
        <v/>
      </c>
      <c r="AB72" s="187">
        <f>J72-S72</f>
        <v/>
      </c>
      <c r="AC72" s="188">
        <f>K72-T72</f>
        <v/>
      </c>
      <c r="AD72" s="188">
        <f>L72-U72</f>
        <v/>
      </c>
      <c r="AE72" s="189">
        <f>M72-V72</f>
        <v/>
      </c>
      <c r="AF72" s="189">
        <f>N72-W72</f>
        <v/>
      </c>
      <c r="AG72" s="189">
        <f>O72-X72</f>
        <v/>
      </c>
      <c r="AH72" s="188">
        <f>P72-Y72</f>
        <v/>
      </c>
      <c r="AI72" s="190">
        <f>Q72-Z72</f>
        <v/>
      </c>
    </row>
    <row r="73">
      <c r="B73" t="inlineStr">
        <is>
          <t>BASEPRICE</t>
        </is>
      </c>
      <c r="C73" s="180" t="n">
        <v>46064</v>
      </c>
      <c r="D73" s="181" t="inlineStr">
        <is>
          <t>Short CRT-B2</t>
        </is>
      </c>
      <c r="E73" s="181" t="inlineStr">
        <is>
          <t>STACR 2018-HQA2 B2</t>
        </is>
      </c>
      <c r="F73" s="181" t="inlineStr">
        <is>
          <t>35563XBE1</t>
        </is>
      </c>
      <c r="G73" s="182" t="n">
        <v>14.81176</v>
      </c>
      <c r="H73" s="182" t="n">
        <v>123.34375</v>
      </c>
      <c r="I73" s="183" t="n">
        <v>5.321129578</v>
      </c>
      <c r="J73" s="184" t="n">
        <v>177.156523139</v>
      </c>
      <c r="K73" s="185" t="n">
        <v>2.705555556</v>
      </c>
      <c r="L73" s="185" t="n">
        <v>0.237654885634655</v>
      </c>
      <c r="M73" s="182" t="n">
        <v>2.27373854451482</v>
      </c>
      <c r="N73" s="182" t="n">
        <v>2.495957728</v>
      </c>
      <c r="O73" s="182" t="n">
        <v>0.21293618</v>
      </c>
      <c r="P73" s="185" t="n">
        <v>8.531241439358221</v>
      </c>
      <c r="Q73" s="182" t="n">
        <v>0</v>
      </c>
      <c r="R73" s="183" t="n">
        <v>5.321129578</v>
      </c>
      <c r="S73" s="184" t="n">
        <v>177.156523139</v>
      </c>
      <c r="T73" s="185" t="n">
        <v>2.705555556</v>
      </c>
      <c r="U73" s="185" t="n">
        <v>0.237654885634655</v>
      </c>
      <c r="V73" s="182" t="n">
        <v>2.27373854451482</v>
      </c>
      <c r="W73" s="182" t="n">
        <v>2.363909817</v>
      </c>
      <c r="X73" s="182" t="n">
        <v>0.198503565</v>
      </c>
      <c r="Y73" s="185" t="n">
        <v>8.397256256244059</v>
      </c>
      <c r="Z73" s="182" t="n">
        <v>0</v>
      </c>
      <c r="AA73" s="186">
        <f>I73-R73</f>
        <v/>
      </c>
      <c r="AB73" s="187">
        <f>J73-S73</f>
        <v/>
      </c>
      <c r="AC73" s="188">
        <f>K73-T73</f>
        <v/>
      </c>
      <c r="AD73" s="188">
        <f>L73-U73</f>
        <v/>
      </c>
      <c r="AE73" s="189">
        <f>M73-V73</f>
        <v/>
      </c>
      <c r="AF73" s="189">
        <f>N73-W73</f>
        <v/>
      </c>
      <c r="AG73" s="189">
        <f>O73-X73</f>
        <v/>
      </c>
      <c r="AH73" s="188">
        <f>P73-Y73</f>
        <v/>
      </c>
      <c r="AI73" s="190">
        <f>Q73-Z73</f>
        <v/>
      </c>
    </row>
    <row r="74">
      <c r="B74" t="inlineStr">
        <is>
          <t>BASEPRICE</t>
        </is>
      </c>
      <c r="C74" s="180" t="n">
        <v>46064</v>
      </c>
      <c r="D74" s="181" t="inlineStr">
        <is>
          <t>Short CRT-B2</t>
        </is>
      </c>
      <c r="E74" s="181" t="inlineStr">
        <is>
          <t>STACR 2019-FTR1 B2</t>
        </is>
      </c>
      <c r="F74" s="181" t="inlineStr">
        <is>
          <t>35564PAC2</t>
        </is>
      </c>
      <c r="G74" s="182" t="n">
        <v>12.16176</v>
      </c>
      <c r="H74" s="182" t="n">
        <v>119.7</v>
      </c>
      <c r="I74" s="183" t="n">
        <v>5.381688523</v>
      </c>
      <c r="J74" s="184" t="n">
        <v>179.342274486</v>
      </c>
      <c r="K74" s="185" t="n">
        <v>3.288888889</v>
      </c>
      <c r="L74" s="185" t="n">
        <v>0.236860561403507</v>
      </c>
      <c r="M74" s="182" t="n">
        <v>2.75337077109441</v>
      </c>
      <c r="N74" s="182" t="n">
        <v>1.440723182</v>
      </c>
      <c r="O74" s="182" t="n">
        <v>0.066811605</v>
      </c>
      <c r="P74" s="185" t="n">
        <v>4.63736586144555</v>
      </c>
      <c r="Q74" s="182" t="n">
        <v>0</v>
      </c>
      <c r="R74" s="183" t="n">
        <v>5.381688523</v>
      </c>
      <c r="S74" s="184" t="n">
        <v>179.342274486</v>
      </c>
      <c r="T74" s="185" t="n">
        <v>3.288888889</v>
      </c>
      <c r="U74" s="185" t="n">
        <v>0.236860561403507</v>
      </c>
      <c r="V74" s="182" t="n">
        <v>2.75337077109441</v>
      </c>
      <c r="W74" s="182" t="n">
        <v>1.362611621</v>
      </c>
      <c r="X74" s="182" t="n">
        <v>0.061684587</v>
      </c>
      <c r="Y74" s="185" t="n">
        <v>4.52693827421864</v>
      </c>
      <c r="Z74" s="182" t="n">
        <v>0</v>
      </c>
      <c r="AA74" s="186">
        <f>I74-R74</f>
        <v/>
      </c>
      <c r="AB74" s="187">
        <f>J74-S74</f>
        <v/>
      </c>
      <c r="AC74" s="188">
        <f>K74-T74</f>
        <v/>
      </c>
      <c r="AD74" s="188">
        <f>L74-U74</f>
        <v/>
      </c>
      <c r="AE74" s="189">
        <f>M74-V74</f>
        <v/>
      </c>
      <c r="AF74" s="189">
        <f>N74-W74</f>
        <v/>
      </c>
      <c r="AG74" s="189">
        <f>O74-X74</f>
        <v/>
      </c>
      <c r="AH74" s="188">
        <f>P74-Y74</f>
        <v/>
      </c>
      <c r="AI74" s="190">
        <f>Q74-Z74</f>
        <v/>
      </c>
    </row>
    <row r="75">
      <c r="B75" t="inlineStr">
        <is>
          <t>BASEPRICE</t>
        </is>
      </c>
      <c r="C75" s="180" t="n">
        <v>46064</v>
      </c>
      <c r="D75" s="181" t="inlineStr">
        <is>
          <t>Short CRT-B2</t>
        </is>
      </c>
      <c r="E75" s="181" t="inlineStr">
        <is>
          <t>STACR 2019-FTR3 B2</t>
        </is>
      </c>
      <c r="F75" s="181" t="inlineStr">
        <is>
          <t>35565EAE2</t>
        </is>
      </c>
      <c r="G75" s="182" t="n">
        <v>8.78867</v>
      </c>
      <c r="H75" s="182" t="n">
        <v>110.3</v>
      </c>
      <c r="I75" s="183" t="n">
        <v>5.410912221</v>
      </c>
      <c r="J75" s="184" t="n">
        <v>177.245432902</v>
      </c>
      <c r="K75" s="185" t="n">
        <v>3.875</v>
      </c>
      <c r="L75" s="185" t="n">
        <v>0.132129316409783</v>
      </c>
      <c r="M75" s="182" t="n">
        <v>3.31055393925656</v>
      </c>
      <c r="N75" s="182" t="n">
        <v>1.112719016</v>
      </c>
      <c r="O75" s="182" t="n">
        <v>0.046504446</v>
      </c>
      <c r="P75" s="185" t="n">
        <v>4.1793521393365</v>
      </c>
      <c r="Q75" s="182" t="n">
        <v>0</v>
      </c>
      <c r="R75" s="183" t="n">
        <v>5.410912221</v>
      </c>
      <c r="S75" s="184" t="n">
        <v>177.245432902</v>
      </c>
      <c r="T75" s="185" t="n">
        <v>3.875</v>
      </c>
      <c r="U75" s="185" t="n">
        <v>0.132129316409783</v>
      </c>
      <c r="V75" s="182" t="n">
        <v>3.31055393925656</v>
      </c>
      <c r="W75" s="182" t="n">
        <v>1.054430234</v>
      </c>
      <c r="X75" s="182" t="n">
        <v>0.042081742</v>
      </c>
      <c r="Y75" s="185" t="n">
        <v>3.99094607144962</v>
      </c>
      <c r="Z75" s="182" t="n">
        <v>0</v>
      </c>
      <c r="AA75" s="186">
        <f>I75-R75</f>
        <v/>
      </c>
      <c r="AB75" s="187">
        <f>J75-S75</f>
        <v/>
      </c>
      <c r="AC75" s="188">
        <f>K75-T75</f>
        <v/>
      </c>
      <c r="AD75" s="188">
        <f>L75-U75</f>
        <v/>
      </c>
      <c r="AE75" s="189">
        <f>M75-V75</f>
        <v/>
      </c>
      <c r="AF75" s="189">
        <f>N75-W75</f>
        <v/>
      </c>
      <c r="AG75" s="189">
        <f>O75-X75</f>
        <v/>
      </c>
      <c r="AH75" s="188">
        <f>P75-Y75</f>
        <v/>
      </c>
      <c r="AI75" s="190">
        <f>Q75-Z75</f>
        <v/>
      </c>
    </row>
    <row r="76">
      <c r="B76" t="inlineStr">
        <is>
          <t>BASEPRICE</t>
        </is>
      </c>
      <c r="C76" s="180" t="n">
        <v>46064</v>
      </c>
      <c r="D76" s="181" t="inlineStr">
        <is>
          <t>Short CRT-B2</t>
        </is>
      </c>
      <c r="E76" s="181" t="inlineStr">
        <is>
          <t>STACR 2019-FTR4 B2</t>
        </is>
      </c>
      <c r="F76" s="181" t="inlineStr">
        <is>
          <t>35565GAE7</t>
        </is>
      </c>
      <c r="G76" s="182" t="n">
        <v>8.81176</v>
      </c>
      <c r="H76" s="182" t="n">
        <v>111</v>
      </c>
      <c r="I76" s="183" t="n">
        <v>5.412834531</v>
      </c>
      <c r="J76" s="184" t="n">
        <v>177.465451385</v>
      </c>
      <c r="K76" s="185" t="n">
        <v>3.875</v>
      </c>
      <c r="L76" s="185" t="n">
        <v>0.143172774774775</v>
      </c>
      <c r="M76" s="182" t="n">
        <v>3.30142051801802</v>
      </c>
      <c r="N76" s="182" t="n">
        <v>1.486994778</v>
      </c>
      <c r="O76" s="182" t="n">
        <v>0.078647536</v>
      </c>
      <c r="P76" s="185" t="n">
        <v>5.28902570228125</v>
      </c>
      <c r="Q76" s="182" t="n">
        <v>0</v>
      </c>
      <c r="R76" s="183" t="n">
        <v>5.412834531</v>
      </c>
      <c r="S76" s="184" t="n">
        <v>177.465451385</v>
      </c>
      <c r="T76" s="185" t="n">
        <v>3.875</v>
      </c>
      <c r="U76" s="185" t="n">
        <v>0.143172774774775</v>
      </c>
      <c r="V76" s="182" t="n">
        <v>3.30142051801802</v>
      </c>
      <c r="W76" s="182" t="n">
        <v>1.401940687</v>
      </c>
      <c r="X76" s="182" t="n">
        <v>0.074598659</v>
      </c>
      <c r="Y76" s="185" t="n">
        <v>5.3210995081135</v>
      </c>
      <c r="Z76" s="182" t="n">
        <v>0</v>
      </c>
      <c r="AA76" s="186">
        <f>I76-R76</f>
        <v/>
      </c>
      <c r="AB76" s="187">
        <f>J76-S76</f>
        <v/>
      </c>
      <c r="AC76" s="188">
        <f>K76-T76</f>
        <v/>
      </c>
      <c r="AD76" s="188">
        <f>L76-U76</f>
        <v/>
      </c>
      <c r="AE76" s="189">
        <f>M76-V76</f>
        <v/>
      </c>
      <c r="AF76" s="189">
        <f>N76-W76</f>
        <v/>
      </c>
      <c r="AG76" s="189">
        <f>O76-X76</f>
        <v/>
      </c>
      <c r="AH76" s="188">
        <f>P76-Y76</f>
        <v/>
      </c>
      <c r="AI76" s="190">
        <f>Q76-Z76</f>
        <v/>
      </c>
    </row>
    <row r="77">
      <c r="B77" t="inlineStr">
        <is>
          <t>BASEPRICE</t>
        </is>
      </c>
      <c r="C77" s="180" t="n">
        <v>46064</v>
      </c>
      <c r="D77" s="181" t="inlineStr">
        <is>
          <t>Short CRT-B2</t>
        </is>
      </c>
      <c r="E77" s="181" t="inlineStr">
        <is>
          <t>STACR 2019-HQA1 B2</t>
        </is>
      </c>
      <c r="F77" s="181" t="inlineStr">
        <is>
          <t>35563MBE5</t>
        </is>
      </c>
      <c r="G77" s="182" t="n">
        <v>16.06176</v>
      </c>
      <c r="H77" s="182" t="n">
        <v>121.56</v>
      </c>
      <c r="I77" s="183" t="n">
        <v>4.761781647</v>
      </c>
      <c r="J77" s="184" t="n">
        <v>124.590044604</v>
      </c>
      <c r="K77" s="185" t="n">
        <v>2.038888889</v>
      </c>
      <c r="L77" s="185" t="n">
        <v>-2.48520455330701</v>
      </c>
      <c r="M77" s="182" t="n">
        <v>1.76748439042448</v>
      </c>
      <c r="N77" s="182" t="n">
        <v>3.137867915</v>
      </c>
      <c r="O77" s="182" t="n">
        <v>0.295770417</v>
      </c>
      <c r="P77" s="185" t="n">
        <v>9.425840252425029</v>
      </c>
      <c r="Q77" s="182" t="n">
        <v>0</v>
      </c>
      <c r="R77" s="183" t="n">
        <v>5.469654325</v>
      </c>
      <c r="S77" s="184" t="n">
        <v>194.557808283</v>
      </c>
      <c r="T77" s="185" t="n">
        <v>2.205555556</v>
      </c>
      <c r="U77" s="185" t="n">
        <v>-2.29455622161895</v>
      </c>
      <c r="V77" s="182" t="n">
        <v>1.88320706975978</v>
      </c>
      <c r="W77" s="182" t="n">
        <v>2.975623946</v>
      </c>
      <c r="X77" s="182" t="n">
        <v>0.272022772</v>
      </c>
      <c r="Y77" s="185" t="n">
        <v>9.14170530068721</v>
      </c>
      <c r="Z77" s="182" t="n">
        <v>0</v>
      </c>
      <c r="AA77" s="186">
        <f>I77-R77</f>
        <v/>
      </c>
      <c r="AB77" s="187">
        <f>J77-S77</f>
        <v/>
      </c>
      <c r="AC77" s="188">
        <f>K77-T77</f>
        <v/>
      </c>
      <c r="AD77" s="188">
        <f>L77-U77</f>
        <v/>
      </c>
      <c r="AE77" s="189">
        <f>M77-V77</f>
        <v/>
      </c>
      <c r="AF77" s="189">
        <f>N77-W77</f>
        <v/>
      </c>
      <c r="AG77" s="189">
        <f>O77-X77</f>
        <v/>
      </c>
      <c r="AH77" s="188">
        <f>P77-Y77</f>
        <v/>
      </c>
      <c r="AI77" s="190">
        <f>Q77-Z77</f>
        <v/>
      </c>
    </row>
    <row r="78">
      <c r="B78" t="inlineStr">
        <is>
          <t>BASEPRICE</t>
        </is>
      </c>
      <c r="C78" s="180" t="n">
        <v>46064</v>
      </c>
      <c r="D78" s="181" t="inlineStr">
        <is>
          <t>Short CRT-B2</t>
        </is>
      </c>
      <c r="E78" s="181" t="inlineStr">
        <is>
          <t>STACR 2019-HQA2 B2</t>
        </is>
      </c>
      <c r="F78" s="181" t="inlineStr">
        <is>
          <t>35564MBE4</t>
        </is>
      </c>
      <c r="G78" s="182" t="n">
        <v>15.06176</v>
      </c>
      <c r="H78" s="182" t="n">
        <v>120.22</v>
      </c>
      <c r="I78" s="183" t="n">
        <v>4.468954713</v>
      </c>
      <c r="J78" s="184" t="n">
        <v>95.299409966</v>
      </c>
      <c r="K78" s="185" t="n">
        <v>2.038888889</v>
      </c>
      <c r="L78" s="185" t="n">
        <v>-2.35857711279322</v>
      </c>
      <c r="M78" s="182" t="n">
        <v>1.78283984278822</v>
      </c>
      <c r="N78" s="182" t="n">
        <v>3.324990598</v>
      </c>
      <c r="O78" s="182" t="n">
        <v>0.365265847</v>
      </c>
      <c r="P78" s="185" t="n">
        <v>10.9854700707939</v>
      </c>
      <c r="Q78" s="182" t="n">
        <v>0</v>
      </c>
      <c r="R78" s="183" t="n">
        <v>5.13604773</v>
      </c>
      <c r="S78" s="184" t="n">
        <v>161.182315835</v>
      </c>
      <c r="T78" s="185" t="n">
        <v>2.205555556</v>
      </c>
      <c r="U78" s="185" t="n">
        <v>-1.56985835135585</v>
      </c>
      <c r="V78" s="182" t="n">
        <v>1.90101266594577</v>
      </c>
      <c r="W78" s="182" t="n">
        <v>3.135516431</v>
      </c>
      <c r="X78" s="182" t="n">
        <v>0.341639248</v>
      </c>
      <c r="Y78" s="185" t="n">
        <v>10.8957887964581</v>
      </c>
      <c r="Z78" s="182" t="n">
        <v>0</v>
      </c>
      <c r="AA78" s="186">
        <f>I78-R78</f>
        <v/>
      </c>
      <c r="AB78" s="187">
        <f>J78-S78</f>
        <v/>
      </c>
      <c r="AC78" s="188">
        <f>K78-T78</f>
        <v/>
      </c>
      <c r="AD78" s="188">
        <f>L78-U78</f>
        <v/>
      </c>
      <c r="AE78" s="189">
        <f>M78-V78</f>
        <v/>
      </c>
      <c r="AF78" s="189">
        <f>N78-W78</f>
        <v/>
      </c>
      <c r="AG78" s="189">
        <f>O78-X78</f>
        <v/>
      </c>
      <c r="AH78" s="188">
        <f>P78-Y78</f>
        <v/>
      </c>
      <c r="AI78" s="190">
        <f>Q78-Z78</f>
        <v/>
      </c>
    </row>
    <row r="79">
      <c r="B79" t="inlineStr">
        <is>
          <t>BASEPRICE</t>
        </is>
      </c>
      <c r="C79" s="191" t="n">
        <v>46064</v>
      </c>
      <c r="D79" s="192" t="inlineStr">
        <is>
          <t>Single Borrower</t>
        </is>
      </c>
      <c r="E79" s="192" t="inlineStr">
        <is>
          <t>ACHM 2024-HE1 C</t>
        </is>
      </c>
      <c r="F79" s="192" t="inlineStr">
        <is>
          <t>00449TAC9</t>
        </is>
      </c>
      <c r="G79" s="193" t="n">
        <v>6.55</v>
      </c>
      <c r="H79" s="193" t="n">
        <v>102.02217</v>
      </c>
      <c r="I79" s="194" t="n">
        <v>5.601989103</v>
      </c>
      <c r="J79" s="195" t="n">
        <v>208.241616001</v>
      </c>
      <c r="K79" s="196" t="n">
        <v>2.122222222</v>
      </c>
      <c r="L79" s="196" t="n">
        <v>1.67287205516213</v>
      </c>
      <c r="M79" s="193" t="n">
        <v>1.93473758889858</v>
      </c>
      <c r="N79" s="193" t="n">
        <v>1.871506811</v>
      </c>
      <c r="O79" s="193" t="n">
        <v>1.182482507</v>
      </c>
      <c r="P79" s="196" t="n">
        <v>63.1834466243895</v>
      </c>
      <c r="Q79" s="193" t="n">
        <v>0</v>
      </c>
      <c r="R79" s="194" t="n">
        <v>5.601989103</v>
      </c>
      <c r="S79" s="195" t="n">
        <v>208.241616001</v>
      </c>
      <c r="T79" s="196" t="n">
        <v>2.122222222</v>
      </c>
      <c r="U79" s="196" t="n">
        <v>1.67287205516213</v>
      </c>
      <c r="V79" s="193" t="n">
        <v>1.93473758889858</v>
      </c>
      <c r="W79" s="193" t="n">
        <v>1.871432683</v>
      </c>
      <c r="X79" s="193" t="n">
        <v>1.182464074</v>
      </c>
      <c r="Y79" s="196" t="n">
        <v>63.184964372026</v>
      </c>
      <c r="Z79" s="193" t="n">
        <v>0</v>
      </c>
      <c r="AA79" s="197">
        <f>I79-R79</f>
        <v/>
      </c>
      <c r="AB79" s="198">
        <f>J79-S79</f>
        <v/>
      </c>
      <c r="AC79" s="199">
        <f>K79-T79</f>
        <v/>
      </c>
      <c r="AD79" s="199">
        <f>L79-U79</f>
        <v/>
      </c>
      <c r="AE79" s="200">
        <f>M79-V79</f>
        <v/>
      </c>
      <c r="AF79" s="200">
        <f>N79-W79</f>
        <v/>
      </c>
      <c r="AG79" s="200">
        <f>O79-X79</f>
        <v/>
      </c>
      <c r="AH79" s="199">
        <f>P79-Y79</f>
        <v/>
      </c>
      <c r="AI79" s="201">
        <f>Q79-Z79</f>
        <v/>
      </c>
    </row>
    <row r="80">
      <c r="B80" t="inlineStr">
        <is>
          <t>BASEPRICE</t>
        </is>
      </c>
      <c r="C80" s="191" t="n">
        <v>46064</v>
      </c>
      <c r="D80" s="192" t="inlineStr">
        <is>
          <t>Single Borrower</t>
        </is>
      </c>
      <c r="E80" s="192" t="inlineStr">
        <is>
          <t>ACHM 2025-HE2 E</t>
        </is>
      </c>
      <c r="F80" s="192" t="inlineStr">
        <is>
          <t>00112XAE2</t>
        </is>
      </c>
      <c r="G80" s="193" t="n">
        <v>7.673</v>
      </c>
      <c r="H80" s="193" t="n">
        <v>103.127125</v>
      </c>
      <c r="I80" s="194" t="n">
        <v>7.017973435</v>
      </c>
      <c r="J80" s="195" t="n">
        <v>321.816024348</v>
      </c>
      <c r="K80" s="196" t="n">
        <v>5.872222222</v>
      </c>
      <c r="L80" s="196" t="n">
        <v>4.62753003441141</v>
      </c>
      <c r="M80" s="193" t="n">
        <v>4.62753003441141</v>
      </c>
      <c r="N80" s="193" t="n">
        <v>0</v>
      </c>
      <c r="O80" s="193" t="n">
        <v>0</v>
      </c>
      <c r="P80" s="202" t="n"/>
      <c r="Q80" s="193" t="n">
        <v>0</v>
      </c>
      <c r="R80" s="194" t="n">
        <v>7.017973435</v>
      </c>
      <c r="S80" s="195" t="n">
        <v>321.816024348</v>
      </c>
      <c r="T80" s="196" t="n">
        <v>5.872222222</v>
      </c>
      <c r="U80" s="196" t="n">
        <v>4.62753003441141</v>
      </c>
      <c r="V80" s="193" t="n">
        <v>4.62753003441141</v>
      </c>
      <c r="W80" s="193" t="n">
        <v>0</v>
      </c>
      <c r="X80" s="193" t="n">
        <v>0</v>
      </c>
      <c r="Y80" s="202" t="n"/>
      <c r="Z80" s="193" t="n">
        <v>0</v>
      </c>
      <c r="AA80" s="197">
        <f>I80-R80</f>
        <v/>
      </c>
      <c r="AB80" s="198">
        <f>J80-S80</f>
        <v/>
      </c>
      <c r="AC80" s="199">
        <f>K80-T80</f>
        <v/>
      </c>
      <c r="AD80" s="199">
        <f>L80-U80</f>
        <v/>
      </c>
      <c r="AE80" s="200">
        <f>M80-V80</f>
        <v/>
      </c>
      <c r="AF80" s="200">
        <f>N80-W80</f>
        <v/>
      </c>
      <c r="AG80" s="200">
        <f>O80-X80</f>
        <v/>
      </c>
      <c r="AH80" s="203">
        <f>P80-Y80</f>
        <v/>
      </c>
      <c r="AI80" s="201">
        <f>Q80-Z80</f>
        <v/>
      </c>
    </row>
    <row r="81">
      <c r="B81" t="inlineStr">
        <is>
          <t>BASEPRICE</t>
        </is>
      </c>
      <c r="C81" s="191" t="n">
        <v>46064</v>
      </c>
      <c r="D81" s="192" t="inlineStr">
        <is>
          <t>Single Borrower</t>
        </is>
      </c>
      <c r="E81" s="192" t="inlineStr">
        <is>
          <t>ACHM 2025-HE2 F</t>
        </is>
      </c>
      <c r="F81" s="192" t="inlineStr">
        <is>
          <t>00112XAF9</t>
        </is>
      </c>
      <c r="G81" s="193" t="n">
        <v>8.656000000000001</v>
      </c>
      <c r="H81" s="193" t="n">
        <v>101.18446</v>
      </c>
      <c r="I81" s="194" t="n">
        <v>8.420628363000001</v>
      </c>
      <c r="J81" s="195" t="n">
        <v>462.590505086</v>
      </c>
      <c r="K81" s="196" t="n">
        <v>5.872222222</v>
      </c>
      <c r="L81" s="196" t="n">
        <v>4.47106498171754</v>
      </c>
      <c r="M81" s="193" t="n">
        <v>4.47106498171754</v>
      </c>
      <c r="N81" s="193" t="n">
        <v>0</v>
      </c>
      <c r="O81" s="193" t="n">
        <v>0</v>
      </c>
      <c r="P81" s="202" t="n"/>
      <c r="Q81" s="193" t="n">
        <v>0</v>
      </c>
      <c r="R81" s="194" t="n">
        <v>8.420628363000001</v>
      </c>
      <c r="S81" s="195" t="n">
        <v>462.590505086</v>
      </c>
      <c r="T81" s="196" t="n">
        <v>5.872222222</v>
      </c>
      <c r="U81" s="196" t="n">
        <v>4.47106498171754</v>
      </c>
      <c r="V81" s="193" t="n">
        <v>4.47106498171754</v>
      </c>
      <c r="W81" s="193" t="n">
        <v>0</v>
      </c>
      <c r="X81" s="193" t="n">
        <v>0</v>
      </c>
      <c r="Y81" s="202" t="n"/>
      <c r="Z81" s="193" t="n">
        <v>0</v>
      </c>
      <c r="AA81" s="197">
        <f>I81-R81</f>
        <v/>
      </c>
      <c r="AB81" s="198">
        <f>J81-S81</f>
        <v/>
      </c>
      <c r="AC81" s="199">
        <f>K81-T81</f>
        <v/>
      </c>
      <c r="AD81" s="199">
        <f>L81-U81</f>
        <v/>
      </c>
      <c r="AE81" s="200">
        <f>M81-V81</f>
        <v/>
      </c>
      <c r="AF81" s="200">
        <f>N81-W81</f>
        <v/>
      </c>
      <c r="AG81" s="200">
        <f>O81-X81</f>
        <v/>
      </c>
      <c r="AH81" s="203">
        <f>P81-Y81</f>
        <v/>
      </c>
      <c r="AI81" s="201">
        <f>Q81-Z81</f>
        <v/>
      </c>
    </row>
    <row r="82">
      <c r="B82" t="inlineStr">
        <is>
          <t>BASEPRICE</t>
        </is>
      </c>
      <c r="C82" s="191" t="n">
        <v>46064</v>
      </c>
      <c r="D82" s="192" t="inlineStr">
        <is>
          <t>Single Borrower</t>
        </is>
      </c>
      <c r="E82" s="192" t="inlineStr">
        <is>
          <t>COOPR 2025-CES2 B1</t>
        </is>
      </c>
      <c r="F82" s="192" t="inlineStr">
        <is>
          <t>12674UAG8</t>
        </is>
      </c>
      <c r="G82" s="193" t="n">
        <v>7.323</v>
      </c>
      <c r="H82" s="193" t="n">
        <v>101.495255</v>
      </c>
      <c r="I82" s="194" t="n">
        <v>6.758245853</v>
      </c>
      <c r="J82" s="195" t="n">
        <v>316.334280042</v>
      </c>
      <c r="K82" s="196" t="n">
        <v>3.372222222</v>
      </c>
      <c r="L82" s="196" t="n">
        <v>2.91839704329034</v>
      </c>
      <c r="M82" s="193" t="n">
        <v>2.91839704329034</v>
      </c>
      <c r="N82" s="193" t="n">
        <v>0</v>
      </c>
      <c r="O82" s="193" t="n">
        <v>0</v>
      </c>
      <c r="P82" s="202" t="n"/>
      <c r="Q82" s="193" t="n">
        <v>0</v>
      </c>
      <c r="R82" s="194" t="n">
        <v>6.758245853</v>
      </c>
      <c r="S82" s="195" t="n">
        <v>316.334280042</v>
      </c>
      <c r="T82" s="196" t="n">
        <v>3.372222222</v>
      </c>
      <c r="U82" s="196" t="n">
        <v>2.91839704329034</v>
      </c>
      <c r="V82" s="193" t="n">
        <v>2.91839704329034</v>
      </c>
      <c r="W82" s="193" t="n">
        <v>0</v>
      </c>
      <c r="X82" s="193" t="n">
        <v>0</v>
      </c>
      <c r="Y82" s="202" t="n"/>
      <c r="Z82" s="193" t="n">
        <v>0</v>
      </c>
      <c r="AA82" s="197">
        <f>I82-R82</f>
        <v/>
      </c>
      <c r="AB82" s="198">
        <f>J82-S82</f>
        <v/>
      </c>
      <c r="AC82" s="199">
        <f>K82-T82</f>
        <v/>
      </c>
      <c r="AD82" s="199">
        <f>L82-U82</f>
        <v/>
      </c>
      <c r="AE82" s="200">
        <f>M82-V82</f>
        <v/>
      </c>
      <c r="AF82" s="200">
        <f>N82-W82</f>
        <v/>
      </c>
      <c r="AG82" s="200">
        <f>O82-X82</f>
        <v/>
      </c>
      <c r="AH82" s="203">
        <f>P82-Y82</f>
        <v/>
      </c>
      <c r="AI82" s="201">
        <f>Q82-Z82</f>
        <v/>
      </c>
    </row>
    <row r="83">
      <c r="B83" t="inlineStr">
        <is>
          <t>BASEPRICE</t>
        </is>
      </c>
      <c r="C83" s="191" t="n">
        <v>46064</v>
      </c>
      <c r="D83" s="192" t="inlineStr">
        <is>
          <t>Single Borrower</t>
        </is>
      </c>
      <c r="E83" s="192" t="inlineStr">
        <is>
          <t>COOPR 2025-CES2 B2</t>
        </is>
      </c>
      <c r="F83" s="192" t="inlineStr">
        <is>
          <t>12674UAH6</t>
        </is>
      </c>
      <c r="G83" s="193" t="n">
        <v>8.314</v>
      </c>
      <c r="H83" s="193" t="n">
        <v>100.613125</v>
      </c>
      <c r="I83" s="194" t="n">
        <v>8.0507372</v>
      </c>
      <c r="J83" s="195" t="n">
        <v>445.6857062</v>
      </c>
      <c r="K83" s="196" t="n">
        <v>3.372222222</v>
      </c>
      <c r="L83" s="196" t="n">
        <v>2.85623391679764</v>
      </c>
      <c r="M83" s="193" t="n">
        <v>2.85623391679764</v>
      </c>
      <c r="N83" s="193" t="n">
        <v>0</v>
      </c>
      <c r="O83" s="193" t="n">
        <v>0</v>
      </c>
      <c r="P83" s="202" t="n"/>
      <c r="Q83" s="193" t="n">
        <v>0</v>
      </c>
      <c r="R83" s="194" t="n">
        <v>8.0507372</v>
      </c>
      <c r="S83" s="195" t="n">
        <v>445.6857062</v>
      </c>
      <c r="T83" s="196" t="n">
        <v>3.372222222</v>
      </c>
      <c r="U83" s="196" t="n">
        <v>2.85623391679764</v>
      </c>
      <c r="V83" s="193" t="n">
        <v>2.85623391679764</v>
      </c>
      <c r="W83" s="193" t="n">
        <v>0</v>
      </c>
      <c r="X83" s="193" t="n">
        <v>0</v>
      </c>
      <c r="Y83" s="202" t="n"/>
      <c r="Z83" s="193" t="n">
        <v>0</v>
      </c>
      <c r="AA83" s="197">
        <f>I83-R83</f>
        <v/>
      </c>
      <c r="AB83" s="198">
        <f>J83-S83</f>
        <v/>
      </c>
      <c r="AC83" s="199">
        <f>K83-T83</f>
        <v/>
      </c>
      <c r="AD83" s="199">
        <f>L83-U83</f>
        <v/>
      </c>
      <c r="AE83" s="200">
        <f>M83-V83</f>
        <v/>
      </c>
      <c r="AF83" s="200">
        <f>N83-W83</f>
        <v/>
      </c>
      <c r="AG83" s="200">
        <f>O83-X83</f>
        <v/>
      </c>
      <c r="AH83" s="203">
        <f>P83-Y83</f>
        <v/>
      </c>
      <c r="AI83" s="201">
        <f>Q83-Z83</f>
        <v/>
      </c>
    </row>
    <row r="84">
      <c r="B84" t="inlineStr">
        <is>
          <t>BASEPRICE</t>
        </is>
      </c>
      <c r="C84" s="191" t="n">
        <v>46064</v>
      </c>
      <c r="D84" s="192" t="inlineStr">
        <is>
          <t>Single Borrower</t>
        </is>
      </c>
      <c r="E84" s="192" t="inlineStr">
        <is>
          <t>EFMT 2025-CES4 B1</t>
        </is>
      </c>
      <c r="F84" s="192" t="inlineStr">
        <is>
          <t>267954AE5</t>
        </is>
      </c>
      <c r="G84" s="193" t="n">
        <v>7.051</v>
      </c>
      <c r="H84" s="193" t="n">
        <v>101.6618</v>
      </c>
      <c r="I84" s="194" t="n">
        <v>6.192672382</v>
      </c>
      <c r="J84" s="195" t="n">
        <v>265.553427492</v>
      </c>
      <c r="K84" s="196" t="n">
        <v>2.455555556</v>
      </c>
      <c r="L84" s="196" t="n">
        <v>2.20649718675057</v>
      </c>
      <c r="M84" s="193" t="n">
        <v>2.20649718675057</v>
      </c>
      <c r="N84" s="193" t="n">
        <v>0</v>
      </c>
      <c r="O84" s="193" t="n">
        <v>0</v>
      </c>
      <c r="P84" s="202" t="n"/>
      <c r="Q84" s="193" t="n">
        <v>0</v>
      </c>
      <c r="R84" s="194" t="n">
        <v>6.192672382</v>
      </c>
      <c r="S84" s="195" t="n">
        <v>265.553427492</v>
      </c>
      <c r="T84" s="196" t="n">
        <v>2.455555556</v>
      </c>
      <c r="U84" s="196" t="n">
        <v>2.20649718675057</v>
      </c>
      <c r="V84" s="193" t="n">
        <v>2.20649718675057</v>
      </c>
      <c r="W84" s="193" t="n">
        <v>0</v>
      </c>
      <c r="X84" s="193" t="n">
        <v>0</v>
      </c>
      <c r="Y84" s="202" t="n"/>
      <c r="Z84" s="193" t="n">
        <v>0</v>
      </c>
      <c r="AA84" s="197">
        <f>I84-R84</f>
        <v/>
      </c>
      <c r="AB84" s="198">
        <f>J84-S84</f>
        <v/>
      </c>
      <c r="AC84" s="199">
        <f>K84-T84</f>
        <v/>
      </c>
      <c r="AD84" s="199">
        <f>L84-U84</f>
        <v/>
      </c>
      <c r="AE84" s="200">
        <f>M84-V84</f>
        <v/>
      </c>
      <c r="AF84" s="200">
        <f>N84-W84</f>
        <v/>
      </c>
      <c r="AG84" s="200">
        <f>O84-X84</f>
        <v/>
      </c>
      <c r="AH84" s="203">
        <f>P84-Y84</f>
        <v/>
      </c>
      <c r="AI84" s="201">
        <f>Q84-Z84</f>
        <v/>
      </c>
    </row>
    <row r="85">
      <c r="B85" t="inlineStr">
        <is>
          <t>BASEPRICE</t>
        </is>
      </c>
      <c r="C85" s="191" t="n">
        <v>46064</v>
      </c>
      <c r="D85" s="192" t="inlineStr">
        <is>
          <t>Single Borrower</t>
        </is>
      </c>
      <c r="E85" s="192" t="inlineStr">
        <is>
          <t>EFMT 2025-CES4 B2</t>
        </is>
      </c>
      <c r="F85" s="192" t="inlineStr">
        <is>
          <t>267954AF2</t>
        </is>
      </c>
      <c r="G85" s="193" t="n">
        <v>8.141</v>
      </c>
      <c r="H85" s="193" t="n">
        <v>101.528915</v>
      </c>
      <c r="I85" s="194" t="n">
        <v>7.327884001</v>
      </c>
      <c r="J85" s="195" t="n">
        <v>379.106855282</v>
      </c>
      <c r="K85" s="196" t="n">
        <v>2.455555556</v>
      </c>
      <c r="L85" s="196" t="n">
        <v>2.16911171068852</v>
      </c>
      <c r="M85" s="193" t="n">
        <v>2.16911171068852</v>
      </c>
      <c r="N85" s="193" t="n">
        <v>0</v>
      </c>
      <c r="O85" s="193" t="n">
        <v>0</v>
      </c>
      <c r="P85" s="202" t="n"/>
      <c r="Q85" s="193" t="n">
        <v>0</v>
      </c>
      <c r="R85" s="194" t="n">
        <v>7.327884001</v>
      </c>
      <c r="S85" s="195" t="n">
        <v>379.106855282</v>
      </c>
      <c r="T85" s="196" t="n">
        <v>2.455555556</v>
      </c>
      <c r="U85" s="196" t="n">
        <v>2.16911171068852</v>
      </c>
      <c r="V85" s="193" t="n">
        <v>2.16911171068852</v>
      </c>
      <c r="W85" s="193" t="n">
        <v>0</v>
      </c>
      <c r="X85" s="193" t="n">
        <v>0</v>
      </c>
      <c r="Y85" s="202" t="n"/>
      <c r="Z85" s="193" t="n">
        <v>0</v>
      </c>
      <c r="AA85" s="197">
        <f>I85-R85</f>
        <v/>
      </c>
      <c r="AB85" s="198">
        <f>J85-S85</f>
        <v/>
      </c>
      <c r="AC85" s="199">
        <f>K85-T85</f>
        <v/>
      </c>
      <c r="AD85" s="199">
        <f>L85-U85</f>
        <v/>
      </c>
      <c r="AE85" s="200">
        <f>M85-V85</f>
        <v/>
      </c>
      <c r="AF85" s="200">
        <f>N85-W85</f>
        <v/>
      </c>
      <c r="AG85" s="200">
        <f>O85-X85</f>
        <v/>
      </c>
      <c r="AH85" s="203">
        <f>P85-Y85</f>
        <v/>
      </c>
      <c r="AI85" s="201">
        <f>Q85-Z85</f>
        <v/>
      </c>
    </row>
    <row r="86">
      <c r="B86" t="inlineStr">
        <is>
          <t>BASEPRICE</t>
        </is>
      </c>
      <c r="C86" s="191" t="n">
        <v>46064</v>
      </c>
      <c r="D86" s="192" t="inlineStr">
        <is>
          <t>Single Borrower</t>
        </is>
      </c>
      <c r="E86" s="192" t="inlineStr">
        <is>
          <t>FIGRE 2023-HE1 CE</t>
        </is>
      </c>
      <c r="F86" s="192" t="inlineStr">
        <is>
          <t>302455AD2</t>
        </is>
      </c>
      <c r="G86" s="193" t="n">
        <v>5.274216</v>
      </c>
      <c r="H86" s="193" t="n">
        <v>191.89516</v>
      </c>
      <c r="I86" s="194" t="n">
        <v>8.91932465</v>
      </c>
      <c r="J86" s="195" t="n">
        <v>503.700322163</v>
      </c>
      <c r="K86" s="196" t="n">
        <v>5.890689689</v>
      </c>
      <c r="L86" s="196" t="n">
        <v>-4.14803681708282</v>
      </c>
      <c r="M86" s="193" t="n">
        <v>2.61999382735865</v>
      </c>
      <c r="N86" s="193" t="n">
        <v>3.141001221</v>
      </c>
      <c r="O86" s="193" t="n">
        <v>2.629229737</v>
      </c>
      <c r="P86" s="196" t="n">
        <v>83.7067403674212</v>
      </c>
      <c r="Q86" s="193" t="n">
        <v>66.92432688300001</v>
      </c>
      <c r="R86" s="194" t="n">
        <v>8.883477473999999</v>
      </c>
      <c r="S86" s="195" t="n">
        <v>500.422813351</v>
      </c>
      <c r="T86" s="196" t="n">
        <v>5.903700802</v>
      </c>
      <c r="U86" s="196" t="n">
        <v>-4.66877015293142</v>
      </c>
      <c r="V86" s="193" t="n">
        <v>2.67672581788932</v>
      </c>
      <c r="W86" s="193" t="n">
        <v>2.965308664</v>
      </c>
      <c r="X86" s="193" t="n">
        <v>2.483791342</v>
      </c>
      <c r="Y86" s="196" t="n">
        <v>83.7616458668938</v>
      </c>
      <c r="Z86" s="193" t="n">
        <v>64.370422307</v>
      </c>
      <c r="AA86" s="197">
        <f>I86-R86</f>
        <v/>
      </c>
      <c r="AB86" s="198">
        <f>J86-S86</f>
        <v/>
      </c>
      <c r="AC86" s="199">
        <f>K86-T86</f>
        <v/>
      </c>
      <c r="AD86" s="199">
        <f>L86-U86</f>
        <v/>
      </c>
      <c r="AE86" s="200">
        <f>M86-V86</f>
        <v/>
      </c>
      <c r="AF86" s="200">
        <f>N86-W86</f>
        <v/>
      </c>
      <c r="AG86" s="200">
        <f>O86-X86</f>
        <v/>
      </c>
      <c r="AH86" s="199">
        <f>P86-Y86</f>
        <v/>
      </c>
      <c r="AI86" s="201">
        <f>Q86-Z86</f>
        <v/>
      </c>
    </row>
    <row r="87">
      <c r="B87" t="inlineStr">
        <is>
          <t>BASEPRICE</t>
        </is>
      </c>
      <c r="C87" s="191" t="n">
        <v>46064</v>
      </c>
      <c r="D87" s="192" t="inlineStr">
        <is>
          <t>Single Borrower</t>
        </is>
      </c>
      <c r="E87" s="192" t="inlineStr">
        <is>
          <t>FIGRE 2023-HE1A2 CE</t>
        </is>
      </c>
      <c r="F87" s="192" t="inlineStr">
        <is>
          <t>31684EAD9</t>
        </is>
      </c>
      <c r="G87" s="193" t="n">
        <v>3.745302</v>
      </c>
      <c r="H87" s="193" t="n">
        <v>160.3375</v>
      </c>
      <c r="I87" s="194" t="n">
        <v>7.208287438</v>
      </c>
      <c r="J87" s="195" t="n">
        <v>308.760836661</v>
      </c>
      <c r="K87" s="196" t="n">
        <v>8.741163773</v>
      </c>
      <c r="L87" s="196" t="n">
        <v>-1.5348904772745</v>
      </c>
      <c r="M87" s="193" t="n">
        <v>4.02173093256413</v>
      </c>
      <c r="N87" s="193" t="n">
        <v>4.048653546</v>
      </c>
      <c r="O87" s="193" t="n">
        <v>3.395398091</v>
      </c>
      <c r="P87" s="196" t="n">
        <v>83.8648714300238</v>
      </c>
      <c r="Q87" s="193" t="n">
        <v>48.036678265</v>
      </c>
      <c r="R87" s="194" t="n">
        <v>7.488870418</v>
      </c>
      <c r="S87" s="195" t="n">
        <v>338.171495547</v>
      </c>
      <c r="T87" s="196" t="n">
        <v>8.782620645</v>
      </c>
      <c r="U87" s="196" t="n">
        <v>-2.29761512808919</v>
      </c>
      <c r="V87" s="193" t="n">
        <v>4.02697109908786</v>
      </c>
      <c r="W87" s="193" t="n">
        <v>3.650351391</v>
      </c>
      <c r="X87" s="193" t="n">
        <v>3.058569591</v>
      </c>
      <c r="Y87" s="196" t="n">
        <v>83.7883607189421</v>
      </c>
      <c r="Z87" s="193" t="n">
        <v>40.887952942</v>
      </c>
      <c r="AA87" s="197">
        <f>I87-R87</f>
        <v/>
      </c>
      <c r="AB87" s="198">
        <f>J87-S87</f>
        <v/>
      </c>
      <c r="AC87" s="199">
        <f>K87-T87</f>
        <v/>
      </c>
      <c r="AD87" s="199">
        <f>L87-U87</f>
        <v/>
      </c>
      <c r="AE87" s="200">
        <f>M87-V87</f>
        <v/>
      </c>
      <c r="AF87" s="200">
        <f>N87-W87</f>
        <v/>
      </c>
      <c r="AG87" s="200">
        <f>O87-X87</f>
        <v/>
      </c>
      <c r="AH87" s="199">
        <f>P87-Y87</f>
        <v/>
      </c>
      <c r="AI87" s="201">
        <f>Q87-Z87</f>
        <v/>
      </c>
    </row>
    <row r="88">
      <c r="B88" t="inlineStr">
        <is>
          <t>BASEPRICE</t>
        </is>
      </c>
      <c r="C88" s="191" t="n">
        <v>46064</v>
      </c>
      <c r="D88" s="192" t="inlineStr">
        <is>
          <t>Single Borrower</t>
        </is>
      </c>
      <c r="E88" s="192" t="inlineStr">
        <is>
          <t>FIGRE 2023-HE3 CE</t>
        </is>
      </c>
      <c r="F88" s="192" t="inlineStr">
        <is>
          <t>31684CAE1</t>
        </is>
      </c>
      <c r="G88" s="193" t="n">
        <v>5.389149</v>
      </c>
      <c r="H88" s="193" t="n">
        <v>160.80535</v>
      </c>
      <c r="I88" s="194" t="n">
        <v>9.240821068000001</v>
      </c>
      <c r="J88" s="195" t="n">
        <v>534.452817248</v>
      </c>
      <c r="K88" s="196" t="n">
        <v>7.653190857</v>
      </c>
      <c r="L88" s="196" t="n">
        <v>-3.63079114221012</v>
      </c>
      <c r="M88" s="193" t="n">
        <v>4.22994660998531</v>
      </c>
      <c r="N88" s="193" t="n">
        <v>3.842019029</v>
      </c>
      <c r="O88" s="193" t="n">
        <v>3.220658365</v>
      </c>
      <c r="P88" s="196" t="n">
        <v>83.82723616645571</v>
      </c>
      <c r="Q88" s="193" t="n">
        <v>50.244298503</v>
      </c>
      <c r="R88" s="194" t="n">
        <v>10.575098837</v>
      </c>
      <c r="S88" s="195" t="n">
        <v>662.496045923</v>
      </c>
      <c r="T88" s="196" t="n">
        <v>6.472802556</v>
      </c>
      <c r="U88" s="196" t="n">
        <v>-5.03421295808876</v>
      </c>
      <c r="V88" s="193" t="n">
        <v>3.06708767898581</v>
      </c>
      <c r="W88" s="193" t="n">
        <v>3.635130118</v>
      </c>
      <c r="X88" s="193" t="n">
        <v>3.049049582</v>
      </c>
      <c r="Y88" s="196" t="n">
        <v>83.8773161626893</v>
      </c>
      <c r="Z88" s="193" t="n">
        <v>42.553867398</v>
      </c>
      <c r="AA88" s="197">
        <f>I88-R88</f>
        <v/>
      </c>
      <c r="AB88" s="198">
        <f>J88-S88</f>
        <v/>
      </c>
      <c r="AC88" s="199">
        <f>K88-T88</f>
        <v/>
      </c>
      <c r="AD88" s="199">
        <f>L88-U88</f>
        <v/>
      </c>
      <c r="AE88" s="200">
        <f>M88-V88</f>
        <v/>
      </c>
      <c r="AF88" s="200">
        <f>N88-W88</f>
        <v/>
      </c>
      <c r="AG88" s="200">
        <f>O88-X88</f>
        <v/>
      </c>
      <c r="AH88" s="199">
        <f>P88-Y88</f>
        <v/>
      </c>
      <c r="AI88" s="201">
        <f>Q88-Z88</f>
        <v/>
      </c>
    </row>
    <row r="89">
      <c r="B89" t="inlineStr">
        <is>
          <t>BASEPRICE</t>
        </is>
      </c>
      <c r="C89" s="191" t="n">
        <v>46064</v>
      </c>
      <c r="D89" s="192" t="inlineStr">
        <is>
          <t>Single Borrower</t>
        </is>
      </c>
      <c r="E89" s="192" t="inlineStr">
        <is>
          <t>FIGRE 2024-HE1 CE</t>
        </is>
      </c>
      <c r="F89" s="192" t="inlineStr">
        <is>
          <t>31684HAG5</t>
        </is>
      </c>
      <c r="G89" s="193" t="n">
        <v>5.382912</v>
      </c>
      <c r="H89" s="193" t="n">
        <v>319.14</v>
      </c>
      <c r="I89" s="194" t="n">
        <v>7.235936661</v>
      </c>
      <c r="J89" s="195" t="n">
        <v>323.305350847</v>
      </c>
      <c r="K89" s="196" t="n">
        <v>9.646422284</v>
      </c>
      <c r="L89" s="196" t="n">
        <v>-10.777122703829</v>
      </c>
      <c r="M89" s="193" t="n">
        <v>3.07555463056967</v>
      </c>
      <c r="N89" s="193" t="n">
        <v>3.418360224</v>
      </c>
      <c r="O89" s="193" t="n">
        <v>2.873327727</v>
      </c>
      <c r="P89" s="196" t="n">
        <v>84.0557325359283</v>
      </c>
      <c r="Q89" s="193" t="n">
        <v>72.18822319900001</v>
      </c>
      <c r="R89" s="194" t="n">
        <v>7.520827961</v>
      </c>
      <c r="S89" s="195" t="n">
        <v>353.189138828</v>
      </c>
      <c r="T89" s="196" t="n">
        <v>9.705006024999999</v>
      </c>
      <c r="U89" s="196" t="n">
        <v>-11.491273618788</v>
      </c>
      <c r="V89" s="193" t="n">
        <v>3.11606680641725</v>
      </c>
      <c r="W89" s="193" t="n">
        <v>3.083629516</v>
      </c>
      <c r="X89" s="193" t="n">
        <v>2.59000433</v>
      </c>
      <c r="Y89" s="196" t="n">
        <v>83.9920722175368</v>
      </c>
      <c r="Z89" s="193" t="n">
        <v>69.967446098</v>
      </c>
      <c r="AA89" s="197">
        <f>I89-R89</f>
        <v/>
      </c>
      <c r="AB89" s="198">
        <f>J89-S89</f>
        <v/>
      </c>
      <c r="AC89" s="199">
        <f>K89-T89</f>
        <v/>
      </c>
      <c r="AD89" s="199">
        <f>L89-U89</f>
        <v/>
      </c>
      <c r="AE89" s="200">
        <f>M89-V89</f>
        <v/>
      </c>
      <c r="AF89" s="200">
        <f>N89-W89</f>
        <v/>
      </c>
      <c r="AG89" s="200">
        <f>O89-X89</f>
        <v/>
      </c>
      <c r="AH89" s="199">
        <f>P89-Y89</f>
        <v/>
      </c>
      <c r="AI89" s="201">
        <f>Q89-Z89</f>
        <v/>
      </c>
    </row>
    <row r="90">
      <c r="B90" t="inlineStr">
        <is>
          <t>BASEPRICE</t>
        </is>
      </c>
      <c r="C90" s="191" t="n">
        <v>46064</v>
      </c>
      <c r="D90" s="192" t="inlineStr">
        <is>
          <t>Single Borrower</t>
        </is>
      </c>
      <c r="E90" s="192" t="inlineStr">
        <is>
          <t>FIGRE 2024-HE3 CE</t>
        </is>
      </c>
      <c r="F90" s="192" t="inlineStr">
        <is>
          <t>31684GAG7</t>
        </is>
      </c>
      <c r="G90" s="193" t="n">
        <v>4.967626</v>
      </c>
      <c r="H90" s="193" t="n">
        <v>337.0725</v>
      </c>
      <c r="I90" s="194" t="n">
        <v>8.055474934999999</v>
      </c>
      <c r="J90" s="195" t="n">
        <v>396.476166862</v>
      </c>
      <c r="K90" s="196" t="n">
        <v>11.620045644</v>
      </c>
      <c r="L90" s="196" t="n">
        <v>-10.2367259180147</v>
      </c>
      <c r="M90" s="193" t="n">
        <v>3.32745734641657</v>
      </c>
      <c r="N90" s="193" t="n">
        <v>3.297042128</v>
      </c>
      <c r="O90" s="193" t="n">
        <v>2.761663258</v>
      </c>
      <c r="P90" s="196" t="n">
        <v>83.7618432153682</v>
      </c>
      <c r="Q90" s="193" t="n">
        <v>133.586376352</v>
      </c>
      <c r="R90" s="194" t="n">
        <v>8.408140175</v>
      </c>
      <c r="S90" s="195" t="n">
        <v>433.809612218</v>
      </c>
      <c r="T90" s="196" t="n">
        <v>11.681514246</v>
      </c>
      <c r="U90" s="196" t="n">
        <v>-11.056515326228</v>
      </c>
      <c r="V90" s="193" t="n">
        <v>3.32817807385653</v>
      </c>
      <c r="W90" s="193" t="n">
        <v>2.968959761</v>
      </c>
      <c r="X90" s="193" t="n">
        <v>2.488062557</v>
      </c>
      <c r="Y90" s="196" t="n">
        <v>83.8025017948366</v>
      </c>
      <c r="Z90" s="193" t="n">
        <v>144.414752284</v>
      </c>
      <c r="AA90" s="197">
        <f>I90-R90</f>
        <v/>
      </c>
      <c r="AB90" s="198">
        <f>J90-S90</f>
        <v/>
      </c>
      <c r="AC90" s="199">
        <f>K90-T90</f>
        <v/>
      </c>
      <c r="AD90" s="199">
        <f>L90-U90</f>
        <v/>
      </c>
      <c r="AE90" s="200">
        <f>M90-V90</f>
        <v/>
      </c>
      <c r="AF90" s="200">
        <f>N90-W90</f>
        <v/>
      </c>
      <c r="AG90" s="200">
        <f>O90-X90</f>
        <v/>
      </c>
      <c r="AH90" s="199">
        <f>P90-Y90</f>
        <v/>
      </c>
      <c r="AI90" s="201">
        <f>Q90-Z90</f>
        <v/>
      </c>
    </row>
    <row r="91">
      <c r="B91" t="inlineStr">
        <is>
          <t>BASEPRICE</t>
        </is>
      </c>
      <c r="C91" s="191" t="n">
        <v>46064</v>
      </c>
      <c r="D91" s="192" t="inlineStr">
        <is>
          <t>Single Borrower</t>
        </is>
      </c>
      <c r="E91" s="192" t="inlineStr">
        <is>
          <t>FIGRE 2024-HE6 G</t>
        </is>
      </c>
      <c r="F91" s="192" t="inlineStr">
        <is>
          <t>31684DAG4</t>
        </is>
      </c>
      <c r="G91" s="193" t="n">
        <v>0</v>
      </c>
      <c r="H91" s="193" t="n">
        <v>13.890425</v>
      </c>
      <c r="I91" s="194" t="n">
        <v>10.05090044</v>
      </c>
      <c r="J91" s="195" t="n">
        <v>536.150156812</v>
      </c>
      <c r="K91" s="196" t="n">
        <v>19.990109847</v>
      </c>
      <c r="L91" s="196" t="n">
        <v>57.1585871130653</v>
      </c>
      <c r="M91" s="193" t="n">
        <v>18.1685221438509</v>
      </c>
      <c r="N91" s="193" t="n">
        <v>3.452646885</v>
      </c>
      <c r="O91" s="193" t="n">
        <v>2.89812656</v>
      </c>
      <c r="P91" s="196" t="n">
        <v>83.9392691036807</v>
      </c>
      <c r="Q91" s="193" t="n">
        <v>8.040939589000001</v>
      </c>
      <c r="R91" s="194" t="n">
        <v>10.009308476</v>
      </c>
      <c r="S91" s="195" t="n">
        <v>531.632848427</v>
      </c>
      <c r="T91" s="196" t="n">
        <v>20.081681334</v>
      </c>
      <c r="U91" s="196" t="n">
        <v>56.6313658149409</v>
      </c>
      <c r="V91" s="193" t="n">
        <v>18.265297260523</v>
      </c>
      <c r="W91" s="193" t="n">
        <v>3.075459849</v>
      </c>
      <c r="X91" s="193" t="n">
        <v>2.580386717</v>
      </c>
      <c r="Y91" s="196" t="n">
        <v>83.90246804356831</v>
      </c>
      <c r="Z91" s="193" t="n">
        <v>7.84472516</v>
      </c>
      <c r="AA91" s="197">
        <f>I91-R91</f>
        <v/>
      </c>
      <c r="AB91" s="198">
        <f>J91-S91</f>
        <v/>
      </c>
      <c r="AC91" s="199">
        <f>K91-T91</f>
        <v/>
      </c>
      <c r="AD91" s="199">
        <f>L91-U91</f>
        <v/>
      </c>
      <c r="AE91" s="200">
        <f>M91-V91</f>
        <v/>
      </c>
      <c r="AF91" s="200">
        <f>N91-W91</f>
        <v/>
      </c>
      <c r="AG91" s="200">
        <f>O91-X91</f>
        <v/>
      </c>
      <c r="AH91" s="199">
        <f>P91-Y91</f>
        <v/>
      </c>
      <c r="AI91" s="201">
        <f>Q91-Z91</f>
        <v/>
      </c>
    </row>
    <row r="92">
      <c r="B92" t="inlineStr">
        <is>
          <t>BASEPRICE</t>
        </is>
      </c>
      <c r="C92" s="191" t="n">
        <v>46064</v>
      </c>
      <c r="D92" s="192" t="inlineStr">
        <is>
          <t>Single Borrower</t>
        </is>
      </c>
      <c r="E92" s="192" t="inlineStr">
        <is>
          <t>FIGRE 2024-HE6 XS</t>
        </is>
      </c>
      <c r="F92" s="192" t="inlineStr">
        <is>
          <t>31684DAH2</t>
        </is>
      </c>
      <c r="G92" s="193" t="n">
        <v>4.506243</v>
      </c>
      <c r="H92" s="193" t="n">
        <v>9.859999999999999</v>
      </c>
      <c r="I92" s="194" t="n">
        <v>7.303829062</v>
      </c>
      <c r="J92" s="195" t="n">
        <v>341.683599237</v>
      </c>
      <c r="K92" s="196" t="n">
        <v>3.951271414</v>
      </c>
      <c r="L92" s="196" t="n">
        <v>-16.5867417647059</v>
      </c>
      <c r="M92" s="193" t="n">
        <v>2.9489578296146</v>
      </c>
      <c r="N92" s="193" t="n">
        <v>3.452646885</v>
      </c>
      <c r="O92" s="193" t="n">
        <v>2.89812656</v>
      </c>
      <c r="P92" s="196" t="n">
        <v>83.9392691036807</v>
      </c>
      <c r="Q92" s="193" t="n">
        <v>0</v>
      </c>
      <c r="R92" s="194" t="n">
        <v>7.925314598</v>
      </c>
      <c r="S92" s="195" t="n">
        <v>405.368307187</v>
      </c>
      <c r="T92" s="196" t="n">
        <v>3.959782197</v>
      </c>
      <c r="U92" s="196" t="n">
        <v>-17.3707538843813</v>
      </c>
      <c r="V92" s="193" t="n">
        <v>2.99162649087222</v>
      </c>
      <c r="W92" s="193" t="n">
        <v>3.075459849</v>
      </c>
      <c r="X92" s="193" t="n">
        <v>2.580386717</v>
      </c>
      <c r="Y92" s="196" t="n">
        <v>83.90246804356831</v>
      </c>
      <c r="Z92" s="193" t="n">
        <v>0</v>
      </c>
      <c r="AA92" s="197">
        <f>I92-R92</f>
        <v/>
      </c>
      <c r="AB92" s="198">
        <f>J92-S92</f>
        <v/>
      </c>
      <c r="AC92" s="199">
        <f>K92-T92</f>
        <v/>
      </c>
      <c r="AD92" s="199">
        <f>L92-U92</f>
        <v/>
      </c>
      <c r="AE92" s="200">
        <f>M92-V92</f>
        <v/>
      </c>
      <c r="AF92" s="200">
        <f>N92-W92</f>
        <v/>
      </c>
      <c r="AG92" s="200">
        <f>O92-X92</f>
        <v/>
      </c>
      <c r="AH92" s="199">
        <f>P92-Y92</f>
        <v/>
      </c>
      <c r="AI92" s="201">
        <f>Q92-Z92</f>
        <v/>
      </c>
    </row>
    <row r="93">
      <c r="B93" t="inlineStr">
        <is>
          <t>BASEPRICE</t>
        </is>
      </c>
      <c r="C93" s="191" t="n">
        <v>46064</v>
      </c>
      <c r="D93" s="192" t="inlineStr">
        <is>
          <t>Single Borrower</t>
        </is>
      </c>
      <c r="E93" s="192" t="inlineStr">
        <is>
          <t>FIGRE 2024-SL1 B2</t>
        </is>
      </c>
      <c r="F93" s="192" t="inlineStr">
        <is>
          <t>31684JAF3</t>
        </is>
      </c>
      <c r="G93" s="193" t="n">
        <v>8.51057</v>
      </c>
      <c r="H93" s="193" t="n">
        <v>102.4511</v>
      </c>
      <c r="I93" s="194" t="n">
        <v>7.574002749</v>
      </c>
      <c r="J93" s="195" t="n">
        <v>384.971411006</v>
      </c>
      <c r="K93" s="196" t="n">
        <v>5.038888889</v>
      </c>
      <c r="L93" s="196" t="n">
        <v>3.76080291182818</v>
      </c>
      <c r="M93" s="193" t="n">
        <v>4.02980704843579</v>
      </c>
      <c r="N93" s="193" t="n">
        <v>3.093455939</v>
      </c>
      <c r="O93" s="193" t="n">
        <v>2.589617844</v>
      </c>
      <c r="P93" s="196" t="n">
        <v>83.7127761010596</v>
      </c>
      <c r="Q93" s="193" t="n">
        <v>0</v>
      </c>
      <c r="R93" s="194" t="n">
        <v>7.57400924</v>
      </c>
      <c r="S93" s="195" t="n">
        <v>384.97201276</v>
      </c>
      <c r="T93" s="196" t="n">
        <v>5.038888889</v>
      </c>
      <c r="U93" s="196" t="n">
        <v>3.8185075533596</v>
      </c>
      <c r="V93" s="193" t="n">
        <v>4.02982387695203</v>
      </c>
      <c r="W93" s="193" t="n">
        <v>2.618222899</v>
      </c>
      <c r="X93" s="193" t="n">
        <v>2.19204666</v>
      </c>
      <c r="Y93" s="196" t="n">
        <v>83.72269071656299</v>
      </c>
      <c r="Z93" s="193" t="n">
        <v>0</v>
      </c>
      <c r="AA93" s="197">
        <f>I93-R93</f>
        <v/>
      </c>
      <c r="AB93" s="198">
        <f>J93-S93</f>
        <v/>
      </c>
      <c r="AC93" s="199">
        <f>K93-T93</f>
        <v/>
      </c>
      <c r="AD93" s="199">
        <f>L93-U93</f>
        <v/>
      </c>
      <c r="AE93" s="200">
        <f>M93-V93</f>
        <v/>
      </c>
      <c r="AF93" s="200">
        <f>N93-W93</f>
        <v/>
      </c>
      <c r="AG93" s="200">
        <f>O93-X93</f>
        <v/>
      </c>
      <c r="AH93" s="199">
        <f>P93-Y93</f>
        <v/>
      </c>
      <c r="AI93" s="201">
        <f>Q93-Z93</f>
        <v/>
      </c>
    </row>
    <row r="94">
      <c r="B94" t="inlineStr">
        <is>
          <t>BASEPRICE</t>
        </is>
      </c>
      <c r="C94" s="191" t="n">
        <v>46064</v>
      </c>
      <c r="D94" s="192" t="inlineStr">
        <is>
          <t>Single Borrower</t>
        </is>
      </c>
      <c r="E94" s="192" t="inlineStr">
        <is>
          <t>FIGRE 2024-SL1 B3</t>
        </is>
      </c>
      <c r="F94" s="192" t="inlineStr">
        <is>
          <t>31684JAG1</t>
        </is>
      </c>
      <c r="G94" s="193" t="n">
        <v>8.51057</v>
      </c>
      <c r="H94" s="193" t="n">
        <v>87.2925</v>
      </c>
      <c r="I94" s="194" t="n">
        <v>11.625999956</v>
      </c>
      <c r="J94" s="195" t="n">
        <v>790.3968943260001</v>
      </c>
      <c r="K94" s="196" t="n">
        <v>5.038888889</v>
      </c>
      <c r="L94" s="196" t="n">
        <v>6.75684317667611</v>
      </c>
      <c r="M94" s="193" t="n">
        <v>3.8701820282384</v>
      </c>
      <c r="N94" s="193" t="n">
        <v>3.093455939</v>
      </c>
      <c r="O94" s="193" t="n">
        <v>2.589617844</v>
      </c>
      <c r="P94" s="196" t="n">
        <v>83.7127761010596</v>
      </c>
      <c r="Q94" s="193" t="n">
        <v>0</v>
      </c>
      <c r="R94" s="194" t="n">
        <v>11.625988373</v>
      </c>
      <c r="S94" s="195" t="n">
        <v>790.395680259</v>
      </c>
      <c r="T94" s="196" t="n">
        <v>5.038888889</v>
      </c>
      <c r="U94" s="196" t="n">
        <v>6.58369487298451</v>
      </c>
      <c r="V94" s="193" t="n">
        <v>3.87020056476789</v>
      </c>
      <c r="W94" s="193" t="n">
        <v>2.618222899</v>
      </c>
      <c r="X94" s="193" t="n">
        <v>2.19204666</v>
      </c>
      <c r="Y94" s="196" t="n">
        <v>83.72269071656299</v>
      </c>
      <c r="Z94" s="193" t="n">
        <v>0</v>
      </c>
      <c r="AA94" s="197">
        <f>I94-R94</f>
        <v/>
      </c>
      <c r="AB94" s="198">
        <f>J94-S94</f>
        <v/>
      </c>
      <c r="AC94" s="199">
        <f>K94-T94</f>
        <v/>
      </c>
      <c r="AD94" s="199">
        <f>L94-U94</f>
        <v/>
      </c>
      <c r="AE94" s="200">
        <f>M94-V94</f>
        <v/>
      </c>
      <c r="AF94" s="200">
        <f>N94-W94</f>
        <v/>
      </c>
      <c r="AG94" s="200">
        <f>O94-X94</f>
        <v/>
      </c>
      <c r="AH94" s="199">
        <f>P94-Y94</f>
        <v/>
      </c>
      <c r="AI94" s="201">
        <f>Q94-Z94</f>
        <v/>
      </c>
    </row>
    <row r="95">
      <c r="B95" t="inlineStr">
        <is>
          <t>BASEPRICE</t>
        </is>
      </c>
      <c r="C95" s="191" t="n">
        <v>46064</v>
      </c>
      <c r="D95" s="192" t="inlineStr">
        <is>
          <t>Single Borrower</t>
        </is>
      </c>
      <c r="E95" s="192" t="inlineStr">
        <is>
          <t>FIGRE 2024-SL1 XS</t>
        </is>
      </c>
      <c r="F95" s="192" t="inlineStr">
        <is>
          <t>31684JAH9</t>
        </is>
      </c>
      <c r="G95" s="193" t="n">
        <v>2.08048</v>
      </c>
      <c r="H95" s="193" t="n">
        <v>4.78</v>
      </c>
      <c r="I95" s="194" t="n">
        <v>8.07434471</v>
      </c>
      <c r="J95" s="195" t="n">
        <v>441.270503177</v>
      </c>
      <c r="K95" s="196" t="n">
        <v>3.065156518</v>
      </c>
      <c r="L95" s="196" t="n">
        <v>-13.8541319874477</v>
      </c>
      <c r="M95" s="193" t="n">
        <v>2.35264274058577</v>
      </c>
      <c r="N95" s="193" t="n">
        <v>3.093455939</v>
      </c>
      <c r="O95" s="193" t="n">
        <v>2.589617844</v>
      </c>
      <c r="P95" s="196" t="n">
        <v>83.7127761010596</v>
      </c>
      <c r="Q95" s="193" t="n">
        <v>0</v>
      </c>
      <c r="R95" s="194" t="n">
        <v>7.980473326</v>
      </c>
      <c r="S95" s="195" t="n">
        <v>432.875443519</v>
      </c>
      <c r="T95" s="196" t="n">
        <v>3.061600163</v>
      </c>
      <c r="U95" s="196" t="n">
        <v>-16.5885205439331</v>
      </c>
      <c r="V95" s="193" t="n">
        <v>2.39516928870292</v>
      </c>
      <c r="W95" s="193" t="n">
        <v>2.618222899</v>
      </c>
      <c r="X95" s="193" t="n">
        <v>2.19204666</v>
      </c>
      <c r="Y95" s="196" t="n">
        <v>83.72269071656299</v>
      </c>
      <c r="Z95" s="193" t="n">
        <v>0</v>
      </c>
      <c r="AA95" s="197">
        <f>I95-R95</f>
        <v/>
      </c>
      <c r="AB95" s="198">
        <f>J95-S95</f>
        <v/>
      </c>
      <c r="AC95" s="199">
        <f>K95-T95</f>
        <v/>
      </c>
      <c r="AD95" s="199">
        <f>L95-U95</f>
        <v/>
      </c>
      <c r="AE95" s="200">
        <f>M95-V95</f>
        <v/>
      </c>
      <c r="AF95" s="200">
        <f>N95-W95</f>
        <v/>
      </c>
      <c r="AG95" s="200">
        <f>O95-X95</f>
        <v/>
      </c>
      <c r="AH95" s="199">
        <f>P95-Y95</f>
        <v/>
      </c>
      <c r="AI95" s="201">
        <f>Q95-Z95</f>
        <v/>
      </c>
    </row>
    <row r="96">
      <c r="B96" t="inlineStr">
        <is>
          <t>BASEPRICE</t>
        </is>
      </c>
      <c r="C96" s="191" t="n">
        <v>46064</v>
      </c>
      <c r="D96" s="192" t="inlineStr">
        <is>
          <t>Single Borrower</t>
        </is>
      </c>
      <c r="E96" s="192" t="inlineStr">
        <is>
          <t>FIGRE 2025-FL1 M1</t>
        </is>
      </c>
      <c r="F96" s="192" t="inlineStr">
        <is>
          <t>31684QAD2</t>
        </is>
      </c>
      <c r="G96" s="193" t="n">
        <v>6.087</v>
      </c>
      <c r="H96" s="193" t="n">
        <v>101.02653</v>
      </c>
      <c r="I96" s="194" t="n">
        <v>5.525268408</v>
      </c>
      <c r="J96" s="195" t="n">
        <v>198.784520701</v>
      </c>
      <c r="K96" s="196" t="n">
        <v>2.455555556</v>
      </c>
      <c r="L96" s="196" t="n">
        <v>2.235894489299</v>
      </c>
      <c r="M96" s="193" t="n">
        <v>2.235894489299</v>
      </c>
      <c r="N96" s="193" t="n">
        <v>0</v>
      </c>
      <c r="O96" s="193" t="n">
        <v>0</v>
      </c>
      <c r="P96" s="202" t="n"/>
      <c r="Q96" s="193" t="n">
        <v>0</v>
      </c>
      <c r="R96" s="194" t="n">
        <v>5.525268408</v>
      </c>
      <c r="S96" s="195" t="n">
        <v>198.784520701</v>
      </c>
      <c r="T96" s="196" t="n">
        <v>2.455555556</v>
      </c>
      <c r="U96" s="196" t="n">
        <v>2.235894489299</v>
      </c>
      <c r="V96" s="193" t="n">
        <v>2.235894489299</v>
      </c>
      <c r="W96" s="193" t="n">
        <v>0</v>
      </c>
      <c r="X96" s="193" t="n">
        <v>0</v>
      </c>
      <c r="Y96" s="202" t="n"/>
      <c r="Z96" s="193" t="n">
        <v>0</v>
      </c>
      <c r="AA96" s="197">
        <f>I96-R96</f>
        <v/>
      </c>
      <c r="AB96" s="198">
        <f>J96-S96</f>
        <v/>
      </c>
      <c r="AC96" s="199">
        <f>K96-T96</f>
        <v/>
      </c>
      <c r="AD96" s="199">
        <f>L96-U96</f>
        <v/>
      </c>
      <c r="AE96" s="200">
        <f>M96-V96</f>
        <v/>
      </c>
      <c r="AF96" s="200">
        <f>N96-W96</f>
        <v/>
      </c>
      <c r="AG96" s="200">
        <f>O96-X96</f>
        <v/>
      </c>
      <c r="AH96" s="203">
        <f>P96-Y96</f>
        <v/>
      </c>
      <c r="AI96" s="201">
        <f>Q96-Z96</f>
        <v/>
      </c>
    </row>
    <row r="97">
      <c r="B97" t="inlineStr">
        <is>
          <t>BASEPRICE</t>
        </is>
      </c>
      <c r="C97" s="191" t="n">
        <v>46064</v>
      </c>
      <c r="D97" s="192" t="inlineStr">
        <is>
          <t>Single Borrower</t>
        </is>
      </c>
      <c r="E97" s="192" t="inlineStr">
        <is>
          <t>FIGRE 2025-HE2 G</t>
        </is>
      </c>
      <c r="F97" s="192" t="inlineStr">
        <is>
          <t>31684KAG8</t>
        </is>
      </c>
      <c r="G97" s="193" t="n">
        <v>0</v>
      </c>
      <c r="H97" s="193" t="n">
        <v>13.93912</v>
      </c>
      <c r="I97" s="194" t="n">
        <v>9.971337030000001</v>
      </c>
      <c r="J97" s="195" t="n">
        <v>528.496182739</v>
      </c>
      <c r="K97" s="196" t="n">
        <v>20.032695892</v>
      </c>
      <c r="L97" s="196" t="n">
        <v>58.8654637236784</v>
      </c>
      <c r="M97" s="193" t="n">
        <v>18.1458344572685</v>
      </c>
      <c r="N97" s="193" t="n">
        <v>3.417277142</v>
      </c>
      <c r="O97" s="193" t="n">
        <v>2.870138069</v>
      </c>
      <c r="P97" s="196" t="n">
        <v>83.989034243802</v>
      </c>
      <c r="Q97" s="193" t="n">
        <v>9.073423142999999</v>
      </c>
      <c r="R97" s="194" t="n">
        <v>9.933297967</v>
      </c>
      <c r="S97" s="195" t="n">
        <v>524.425519527</v>
      </c>
      <c r="T97" s="196" t="n">
        <v>20.090477232</v>
      </c>
      <c r="U97" s="196" t="n">
        <v>58.7142777449365</v>
      </c>
      <c r="V97" s="193" t="n">
        <v>18.2111059234729</v>
      </c>
      <c r="W97" s="193" t="n">
        <v>3.062691112</v>
      </c>
      <c r="X97" s="193" t="n">
        <v>2.570833526</v>
      </c>
      <c r="Y97" s="196" t="n">
        <v>83.9403463159297</v>
      </c>
      <c r="Z97" s="193" t="n">
        <v>9.165893800999999</v>
      </c>
      <c r="AA97" s="197">
        <f>I97-R97</f>
        <v/>
      </c>
      <c r="AB97" s="198">
        <f>J97-S97</f>
        <v/>
      </c>
      <c r="AC97" s="199">
        <f>K97-T97</f>
        <v/>
      </c>
      <c r="AD97" s="199">
        <f>L97-U97</f>
        <v/>
      </c>
      <c r="AE97" s="200">
        <f>M97-V97</f>
        <v/>
      </c>
      <c r="AF97" s="200">
        <f>N97-W97</f>
        <v/>
      </c>
      <c r="AG97" s="200">
        <f>O97-X97</f>
        <v/>
      </c>
      <c r="AH97" s="199">
        <f>P97-Y97</f>
        <v/>
      </c>
      <c r="AI97" s="201">
        <f>Q97-Z97</f>
        <v/>
      </c>
    </row>
    <row r="98">
      <c r="B98" t="inlineStr">
        <is>
          <t>BASEPRICE</t>
        </is>
      </c>
      <c r="C98" s="191" t="n">
        <v>46064</v>
      </c>
      <c r="D98" s="192" t="inlineStr">
        <is>
          <t>Single Borrower</t>
        </is>
      </c>
      <c r="E98" s="192" t="inlineStr">
        <is>
          <t>FIGRE 2025-HE2 XS</t>
        </is>
      </c>
      <c r="F98" s="192" t="inlineStr">
        <is>
          <t>31684KAH6</t>
        </is>
      </c>
      <c r="G98" s="193" t="n">
        <v>4.313927</v>
      </c>
      <c r="H98" s="193" t="n">
        <v>9.2074</v>
      </c>
      <c r="I98" s="194" t="n">
        <v>7.883392961</v>
      </c>
      <c r="J98" s="195" t="n">
        <v>399.378124374</v>
      </c>
      <c r="K98" s="196" t="n">
        <v>4.009863576</v>
      </c>
      <c r="L98" s="196" t="n">
        <v>-16.2328281925408</v>
      </c>
      <c r="M98" s="193" t="n">
        <v>2.96313399005147</v>
      </c>
      <c r="N98" s="193" t="n">
        <v>3.417277142</v>
      </c>
      <c r="O98" s="193" t="n">
        <v>2.870138069</v>
      </c>
      <c r="P98" s="196" t="n">
        <v>83.989034243802</v>
      </c>
      <c r="Q98" s="193" t="n">
        <v>0</v>
      </c>
      <c r="R98" s="194" t="n">
        <v>8.521162893</v>
      </c>
      <c r="S98" s="195" t="n">
        <v>465.117757605</v>
      </c>
      <c r="T98" s="196" t="n">
        <v>4.017731495</v>
      </c>
      <c r="U98" s="196" t="n">
        <v>-16.7106773899255</v>
      </c>
      <c r="V98" s="193" t="n">
        <v>2.99669849251689</v>
      </c>
      <c r="W98" s="193" t="n">
        <v>3.062691112</v>
      </c>
      <c r="X98" s="193" t="n">
        <v>2.570833526</v>
      </c>
      <c r="Y98" s="196" t="n">
        <v>83.9403463159297</v>
      </c>
      <c r="Z98" s="193" t="n">
        <v>0</v>
      </c>
      <c r="AA98" s="197">
        <f>I98-R98</f>
        <v/>
      </c>
      <c r="AB98" s="198">
        <f>J98-S98</f>
        <v/>
      </c>
      <c r="AC98" s="199">
        <f>K98-T98</f>
        <v/>
      </c>
      <c r="AD98" s="199">
        <f>L98-U98</f>
        <v/>
      </c>
      <c r="AE98" s="200">
        <f>M98-V98</f>
        <v/>
      </c>
      <c r="AF98" s="200">
        <f>N98-W98</f>
        <v/>
      </c>
      <c r="AG98" s="200">
        <f>O98-X98</f>
        <v/>
      </c>
      <c r="AH98" s="199">
        <f>P98-Y98</f>
        <v/>
      </c>
      <c r="AI98" s="201">
        <f>Q98-Z98</f>
        <v/>
      </c>
    </row>
    <row r="99">
      <c r="B99" t="inlineStr">
        <is>
          <t>BASEPRICE</t>
        </is>
      </c>
      <c r="C99" s="191" t="n">
        <v>46064</v>
      </c>
      <c r="D99" s="192" t="inlineStr">
        <is>
          <t>Single Borrower</t>
        </is>
      </c>
      <c r="E99" s="192" t="inlineStr">
        <is>
          <t>FIGRE 2026-HE1 F</t>
        </is>
      </c>
      <c r="F99" s="192" t="inlineStr">
        <is>
          <t>30249NAH0</t>
        </is>
      </c>
      <c r="G99" s="193" t="n">
        <v>7.896</v>
      </c>
      <c r="H99" s="193" t="n">
        <v>100.257965</v>
      </c>
      <c r="I99" s="194" t="n">
        <v>7.876248696</v>
      </c>
      <c r="J99" s="195" t="n">
        <v>398.522272628</v>
      </c>
      <c r="K99" s="196" t="n">
        <v>6.955555556</v>
      </c>
      <c r="L99" s="196" t="n">
        <v>5.7098685485986</v>
      </c>
      <c r="M99" s="193" t="n">
        <v>5.19694692386785</v>
      </c>
      <c r="N99" s="193" t="n">
        <v>2.764673044</v>
      </c>
      <c r="O99" s="193" t="n">
        <v>2.329251549</v>
      </c>
      <c r="P99" s="196" t="n">
        <v>84.25052481540379</v>
      </c>
      <c r="Q99" s="193" t="n">
        <v>0</v>
      </c>
      <c r="R99" s="194" t="n">
        <v>7.877589991</v>
      </c>
      <c r="S99" s="195" t="n">
        <v>398.067913362</v>
      </c>
      <c r="T99" s="196" t="n">
        <v>7.038888889</v>
      </c>
      <c r="U99" s="196" t="n">
        <v>5.710284993317</v>
      </c>
      <c r="V99" s="193" t="n">
        <v>5.24333739369236</v>
      </c>
      <c r="W99" s="193" t="n">
        <v>2.272186049</v>
      </c>
      <c r="X99" s="193" t="n">
        <v>1.910851732</v>
      </c>
      <c r="Y99" s="196" t="n">
        <v>84.0975030561857</v>
      </c>
      <c r="Z99" s="193" t="n">
        <v>0</v>
      </c>
      <c r="AA99" s="197">
        <f>I99-R99</f>
        <v/>
      </c>
      <c r="AB99" s="198">
        <f>J99-S99</f>
        <v/>
      </c>
      <c r="AC99" s="199">
        <f>K99-T99</f>
        <v/>
      </c>
      <c r="AD99" s="199">
        <f>L99-U99</f>
        <v/>
      </c>
      <c r="AE99" s="200">
        <f>M99-V99</f>
        <v/>
      </c>
      <c r="AF99" s="200">
        <f>N99-W99</f>
        <v/>
      </c>
      <c r="AG99" s="200">
        <f>O99-X99</f>
        <v/>
      </c>
      <c r="AH99" s="199">
        <f>P99-Y99</f>
        <v/>
      </c>
      <c r="AI99" s="201">
        <f>Q99-Z99</f>
        <v/>
      </c>
    </row>
    <row r="100">
      <c r="B100" t="inlineStr">
        <is>
          <t>BASEPRICE</t>
        </is>
      </c>
      <c r="C100" s="191" t="n">
        <v>46064</v>
      </c>
      <c r="D100" s="192" t="inlineStr">
        <is>
          <t>Single Borrower</t>
        </is>
      </c>
      <c r="E100" s="192" t="inlineStr">
        <is>
          <t>GRADE 2023-FIG3 CE</t>
        </is>
      </c>
      <c r="F100" s="192" t="inlineStr">
        <is>
          <t>79582AAD9</t>
        </is>
      </c>
      <c r="G100" s="193" t="n">
        <v>4.333706</v>
      </c>
      <c r="H100" s="193" t="n">
        <v>163.4975</v>
      </c>
      <c r="I100" s="194" t="n">
        <v>11.999041251</v>
      </c>
      <c r="J100" s="195" t="n">
        <v>823.806028115</v>
      </c>
      <c r="K100" s="196" t="n">
        <v>4.658125467</v>
      </c>
      <c r="L100" s="196" t="n">
        <v>-2.34686843223903</v>
      </c>
      <c r="M100" s="193" t="n">
        <v>2.37717822719001</v>
      </c>
      <c r="N100" s="193" t="n">
        <v>2.532057413</v>
      </c>
      <c r="O100" s="193" t="n">
        <v>2.103484399</v>
      </c>
      <c r="P100" s="196" t="n">
        <v>83.0741194176864</v>
      </c>
      <c r="Q100" s="193" t="n">
        <v>26.779318835</v>
      </c>
      <c r="R100" s="194" t="n">
        <v>11.989046622</v>
      </c>
      <c r="S100" s="195" t="n">
        <v>822.544619315</v>
      </c>
      <c r="T100" s="196" t="n">
        <v>4.658576922</v>
      </c>
      <c r="U100" s="196" t="n">
        <v>-2.49138142173428</v>
      </c>
      <c r="V100" s="193" t="n">
        <v>2.39590858453492</v>
      </c>
      <c r="W100" s="193" t="n">
        <v>2.400686859</v>
      </c>
      <c r="X100" s="193" t="n">
        <v>1.99510916</v>
      </c>
      <c r="Y100" s="196" t="n">
        <v>83.1057641907974</v>
      </c>
      <c r="Z100" s="193" t="n">
        <v>25.82216158</v>
      </c>
      <c r="AA100" s="197">
        <f>I100-R100</f>
        <v/>
      </c>
      <c r="AB100" s="198">
        <f>J100-S100</f>
        <v/>
      </c>
      <c r="AC100" s="199">
        <f>K100-T100</f>
        <v/>
      </c>
      <c r="AD100" s="199">
        <f>L100-U100</f>
        <v/>
      </c>
      <c r="AE100" s="200">
        <f>M100-V100</f>
        <v/>
      </c>
      <c r="AF100" s="200">
        <f>N100-W100</f>
        <v/>
      </c>
      <c r="AG100" s="200">
        <f>O100-X100</f>
        <v/>
      </c>
      <c r="AH100" s="199">
        <f>P100-Y100</f>
        <v/>
      </c>
      <c r="AI100" s="201">
        <f>Q100-Z100</f>
        <v/>
      </c>
    </row>
    <row r="101">
      <c r="B101" t="inlineStr">
        <is>
          <t>BASEPRICE</t>
        </is>
      </c>
      <c r="C101" s="191" t="n">
        <v>46064</v>
      </c>
      <c r="D101" s="192" t="inlineStr">
        <is>
          <t>Single Borrower</t>
        </is>
      </c>
      <c r="E101" s="192" t="inlineStr">
        <is>
          <t>GRADE 2024-FIG5 CE</t>
        </is>
      </c>
      <c r="F101" s="192" t="inlineStr">
        <is>
          <t>79582MAF8</t>
        </is>
      </c>
      <c r="G101" s="193" t="n">
        <v>5.1594</v>
      </c>
      <c r="H101" s="193" t="n">
        <v>275.982695</v>
      </c>
      <c r="I101" s="194" t="n">
        <v>13.531179556</v>
      </c>
      <c r="J101" s="195" t="n">
        <v>973.71366101</v>
      </c>
      <c r="K101" s="196" t="n">
        <v>6.955934936</v>
      </c>
      <c r="L101" s="196" t="n">
        <v>-9.6274974059515</v>
      </c>
      <c r="M101" s="193" t="n">
        <v>2.32992861454592</v>
      </c>
      <c r="N101" s="193" t="n">
        <v>2.124222029</v>
      </c>
      <c r="O101" s="193" t="n">
        <v>1.756135927</v>
      </c>
      <c r="P101" s="196" t="n">
        <v>82.67195721657779</v>
      </c>
      <c r="Q101" s="193" t="n">
        <v>30.359265123</v>
      </c>
      <c r="R101" s="194" t="n">
        <v>13.555251753</v>
      </c>
      <c r="S101" s="195" t="n">
        <v>975.776925326</v>
      </c>
      <c r="T101" s="196" t="n">
        <v>6.94522189</v>
      </c>
      <c r="U101" s="196" t="n">
        <v>-9.994192268105779</v>
      </c>
      <c r="V101" s="193" t="n">
        <v>2.36262408119465</v>
      </c>
      <c r="W101" s="193" t="n">
        <v>1.912704858</v>
      </c>
      <c r="X101" s="193" t="n">
        <v>1.577720997</v>
      </c>
      <c r="Y101" s="196" t="n">
        <v>82.4863799765599</v>
      </c>
      <c r="Z101" s="193" t="n">
        <v>30.100171464</v>
      </c>
      <c r="AA101" s="197">
        <f>I101-R101</f>
        <v/>
      </c>
      <c r="AB101" s="198">
        <f>J101-S101</f>
        <v/>
      </c>
      <c r="AC101" s="199">
        <f>K101-T101</f>
        <v/>
      </c>
      <c r="AD101" s="199">
        <f>L101-U101</f>
        <v/>
      </c>
      <c r="AE101" s="200">
        <f>M101-V101</f>
        <v/>
      </c>
      <c r="AF101" s="200">
        <f>N101-W101</f>
        <v/>
      </c>
      <c r="AG101" s="200">
        <f>O101-X101</f>
        <v/>
      </c>
      <c r="AH101" s="199">
        <f>P101-Y101</f>
        <v/>
      </c>
      <c r="AI101" s="201">
        <f>Q101-Z101</f>
        <v/>
      </c>
    </row>
    <row r="102">
      <c r="B102" t="inlineStr">
        <is>
          <t>BASEPRICE</t>
        </is>
      </c>
      <c r="C102" s="191" t="n">
        <v>46064</v>
      </c>
      <c r="D102" s="192" t="inlineStr">
        <is>
          <t>Single Borrower</t>
        </is>
      </c>
      <c r="E102" s="192" t="inlineStr">
        <is>
          <t>GRADE 2025-FIG6 B1</t>
        </is>
      </c>
      <c r="F102" s="192" t="inlineStr">
        <is>
          <t>79582CAE3</t>
        </is>
      </c>
      <c r="G102" s="193" t="n">
        <v>7.736</v>
      </c>
      <c r="H102" s="193" t="n">
        <v>101.7519</v>
      </c>
      <c r="I102" s="194" t="n">
        <v>7.47547895</v>
      </c>
      <c r="J102" s="195" t="n">
        <v>351.198300419</v>
      </c>
      <c r="K102" s="196" t="n">
        <v>8.038888889000001</v>
      </c>
      <c r="L102" s="196" t="n">
        <v>6.20585798594425</v>
      </c>
      <c r="M102" s="193" t="n">
        <v>5.83667571514635</v>
      </c>
      <c r="N102" s="193" t="n">
        <v>1.535276971</v>
      </c>
      <c r="O102" s="193" t="n">
        <v>1.261687356</v>
      </c>
      <c r="P102" s="196" t="n">
        <v>82.1797877407229</v>
      </c>
      <c r="Q102" s="193" t="n">
        <v>0</v>
      </c>
      <c r="R102" s="194" t="n">
        <v>7.478345106</v>
      </c>
      <c r="S102" s="195" t="n">
        <v>350.969584785</v>
      </c>
      <c r="T102" s="196" t="n">
        <v>8.122222222</v>
      </c>
      <c r="U102" s="196" t="n">
        <v>6.25255071895463</v>
      </c>
      <c r="V102" s="193" t="n">
        <v>5.88003965233082</v>
      </c>
      <c r="W102" s="193" t="n">
        <v>1.197372342</v>
      </c>
      <c r="X102" s="193" t="n">
        <v>0.977324116</v>
      </c>
      <c r="Y102" s="196" t="n">
        <v>81.6224061403951</v>
      </c>
      <c r="Z102" s="193" t="n">
        <v>0</v>
      </c>
      <c r="AA102" s="197">
        <f>I102-R102</f>
        <v/>
      </c>
      <c r="AB102" s="198">
        <f>J102-S102</f>
        <v/>
      </c>
      <c r="AC102" s="199">
        <f>K102-T102</f>
        <v/>
      </c>
      <c r="AD102" s="199">
        <f>L102-U102</f>
        <v/>
      </c>
      <c r="AE102" s="200">
        <f>M102-V102</f>
        <v/>
      </c>
      <c r="AF102" s="200">
        <f>N102-W102</f>
        <v/>
      </c>
      <c r="AG102" s="200">
        <f>O102-X102</f>
        <v/>
      </c>
      <c r="AH102" s="199">
        <f>P102-Y102</f>
        <v/>
      </c>
      <c r="AI102" s="201">
        <f>Q102-Z102</f>
        <v/>
      </c>
    </row>
    <row r="103">
      <c r="B103" t="inlineStr">
        <is>
          <t>BASEPRICE</t>
        </is>
      </c>
      <c r="C103" s="191" t="n">
        <v>46064</v>
      </c>
      <c r="D103" s="192" t="inlineStr">
        <is>
          <t>Single Borrower</t>
        </is>
      </c>
      <c r="E103" s="192" t="inlineStr">
        <is>
          <t>GRADE 2025-FIG6 B2</t>
        </is>
      </c>
      <c r="F103" s="192" t="inlineStr">
        <is>
          <t>79582CAF0</t>
        </is>
      </c>
      <c r="G103" s="193" t="n">
        <v>8.9</v>
      </c>
      <c r="H103" s="193" t="n">
        <v>100.36409</v>
      </c>
      <c r="I103" s="194" t="n">
        <v>8.894618003</v>
      </c>
      <c r="J103" s="195" t="n">
        <v>494.242215261</v>
      </c>
      <c r="K103" s="196" t="n">
        <v>8.038888889000001</v>
      </c>
      <c r="L103" s="196" t="n">
        <v>6.14934610974902</v>
      </c>
      <c r="M103" s="193" t="n">
        <v>5.55527410650561</v>
      </c>
      <c r="N103" s="193" t="n">
        <v>1.535276971</v>
      </c>
      <c r="O103" s="193" t="n">
        <v>1.261687356</v>
      </c>
      <c r="P103" s="196" t="n">
        <v>82.1797877407229</v>
      </c>
      <c r="Q103" s="193" t="n">
        <v>0</v>
      </c>
      <c r="R103" s="194" t="n">
        <v>8.895829064999999</v>
      </c>
      <c r="S103" s="195" t="n">
        <v>493.867483899</v>
      </c>
      <c r="T103" s="196" t="n">
        <v>8.122222222</v>
      </c>
      <c r="U103" s="196" t="n">
        <v>6.18729453134085</v>
      </c>
      <c r="V103" s="193" t="n">
        <v>5.59431739977914</v>
      </c>
      <c r="W103" s="193" t="n">
        <v>1.197372342</v>
      </c>
      <c r="X103" s="193" t="n">
        <v>0.977324116</v>
      </c>
      <c r="Y103" s="196" t="n">
        <v>81.6224061403951</v>
      </c>
      <c r="Z103" s="193" t="n">
        <v>0</v>
      </c>
      <c r="AA103" s="197">
        <f>I103-R103</f>
        <v/>
      </c>
      <c r="AB103" s="198">
        <f>J103-S103</f>
        <v/>
      </c>
      <c r="AC103" s="199">
        <f>K103-T103</f>
        <v/>
      </c>
      <c r="AD103" s="199">
        <f>L103-U103</f>
        <v/>
      </c>
      <c r="AE103" s="200">
        <f>M103-V103</f>
        <v/>
      </c>
      <c r="AF103" s="200">
        <f>N103-W103</f>
        <v/>
      </c>
      <c r="AG103" s="200">
        <f>O103-X103</f>
        <v/>
      </c>
      <c r="AH103" s="199">
        <f>P103-Y103</f>
        <v/>
      </c>
      <c r="AI103" s="201">
        <f>Q103-Z103</f>
        <v/>
      </c>
    </row>
    <row r="104">
      <c r="B104" t="inlineStr">
        <is>
          <t>BASEPRICE</t>
        </is>
      </c>
      <c r="C104" s="191" t="n">
        <v>46064</v>
      </c>
      <c r="D104" s="192" t="inlineStr">
        <is>
          <t>Single Borrower</t>
        </is>
      </c>
      <c r="E104" s="192" t="inlineStr">
        <is>
          <t>GRADE 2026-HB1 A1A</t>
        </is>
      </c>
      <c r="F104" s="192" t="inlineStr">
        <is>
          <t>795939AB3</t>
        </is>
      </c>
      <c r="G104" s="193" t="n">
        <v>5.07134</v>
      </c>
      <c r="H104" s="193" t="n">
        <v>100.25</v>
      </c>
      <c r="I104" s="194" t="n">
        <v>4.646768841</v>
      </c>
      <c r="J104" s="195" t="n">
        <v>109.875460265</v>
      </c>
      <c r="K104" s="196" t="n">
        <v>1.756455286</v>
      </c>
      <c r="L104" s="196" t="n">
        <v>0.0308509506234437</v>
      </c>
      <c r="M104" s="193" t="n">
        <v>1.64433128079801</v>
      </c>
      <c r="N104" s="193" t="n">
        <v>0.248497474</v>
      </c>
      <c r="O104" s="193" t="n">
        <v>0.205220946</v>
      </c>
      <c r="P104" s="196" t="n">
        <v>82.58472116300059</v>
      </c>
      <c r="Q104" s="193" t="n">
        <v>0</v>
      </c>
      <c r="R104" s="194" t="n">
        <v>4.646768875</v>
      </c>
      <c r="S104" s="195" t="n">
        <v>109.875449385</v>
      </c>
      <c r="T104" s="196" t="n">
        <v>1.756458565</v>
      </c>
      <c r="U104" s="196" t="n">
        <v>0.030850877805479</v>
      </c>
      <c r="V104" s="193" t="n">
        <v>1.64433425436409</v>
      </c>
      <c r="W104" s="193" t="n">
        <v>0.248297177</v>
      </c>
      <c r="X104" s="193" t="n">
        <v>0.205050632</v>
      </c>
      <c r="Y104" s="196" t="n">
        <v>82.58274801086441</v>
      </c>
      <c r="Z104" s="193" t="n">
        <v>0</v>
      </c>
      <c r="AA104" s="197">
        <f>I104-R104</f>
        <v/>
      </c>
      <c r="AB104" s="198">
        <f>J104-S104</f>
        <v/>
      </c>
      <c r="AC104" s="199">
        <f>K104-T104</f>
        <v/>
      </c>
      <c r="AD104" s="199">
        <f>L104-U104</f>
        <v/>
      </c>
      <c r="AE104" s="200">
        <f>M104-V104</f>
        <v/>
      </c>
      <c r="AF104" s="200">
        <f>N104-W104</f>
        <v/>
      </c>
      <c r="AG104" s="200">
        <f>O104-X104</f>
        <v/>
      </c>
      <c r="AH104" s="199">
        <f>P104-Y104</f>
        <v/>
      </c>
      <c r="AI104" s="201">
        <f>Q104-Z104</f>
        <v/>
      </c>
    </row>
    <row r="105">
      <c r="B105" t="inlineStr">
        <is>
          <t>BASEPRICE</t>
        </is>
      </c>
      <c r="C105" s="191" t="n">
        <v>46064</v>
      </c>
      <c r="D105" s="192" t="inlineStr">
        <is>
          <t>Single Borrower</t>
        </is>
      </c>
      <c r="E105" s="192" t="inlineStr">
        <is>
          <t>GRADE 2026-HB1 A1X</t>
        </is>
      </c>
      <c r="F105" s="192" t="inlineStr">
        <is>
          <t>795939AD9</t>
        </is>
      </c>
      <c r="G105" s="193" t="n">
        <v>1</v>
      </c>
      <c r="H105" s="193" t="n">
        <v>1.685</v>
      </c>
      <c r="I105" s="194" t="n">
        <v>4.360083096</v>
      </c>
      <c r="J105" s="195" t="n">
        <v>83.42219978</v>
      </c>
      <c r="K105" s="196" t="n">
        <v>1.756555349</v>
      </c>
      <c r="L105" s="196" t="n">
        <v>1.20671637982195</v>
      </c>
      <c r="M105" s="193" t="n">
        <v>1.21055020771514</v>
      </c>
      <c r="N105" s="193" t="n">
        <v>0.248497474</v>
      </c>
      <c r="O105" s="193" t="n">
        <v>0.205220946</v>
      </c>
      <c r="P105" s="196" t="n">
        <v>82.58472116300059</v>
      </c>
      <c r="Q105" s="193" t="n">
        <v>0</v>
      </c>
      <c r="R105" s="194" t="n">
        <v>4.36021631</v>
      </c>
      <c r="S105" s="195" t="n">
        <v>83.435521884</v>
      </c>
      <c r="T105" s="196" t="n">
        <v>1.756558269</v>
      </c>
      <c r="U105" s="196" t="n">
        <v>1.20672207715132</v>
      </c>
      <c r="V105" s="193" t="n">
        <v>1.21054985163205</v>
      </c>
      <c r="W105" s="193" t="n">
        <v>0.248297177</v>
      </c>
      <c r="X105" s="193" t="n">
        <v>0.205050632</v>
      </c>
      <c r="Y105" s="196" t="n">
        <v>82.58274801086441</v>
      </c>
      <c r="Z105" s="193" t="n">
        <v>0</v>
      </c>
      <c r="AA105" s="197">
        <f>I105-R105</f>
        <v/>
      </c>
      <c r="AB105" s="198">
        <f>J105-S105</f>
        <v/>
      </c>
      <c r="AC105" s="199">
        <f>K105-T105</f>
        <v/>
      </c>
      <c r="AD105" s="199">
        <f>L105-U105</f>
        <v/>
      </c>
      <c r="AE105" s="200">
        <f>M105-V105</f>
        <v/>
      </c>
      <c r="AF105" s="200">
        <f>N105-W105</f>
        <v/>
      </c>
      <c r="AG105" s="200">
        <f>O105-X105</f>
        <v/>
      </c>
      <c r="AH105" s="199">
        <f>P105-Y105</f>
        <v/>
      </c>
      <c r="AI105" s="201">
        <f>Q105-Z105</f>
        <v/>
      </c>
    </row>
    <row r="106">
      <c r="B106" t="inlineStr">
        <is>
          <t>BASEPRICE</t>
        </is>
      </c>
      <c r="C106" s="191" t="n">
        <v>46064</v>
      </c>
      <c r="D106" s="192" t="inlineStr">
        <is>
          <t>Single Borrower</t>
        </is>
      </c>
      <c r="E106" s="192" t="inlineStr">
        <is>
          <t>GRADE 2026-HB1 B1</t>
        </is>
      </c>
      <c r="F106" s="192" t="inlineStr">
        <is>
          <t>795939AK3</t>
        </is>
      </c>
      <c r="G106" s="193" t="n">
        <v>7.12134</v>
      </c>
      <c r="H106" s="193" t="n">
        <v>100.125</v>
      </c>
      <c r="I106" s="194" t="n">
        <v>6.815276471</v>
      </c>
      <c r="J106" s="195" t="n">
        <v>324.925761388</v>
      </c>
      <c r="K106" s="196" t="n">
        <v>2.955555556</v>
      </c>
      <c r="L106" s="196" t="n">
        <v>-0.015966103370779</v>
      </c>
      <c r="M106" s="193" t="n">
        <v>2.62983579425717</v>
      </c>
      <c r="N106" s="193" t="n">
        <v>0.248497474</v>
      </c>
      <c r="O106" s="193" t="n">
        <v>0.205220946</v>
      </c>
      <c r="P106" s="196" t="n">
        <v>82.58472116300059</v>
      </c>
      <c r="Q106" s="193" t="n">
        <v>0</v>
      </c>
      <c r="R106" s="194" t="n">
        <v>6.815276471</v>
      </c>
      <c r="S106" s="195" t="n">
        <v>324.925761388</v>
      </c>
      <c r="T106" s="196" t="n">
        <v>2.955555556</v>
      </c>
      <c r="U106" s="196" t="n">
        <v>-0.015966103370779</v>
      </c>
      <c r="V106" s="193" t="n">
        <v>2.62983579425717</v>
      </c>
      <c r="W106" s="193" t="n">
        <v>0.248297177</v>
      </c>
      <c r="X106" s="193" t="n">
        <v>0.205050632</v>
      </c>
      <c r="Y106" s="196" t="n">
        <v>82.58274801086441</v>
      </c>
      <c r="Z106" s="193" t="n">
        <v>0</v>
      </c>
      <c r="AA106" s="197">
        <f>I106-R106</f>
        <v/>
      </c>
      <c r="AB106" s="198">
        <f>J106-S106</f>
        <v/>
      </c>
      <c r="AC106" s="199">
        <f>K106-T106</f>
        <v/>
      </c>
      <c r="AD106" s="199">
        <f>L106-U106</f>
        <v/>
      </c>
      <c r="AE106" s="200">
        <f>M106-V106</f>
        <v/>
      </c>
      <c r="AF106" s="200">
        <f>N106-W106</f>
        <v/>
      </c>
      <c r="AG106" s="200">
        <f>O106-X106</f>
        <v/>
      </c>
      <c r="AH106" s="199">
        <f>P106-Y106</f>
        <v/>
      </c>
      <c r="AI106" s="201">
        <f>Q106-Z106</f>
        <v/>
      </c>
    </row>
    <row r="107">
      <c r="B107" t="inlineStr">
        <is>
          <t>BASEPRICE</t>
        </is>
      </c>
      <c r="C107" s="191" t="n">
        <v>46064</v>
      </c>
      <c r="D107" s="192" t="inlineStr">
        <is>
          <t>Single Borrower</t>
        </is>
      </c>
      <c r="E107" s="192" t="inlineStr">
        <is>
          <t>GRADE 2026-HB1 M3</t>
        </is>
      </c>
      <c r="F107" s="192" t="inlineStr">
        <is>
          <t>795939AJ6</t>
        </is>
      </c>
      <c r="G107" s="193" t="n">
        <v>6.12134</v>
      </c>
      <c r="H107" s="193" t="n">
        <v>100</v>
      </c>
      <c r="I107" s="194" t="n">
        <v>5.838945934</v>
      </c>
      <c r="J107" s="195" t="n">
        <v>228.565987741</v>
      </c>
      <c r="K107" s="196" t="n">
        <v>2.620656705</v>
      </c>
      <c r="L107" s="196" t="n">
        <v>-0.000279978000008896</v>
      </c>
      <c r="M107" s="193" t="n">
        <v>2.390766419</v>
      </c>
      <c r="N107" s="193" t="n">
        <v>0.248497474</v>
      </c>
      <c r="O107" s="193" t="n">
        <v>0.205220946</v>
      </c>
      <c r="P107" s="196" t="n">
        <v>82.58472116300059</v>
      </c>
      <c r="Q107" s="193" t="n">
        <v>0</v>
      </c>
      <c r="R107" s="194" t="n">
        <v>5.838945933</v>
      </c>
      <c r="S107" s="195" t="n">
        <v>228.565987183</v>
      </c>
      <c r="T107" s="196" t="n">
        <v>2.620656805</v>
      </c>
      <c r="U107" s="196" t="n">
        <v>-0.00027998099999138</v>
      </c>
      <c r="V107" s="193" t="n">
        <v>2.39076650599999</v>
      </c>
      <c r="W107" s="193" t="n">
        <v>0.248297177</v>
      </c>
      <c r="X107" s="193" t="n">
        <v>0.205050632</v>
      </c>
      <c r="Y107" s="196" t="n">
        <v>82.58274801086441</v>
      </c>
      <c r="Z107" s="193" t="n">
        <v>0</v>
      </c>
      <c r="AA107" s="197">
        <f>I107-R107</f>
        <v/>
      </c>
      <c r="AB107" s="198">
        <f>J107-S107</f>
        <v/>
      </c>
      <c r="AC107" s="199">
        <f>K107-T107</f>
        <v/>
      </c>
      <c r="AD107" s="199">
        <f>L107-U107</f>
        <v/>
      </c>
      <c r="AE107" s="200">
        <f>M107-V107</f>
        <v/>
      </c>
      <c r="AF107" s="200">
        <f>N107-W107</f>
        <v/>
      </c>
      <c r="AG107" s="200">
        <f>O107-X107</f>
        <v/>
      </c>
      <c r="AH107" s="199">
        <f>P107-Y107</f>
        <v/>
      </c>
      <c r="AI107" s="201">
        <f>Q107-Z107</f>
        <v/>
      </c>
    </row>
    <row r="108">
      <c r="B108" t="inlineStr">
        <is>
          <t>BASEPRICE</t>
        </is>
      </c>
      <c r="C108" s="191" t="n">
        <v>46064</v>
      </c>
      <c r="D108" s="192" t="inlineStr">
        <is>
          <t>Single Borrower</t>
        </is>
      </c>
      <c r="E108" s="192" t="inlineStr">
        <is>
          <t>GSMBS 2024-HE1 B1</t>
        </is>
      </c>
      <c r="F108" s="192" t="inlineStr">
        <is>
          <t>36270AAE4</t>
        </is>
      </c>
      <c r="G108" s="193" t="n">
        <v>7.19728</v>
      </c>
      <c r="H108" s="193" t="n">
        <v>101.00416</v>
      </c>
      <c r="I108" s="194" t="n">
        <v>6.182816628</v>
      </c>
      <c r="J108" s="195" t="n">
        <v>270.433047882</v>
      </c>
      <c r="K108" s="196" t="n">
        <v>1.288888889</v>
      </c>
      <c r="L108" s="196" t="n">
        <v>0.0155170638516384</v>
      </c>
      <c r="M108" s="193" t="n">
        <v>1.2091977845269</v>
      </c>
      <c r="N108" s="193" t="n">
        <v>2.736309405</v>
      </c>
      <c r="O108" s="193" t="n">
        <v>2.051444749</v>
      </c>
      <c r="P108" s="196" t="n">
        <v>74.9712274953789</v>
      </c>
      <c r="Q108" s="193" t="n">
        <v>0</v>
      </c>
      <c r="R108" s="194" t="n">
        <v>6.182816628</v>
      </c>
      <c r="S108" s="195" t="n">
        <v>270.433047882</v>
      </c>
      <c r="T108" s="196" t="n">
        <v>1.288888889</v>
      </c>
      <c r="U108" s="196" t="n">
        <v>0.0155170638516384</v>
      </c>
      <c r="V108" s="193" t="n">
        <v>1.2091977845269</v>
      </c>
      <c r="W108" s="193" t="n">
        <v>2.736338081</v>
      </c>
      <c r="X108" s="193" t="n">
        <v>2.051495068</v>
      </c>
      <c r="Y108" s="196" t="n">
        <v>74.97228073697229</v>
      </c>
      <c r="Z108" s="193" t="n">
        <v>0</v>
      </c>
      <c r="AA108" s="197">
        <f>I108-R108</f>
        <v/>
      </c>
      <c r="AB108" s="198">
        <f>J108-S108</f>
        <v/>
      </c>
      <c r="AC108" s="199">
        <f>K108-T108</f>
        <v/>
      </c>
      <c r="AD108" s="199">
        <f>L108-U108</f>
        <v/>
      </c>
      <c r="AE108" s="200">
        <f>M108-V108</f>
        <v/>
      </c>
      <c r="AF108" s="200">
        <f>N108-W108</f>
        <v/>
      </c>
      <c r="AG108" s="200">
        <f>O108-X108</f>
        <v/>
      </c>
      <c r="AH108" s="199">
        <f>P108-Y108</f>
        <v/>
      </c>
      <c r="AI108" s="201">
        <f>Q108-Z108</f>
        <v/>
      </c>
    </row>
    <row r="109">
      <c r="B109" t="inlineStr">
        <is>
          <t>BASEPRICE</t>
        </is>
      </c>
      <c r="C109" s="191" t="n">
        <v>46064</v>
      </c>
      <c r="D109" s="192" t="inlineStr">
        <is>
          <t>Single Borrower</t>
        </is>
      </c>
      <c r="E109" s="192" t="inlineStr">
        <is>
          <t>GSMBS 2026-CES1 B1</t>
        </is>
      </c>
      <c r="F109" s="192" t="inlineStr">
        <is>
          <t>36277LAE3</t>
        </is>
      </c>
      <c r="G109" s="193" t="n">
        <v>6.519</v>
      </c>
      <c r="H109" s="193" t="n">
        <v>100.526455</v>
      </c>
      <c r="I109" s="194" t="n">
        <v>6.326244845</v>
      </c>
      <c r="J109" s="195" t="n">
        <v>268.331372054</v>
      </c>
      <c r="K109" s="196" t="n">
        <v>3.955555556</v>
      </c>
      <c r="L109" s="196" t="n">
        <v>3.40691671063105</v>
      </c>
      <c r="M109" s="193" t="n">
        <v>3.40691671063105</v>
      </c>
      <c r="N109" s="193" t="n">
        <v>0.431231508</v>
      </c>
      <c r="O109" s="193" t="n">
        <v>0.257810646</v>
      </c>
      <c r="P109" s="196" t="n">
        <v>59.7847423523608</v>
      </c>
      <c r="Q109" s="193" t="n">
        <v>0</v>
      </c>
      <c r="R109" s="194" t="n">
        <v>6.326244845</v>
      </c>
      <c r="S109" s="195" t="n">
        <v>268.331372054</v>
      </c>
      <c r="T109" s="196" t="n">
        <v>3.955555556</v>
      </c>
      <c r="U109" s="196" t="n">
        <v>3.40691671063105</v>
      </c>
      <c r="V109" s="193" t="n">
        <v>3.40691671063105</v>
      </c>
      <c r="W109" s="193" t="n">
        <v>0.431380673</v>
      </c>
      <c r="X109" s="193" t="n">
        <v>0.257866776</v>
      </c>
      <c r="Y109" s="196" t="n">
        <v>59.777081390014</v>
      </c>
      <c r="Z109" s="193" t="n">
        <v>0</v>
      </c>
      <c r="AA109" s="197">
        <f>I109-R109</f>
        <v/>
      </c>
      <c r="AB109" s="198">
        <f>J109-S109</f>
        <v/>
      </c>
      <c r="AC109" s="199">
        <f>K109-T109</f>
        <v/>
      </c>
      <c r="AD109" s="199">
        <f>L109-U109</f>
        <v/>
      </c>
      <c r="AE109" s="200">
        <f>M109-V109</f>
        <v/>
      </c>
      <c r="AF109" s="200">
        <f>N109-W109</f>
        <v/>
      </c>
      <c r="AG109" s="200">
        <f>O109-X109</f>
        <v/>
      </c>
      <c r="AH109" s="199">
        <f>P109-Y109</f>
        <v/>
      </c>
      <c r="AI109" s="201">
        <f>Q109-Z109</f>
        <v/>
      </c>
    </row>
    <row r="110">
      <c r="B110" t="inlineStr">
        <is>
          <t>BASEPRICE</t>
        </is>
      </c>
      <c r="C110" s="191" t="n">
        <v>46064</v>
      </c>
      <c r="D110" s="192" t="inlineStr">
        <is>
          <t>Single Borrower</t>
        </is>
      </c>
      <c r="E110" s="192" t="inlineStr">
        <is>
          <t>JPMMT 2025-CES5 B1</t>
        </is>
      </c>
      <c r="F110" s="192" t="inlineStr">
        <is>
          <t>46594DAH9</t>
        </is>
      </c>
      <c r="G110" s="193" t="n">
        <v>6.694</v>
      </c>
      <c r="H110" s="193" t="n">
        <v>100.61547</v>
      </c>
      <c r="I110" s="194" t="n">
        <v>6.336411721</v>
      </c>
      <c r="J110" s="195" t="n">
        <v>279.028280245</v>
      </c>
      <c r="K110" s="196" t="n">
        <v>2.622222222</v>
      </c>
      <c r="L110" s="196" t="n">
        <v>2.34977643696342</v>
      </c>
      <c r="M110" s="193" t="n">
        <v>2.34977643696342</v>
      </c>
      <c r="N110" s="193" t="n">
        <v>0.578253612</v>
      </c>
      <c r="O110" s="193" t="n">
        <v>0.390994303</v>
      </c>
      <c r="P110" s="196" t="n">
        <v>67.61640478953031</v>
      </c>
      <c r="Q110" s="193" t="n">
        <v>0</v>
      </c>
      <c r="R110" s="194" t="n">
        <v>6.336411721</v>
      </c>
      <c r="S110" s="195" t="n">
        <v>279.028280245</v>
      </c>
      <c r="T110" s="196" t="n">
        <v>2.622222222</v>
      </c>
      <c r="U110" s="196" t="n">
        <v>2.34977643696342</v>
      </c>
      <c r="V110" s="193" t="n">
        <v>2.34977643696342</v>
      </c>
      <c r="W110" s="193" t="n">
        <v>0.578258545</v>
      </c>
      <c r="X110" s="193" t="n">
        <v>0.390997853</v>
      </c>
      <c r="Y110" s="196" t="n">
        <v>67.61644188068161</v>
      </c>
      <c r="Z110" s="193" t="n">
        <v>0</v>
      </c>
      <c r="AA110" s="197">
        <f>I110-R110</f>
        <v/>
      </c>
      <c r="AB110" s="198">
        <f>J110-S110</f>
        <v/>
      </c>
      <c r="AC110" s="199">
        <f>K110-T110</f>
        <v/>
      </c>
      <c r="AD110" s="199">
        <f>L110-U110</f>
        <v/>
      </c>
      <c r="AE110" s="200">
        <f>M110-V110</f>
        <v/>
      </c>
      <c r="AF110" s="200">
        <f>N110-W110</f>
        <v/>
      </c>
      <c r="AG110" s="200">
        <f>O110-X110</f>
        <v/>
      </c>
      <c r="AH110" s="199">
        <f>P110-Y110</f>
        <v/>
      </c>
      <c r="AI110" s="201">
        <f>Q110-Z110</f>
        <v/>
      </c>
    </row>
    <row r="111">
      <c r="B111" t="inlineStr">
        <is>
          <t>BASEPRICE</t>
        </is>
      </c>
      <c r="C111" s="191" t="n">
        <v>46064</v>
      </c>
      <c r="D111" s="192" t="inlineStr">
        <is>
          <t>Single Borrower</t>
        </is>
      </c>
      <c r="E111" s="192" t="inlineStr">
        <is>
          <t>KNOCK 2025-1 A1</t>
        </is>
      </c>
      <c r="F111" s="192" t="inlineStr">
        <is>
          <t>49917PAA1</t>
        </is>
      </c>
      <c r="G111" s="193" t="n">
        <v>7.119</v>
      </c>
      <c r="H111" s="193" t="n">
        <v>101.452675</v>
      </c>
      <c r="I111" s="194" t="n">
        <v>6.205904684</v>
      </c>
      <c r="J111" s="195" t="n">
        <v>271.563362407</v>
      </c>
      <c r="K111" s="196" t="n">
        <v>1.538888889</v>
      </c>
      <c r="L111" s="196" t="n">
        <v>1.41892592679296</v>
      </c>
      <c r="M111" s="193" t="n">
        <v>1.41892592679296</v>
      </c>
      <c r="N111" s="193" t="n">
        <v>0</v>
      </c>
      <c r="O111" s="193" t="n">
        <v>0</v>
      </c>
      <c r="P111" s="202" t="n"/>
      <c r="Q111" s="193" t="n">
        <v>0</v>
      </c>
      <c r="R111" s="194" t="n">
        <v>6.205904684</v>
      </c>
      <c r="S111" s="195" t="n">
        <v>271.563362407</v>
      </c>
      <c r="T111" s="196" t="n">
        <v>1.538888889</v>
      </c>
      <c r="U111" s="196" t="n">
        <v>1.41892592679296</v>
      </c>
      <c r="V111" s="193" t="n">
        <v>1.41892592679296</v>
      </c>
      <c r="W111" s="193" t="n">
        <v>0</v>
      </c>
      <c r="X111" s="193" t="n">
        <v>0</v>
      </c>
      <c r="Y111" s="202" t="n"/>
      <c r="Z111" s="193" t="n">
        <v>0</v>
      </c>
      <c r="AA111" s="197">
        <f>I111-R111</f>
        <v/>
      </c>
      <c r="AB111" s="198">
        <f>J111-S111</f>
        <v/>
      </c>
      <c r="AC111" s="199">
        <f>K111-T111</f>
        <v/>
      </c>
      <c r="AD111" s="199">
        <f>L111-U111</f>
        <v/>
      </c>
      <c r="AE111" s="200">
        <f>M111-V111</f>
        <v/>
      </c>
      <c r="AF111" s="200">
        <f>N111-W111</f>
        <v/>
      </c>
      <c r="AG111" s="200">
        <f>O111-X111</f>
        <v/>
      </c>
      <c r="AH111" s="203">
        <f>P111-Y111</f>
        <v/>
      </c>
      <c r="AI111" s="201">
        <f>Q111-Z111</f>
        <v/>
      </c>
    </row>
    <row r="112">
      <c r="B112" t="inlineStr">
        <is>
          <t>BASEPRICE</t>
        </is>
      </c>
      <c r="C112" s="191" t="n">
        <v>46064</v>
      </c>
      <c r="D112" s="192" t="inlineStr">
        <is>
          <t>Single Borrower</t>
        </is>
      </c>
      <c r="E112" s="192" t="inlineStr">
        <is>
          <t>KNOCK 2025-1 A2</t>
        </is>
      </c>
      <c r="F112" s="192" t="inlineStr">
        <is>
          <t>49917PAB9</t>
        </is>
      </c>
      <c r="G112" s="193" t="n">
        <v>9.054</v>
      </c>
      <c r="H112" s="193" t="n">
        <v>100.726585</v>
      </c>
      <c r="I112" s="194" t="n">
        <v>8.701653407</v>
      </c>
      <c r="J112" s="195" t="n">
        <v>521.1057504410001</v>
      </c>
      <c r="K112" s="196" t="n">
        <v>1.538888889</v>
      </c>
      <c r="L112" s="196" t="n">
        <v>1.3826915942797</v>
      </c>
      <c r="M112" s="193" t="n">
        <v>1.3826915942797</v>
      </c>
      <c r="N112" s="193" t="n">
        <v>0</v>
      </c>
      <c r="O112" s="193" t="n">
        <v>0</v>
      </c>
      <c r="P112" s="202" t="n"/>
      <c r="Q112" s="193" t="n">
        <v>0</v>
      </c>
      <c r="R112" s="194" t="n">
        <v>8.701653407</v>
      </c>
      <c r="S112" s="195" t="n">
        <v>521.1057504410001</v>
      </c>
      <c r="T112" s="196" t="n">
        <v>1.538888889</v>
      </c>
      <c r="U112" s="196" t="n">
        <v>1.3826915942797</v>
      </c>
      <c r="V112" s="193" t="n">
        <v>1.3826915942797</v>
      </c>
      <c r="W112" s="193" t="n">
        <v>0</v>
      </c>
      <c r="X112" s="193" t="n">
        <v>0</v>
      </c>
      <c r="Y112" s="202" t="n"/>
      <c r="Z112" s="193" t="n">
        <v>0</v>
      </c>
      <c r="AA112" s="197">
        <f>I112-R112</f>
        <v/>
      </c>
      <c r="AB112" s="198">
        <f>J112-S112</f>
        <v/>
      </c>
      <c r="AC112" s="199">
        <f>K112-T112</f>
        <v/>
      </c>
      <c r="AD112" s="199">
        <f>L112-U112</f>
        <v/>
      </c>
      <c r="AE112" s="200">
        <f>M112-V112</f>
        <v/>
      </c>
      <c r="AF112" s="200">
        <f>N112-W112</f>
        <v/>
      </c>
      <c r="AG112" s="200">
        <f>O112-X112</f>
        <v/>
      </c>
      <c r="AH112" s="203">
        <f>P112-Y112</f>
        <v/>
      </c>
      <c r="AI112" s="201">
        <f>Q112-Z112</f>
        <v/>
      </c>
    </row>
    <row r="113">
      <c r="B113" t="inlineStr">
        <is>
          <t>BASEPRICE</t>
        </is>
      </c>
      <c r="C113" s="191" t="n">
        <v>46064</v>
      </c>
      <c r="D113" s="192" t="inlineStr">
        <is>
          <t>Single Borrower</t>
        </is>
      </c>
      <c r="E113" s="192" t="inlineStr">
        <is>
          <t>NLT 2025-CES1 B1</t>
        </is>
      </c>
      <c r="F113" s="192" t="inlineStr">
        <is>
          <t>629162AE8</t>
        </is>
      </c>
      <c r="G113" s="193" t="n">
        <v>6.564</v>
      </c>
      <c r="H113" s="193" t="n">
        <v>100.31922</v>
      </c>
      <c r="I113" s="194" t="n">
        <v>6.414015515</v>
      </c>
      <c r="J113" s="195" t="n">
        <v>279.807239357</v>
      </c>
      <c r="K113" s="196" t="n">
        <v>3.622222222</v>
      </c>
      <c r="L113" s="196" t="n">
        <v>3.14824175168029</v>
      </c>
      <c r="M113" s="193" t="n">
        <v>3.14824175168029</v>
      </c>
      <c r="N113" s="193" t="n">
        <v>0.408320755</v>
      </c>
      <c r="O113" s="193" t="n">
        <v>0.260414029</v>
      </c>
      <c r="P113" s="196" t="n">
        <v>63.7768288315396</v>
      </c>
      <c r="Q113" s="193" t="n">
        <v>0</v>
      </c>
      <c r="R113" s="194" t="n">
        <v>6.414015515</v>
      </c>
      <c r="S113" s="195" t="n">
        <v>279.807239357</v>
      </c>
      <c r="T113" s="196" t="n">
        <v>3.622222222</v>
      </c>
      <c r="U113" s="196" t="n">
        <v>3.14824175168029</v>
      </c>
      <c r="V113" s="193" t="n">
        <v>3.14824175168029</v>
      </c>
      <c r="W113" s="193" t="n">
        <v>0.408257017</v>
      </c>
      <c r="X113" s="193" t="n">
        <v>0.260350462</v>
      </c>
      <c r="Y113" s="196" t="n">
        <v>63.7712154742952</v>
      </c>
      <c r="Z113" s="193" t="n">
        <v>0</v>
      </c>
      <c r="AA113" s="197">
        <f>I113-R113</f>
        <v/>
      </c>
      <c r="AB113" s="198">
        <f>J113-S113</f>
        <v/>
      </c>
      <c r="AC113" s="199">
        <f>K113-T113</f>
        <v/>
      </c>
      <c r="AD113" s="199">
        <f>L113-U113</f>
        <v/>
      </c>
      <c r="AE113" s="200">
        <f>M113-V113</f>
        <v/>
      </c>
      <c r="AF113" s="200">
        <f>N113-W113</f>
        <v/>
      </c>
      <c r="AG113" s="200">
        <f>O113-X113</f>
        <v/>
      </c>
      <c r="AH113" s="199">
        <f>P113-Y113</f>
        <v/>
      </c>
      <c r="AI113" s="201">
        <f>Q113-Z113</f>
        <v/>
      </c>
    </row>
    <row r="114">
      <c r="B114" t="inlineStr">
        <is>
          <t>BASEPRICE</t>
        </is>
      </c>
      <c r="C114" s="191" t="n">
        <v>46064</v>
      </c>
      <c r="D114" s="192" t="inlineStr">
        <is>
          <t>Single Borrower</t>
        </is>
      </c>
      <c r="E114" s="192" t="inlineStr">
        <is>
          <t>RCKT 2025-CES3 B1</t>
        </is>
      </c>
      <c r="F114" s="192" t="inlineStr">
        <is>
          <t>749420AF2</t>
        </is>
      </c>
      <c r="G114" s="193" t="n">
        <v>6.732</v>
      </c>
      <c r="H114" s="193" t="n">
        <v>101.2649</v>
      </c>
      <c r="I114" s="194" t="n">
        <v>5.974934656</v>
      </c>
      <c r="J114" s="195" t="n">
        <v>245.096579112</v>
      </c>
      <c r="K114" s="196" t="n">
        <v>2.205555556</v>
      </c>
      <c r="L114" s="196" t="n">
        <v>2.00645787533489</v>
      </c>
      <c r="M114" s="193" t="n">
        <v>2.00645787533489</v>
      </c>
      <c r="N114" s="193" t="n">
        <v>0.460903819</v>
      </c>
      <c r="O114" s="193" t="n">
        <v>0.32192087</v>
      </c>
      <c r="P114" s="196" t="n">
        <v>69.84556359252041</v>
      </c>
      <c r="Q114" s="193" t="n">
        <v>0</v>
      </c>
      <c r="R114" s="194" t="n">
        <v>5.974934656</v>
      </c>
      <c r="S114" s="195" t="n">
        <v>245.096579112</v>
      </c>
      <c r="T114" s="196" t="n">
        <v>2.205555556</v>
      </c>
      <c r="U114" s="196" t="n">
        <v>2.00645787533489</v>
      </c>
      <c r="V114" s="193" t="n">
        <v>2.00645787533489</v>
      </c>
      <c r="W114" s="193" t="n">
        <v>0.460850177</v>
      </c>
      <c r="X114" s="193" t="n">
        <v>0.321868017</v>
      </c>
      <c r="Y114" s="196" t="n">
        <v>69.84222488429251</v>
      </c>
      <c r="Z114" s="193" t="n">
        <v>0</v>
      </c>
      <c r="AA114" s="197">
        <f>I114-R114</f>
        <v/>
      </c>
      <c r="AB114" s="198">
        <f>J114-S114</f>
        <v/>
      </c>
      <c r="AC114" s="199">
        <f>K114-T114</f>
        <v/>
      </c>
      <c r="AD114" s="199">
        <f>L114-U114</f>
        <v/>
      </c>
      <c r="AE114" s="200">
        <f>M114-V114</f>
        <v/>
      </c>
      <c r="AF114" s="200">
        <f>N114-W114</f>
        <v/>
      </c>
      <c r="AG114" s="200">
        <f>O114-X114</f>
        <v/>
      </c>
      <c r="AH114" s="199">
        <f>P114-Y114</f>
        <v/>
      </c>
      <c r="AI114" s="201">
        <f>Q114-Z114</f>
        <v/>
      </c>
    </row>
    <row r="115">
      <c r="B115" t="inlineStr">
        <is>
          <t>BASEPRICE</t>
        </is>
      </c>
      <c r="C115" s="191" t="n">
        <v>46064</v>
      </c>
      <c r="D115" s="192" t="inlineStr">
        <is>
          <t>Single Borrower</t>
        </is>
      </c>
      <c r="E115" s="192" t="inlineStr">
        <is>
          <t>RCKT 2025-CES7 B1</t>
        </is>
      </c>
      <c r="F115" s="192" t="inlineStr">
        <is>
          <t>74943AAJ1</t>
        </is>
      </c>
      <c r="G115" s="193" t="n">
        <v>6.97</v>
      </c>
      <c r="H115" s="193" t="n">
        <v>101.55336</v>
      </c>
      <c r="I115" s="194" t="n">
        <v>6.188631328</v>
      </c>
      <c r="J115" s="195" t="n">
        <v>264.699886045</v>
      </c>
      <c r="K115" s="196" t="n">
        <v>2.538888889</v>
      </c>
      <c r="L115" s="196" t="n">
        <v>2.27694141483846</v>
      </c>
      <c r="M115" s="193" t="n">
        <v>2.27694141483846</v>
      </c>
      <c r="N115" s="193" t="n">
        <v>0.379044008</v>
      </c>
      <c r="O115" s="193" t="n">
        <v>0.263585653</v>
      </c>
      <c r="P115" s="196" t="n">
        <v>69.53959103345061</v>
      </c>
      <c r="Q115" s="193" t="n">
        <v>0</v>
      </c>
      <c r="R115" s="194" t="n">
        <v>6.188631328</v>
      </c>
      <c r="S115" s="195" t="n">
        <v>264.699886045</v>
      </c>
      <c r="T115" s="196" t="n">
        <v>2.538888889</v>
      </c>
      <c r="U115" s="196" t="n">
        <v>2.27694141483846</v>
      </c>
      <c r="V115" s="193" t="n">
        <v>2.27694141483846</v>
      </c>
      <c r="W115" s="193" t="n">
        <v>0.379042803</v>
      </c>
      <c r="X115" s="193" t="n">
        <v>0.263585243</v>
      </c>
      <c r="Y115" s="196" t="n">
        <v>69.53970393681369</v>
      </c>
      <c r="Z115" s="193" t="n">
        <v>0</v>
      </c>
      <c r="AA115" s="197">
        <f>I115-R115</f>
        <v/>
      </c>
      <c r="AB115" s="198">
        <f>J115-S115</f>
        <v/>
      </c>
      <c r="AC115" s="199">
        <f>K115-T115</f>
        <v/>
      </c>
      <c r="AD115" s="199">
        <f>L115-U115</f>
        <v/>
      </c>
      <c r="AE115" s="200">
        <f>M115-V115</f>
        <v/>
      </c>
      <c r="AF115" s="200">
        <f>N115-W115</f>
        <v/>
      </c>
      <c r="AG115" s="200">
        <f>O115-X115</f>
        <v/>
      </c>
      <c r="AH115" s="199">
        <f>P115-Y115</f>
        <v/>
      </c>
      <c r="AI115" s="201">
        <f>Q115-Z115</f>
        <v/>
      </c>
    </row>
    <row r="116">
      <c r="B116" t="inlineStr">
        <is>
          <t>BASEPRICE</t>
        </is>
      </c>
      <c r="C116" s="191" t="n">
        <v>46064</v>
      </c>
      <c r="D116" s="192" t="inlineStr">
        <is>
          <t>Single Borrower</t>
        </is>
      </c>
      <c r="E116" s="192" t="inlineStr">
        <is>
          <t>SAIF 2024-CES1 B1</t>
        </is>
      </c>
      <c r="F116" s="192" t="inlineStr">
        <is>
          <t>78436VAE1</t>
        </is>
      </c>
      <c r="G116" s="193" t="n">
        <v>8.372</v>
      </c>
      <c r="H116" s="193" t="n">
        <v>102.84827</v>
      </c>
      <c r="I116" s="194" t="n">
        <v>6.240513278</v>
      </c>
      <c r="J116" s="195" t="n">
        <v>274.603515998</v>
      </c>
      <c r="K116" s="196" t="n">
        <v>1.622222222</v>
      </c>
      <c r="L116" s="196" t="n">
        <v>1.48634896921456</v>
      </c>
      <c r="M116" s="193" t="n">
        <v>1.48634896921456</v>
      </c>
      <c r="N116" s="193" t="n">
        <v>2.723917457</v>
      </c>
      <c r="O116" s="193" t="n">
        <v>2.436409292</v>
      </c>
      <c r="P116" s="196" t="n">
        <v>89.4450485545678</v>
      </c>
      <c r="Q116" s="193" t="n">
        <v>0</v>
      </c>
      <c r="R116" s="194" t="n">
        <v>6.240513278</v>
      </c>
      <c r="S116" s="195" t="n">
        <v>274.603515998</v>
      </c>
      <c r="T116" s="196" t="n">
        <v>1.622222222</v>
      </c>
      <c r="U116" s="196" t="n">
        <v>1.48634896921456</v>
      </c>
      <c r="V116" s="193" t="n">
        <v>1.48634896921456</v>
      </c>
      <c r="W116" s="193" t="n">
        <v>2.723587426</v>
      </c>
      <c r="X116" s="193" t="n">
        <v>2.436078334</v>
      </c>
      <c r="Y116" s="196" t="n">
        <v>89.4437355211964</v>
      </c>
      <c r="Z116" s="193" t="n">
        <v>0</v>
      </c>
      <c r="AA116" s="197">
        <f>I116-R116</f>
        <v/>
      </c>
      <c r="AB116" s="198">
        <f>J116-S116</f>
        <v/>
      </c>
      <c r="AC116" s="199">
        <f>K116-T116</f>
        <v/>
      </c>
      <c r="AD116" s="199">
        <f>L116-U116</f>
        <v/>
      </c>
      <c r="AE116" s="200">
        <f>M116-V116</f>
        <v/>
      </c>
      <c r="AF116" s="200">
        <f>N116-W116</f>
        <v/>
      </c>
      <c r="AG116" s="200">
        <f>O116-X116</f>
        <v/>
      </c>
      <c r="AH116" s="199">
        <f>P116-Y116</f>
        <v/>
      </c>
      <c r="AI116" s="201">
        <f>Q116-Z116</f>
        <v/>
      </c>
    </row>
    <row r="117">
      <c r="B117" t="inlineStr">
        <is>
          <t>BASEPRICE</t>
        </is>
      </c>
      <c r="C117" s="191" t="n">
        <v>46064</v>
      </c>
      <c r="D117" s="192" t="inlineStr">
        <is>
          <t>Single Borrower</t>
        </is>
      </c>
      <c r="E117" s="192" t="inlineStr">
        <is>
          <t>SAIF 2025-CES1 B1</t>
        </is>
      </c>
      <c r="F117" s="192" t="inlineStr">
        <is>
          <t>78438CAE1</t>
        </is>
      </c>
      <c r="G117" s="193" t="n">
        <v>7.234</v>
      </c>
      <c r="H117" s="193" t="n">
        <v>100.874445</v>
      </c>
      <c r="I117" s="194" t="n">
        <v>6.762444267</v>
      </c>
      <c r="J117" s="195" t="n">
        <v>321.652446134</v>
      </c>
      <c r="K117" s="196" t="n">
        <v>2.622222222</v>
      </c>
      <c r="L117" s="196" t="n">
        <v>2.33079607625102</v>
      </c>
      <c r="M117" s="193" t="n">
        <v>2.33079607625102</v>
      </c>
      <c r="N117" s="193" t="n">
        <v>0</v>
      </c>
      <c r="O117" s="193" t="n">
        <v>-0.001600297</v>
      </c>
      <c r="P117" s="202" t="n"/>
      <c r="Q117" s="193" t="n">
        <v>0</v>
      </c>
      <c r="R117" s="194" t="n">
        <v>6.762444267</v>
      </c>
      <c r="S117" s="195" t="n">
        <v>321.652446134</v>
      </c>
      <c r="T117" s="196" t="n">
        <v>2.622222222</v>
      </c>
      <c r="U117" s="196" t="n">
        <v>2.33079607625102</v>
      </c>
      <c r="V117" s="193" t="n">
        <v>2.33079607625102</v>
      </c>
      <c r="W117" s="193" t="n">
        <v>0</v>
      </c>
      <c r="X117" s="193" t="n">
        <v>-0.001600297</v>
      </c>
      <c r="Y117" s="202" t="n"/>
      <c r="Z117" s="193" t="n">
        <v>0</v>
      </c>
      <c r="AA117" s="197">
        <f>I117-R117</f>
        <v/>
      </c>
      <c r="AB117" s="198">
        <f>J117-S117</f>
        <v/>
      </c>
      <c r="AC117" s="199">
        <f>K117-T117</f>
        <v/>
      </c>
      <c r="AD117" s="199">
        <f>L117-U117</f>
        <v/>
      </c>
      <c r="AE117" s="200">
        <f>M117-V117</f>
        <v/>
      </c>
      <c r="AF117" s="200">
        <f>N117-W117</f>
        <v/>
      </c>
      <c r="AG117" s="200">
        <f>O117-X117</f>
        <v/>
      </c>
      <c r="AH117" s="203">
        <f>P117-Y117</f>
        <v/>
      </c>
      <c r="AI117" s="201">
        <f>Q117-Z117</f>
        <v/>
      </c>
    </row>
    <row r="118">
      <c r="B118" t="inlineStr">
        <is>
          <t>BASEPRICE</t>
        </is>
      </c>
      <c r="C118" s="191" t="n">
        <v>46064</v>
      </c>
      <c r="D118" s="192" t="inlineStr">
        <is>
          <t>Single Borrower</t>
        </is>
      </c>
      <c r="E118" s="192" t="inlineStr">
        <is>
          <t>SAIF 2025-CES1 B2</t>
        </is>
      </c>
      <c r="F118" s="192" t="inlineStr">
        <is>
          <t>78438CAF8</t>
        </is>
      </c>
      <c r="G118" s="193" t="n">
        <v>8.225</v>
      </c>
      <c r="H118" s="193" t="n">
        <v>100.572715</v>
      </c>
      <c r="I118" s="194" t="n">
        <v>7.878094662</v>
      </c>
      <c r="J118" s="195" t="n">
        <v>433.256295615</v>
      </c>
      <c r="K118" s="196" t="n">
        <v>2.622222222</v>
      </c>
      <c r="L118" s="196" t="n">
        <v>2.2918626030927</v>
      </c>
      <c r="M118" s="193" t="n">
        <v>2.2918626030927</v>
      </c>
      <c r="N118" s="193" t="n">
        <v>0</v>
      </c>
      <c r="O118" s="193" t="n">
        <v>-0.001600297</v>
      </c>
      <c r="P118" s="202" t="n"/>
      <c r="Q118" s="193" t="n">
        <v>0</v>
      </c>
      <c r="R118" s="194" t="n">
        <v>7.878094662</v>
      </c>
      <c r="S118" s="195" t="n">
        <v>433.256295615</v>
      </c>
      <c r="T118" s="196" t="n">
        <v>2.622222222</v>
      </c>
      <c r="U118" s="196" t="n">
        <v>2.2918626030927</v>
      </c>
      <c r="V118" s="193" t="n">
        <v>2.2918626030927</v>
      </c>
      <c r="W118" s="193" t="n">
        <v>0</v>
      </c>
      <c r="X118" s="193" t="n">
        <v>-0.001600297</v>
      </c>
      <c r="Y118" s="202" t="n"/>
      <c r="Z118" s="193" t="n">
        <v>0</v>
      </c>
      <c r="AA118" s="197">
        <f>I118-R118</f>
        <v/>
      </c>
      <c r="AB118" s="198">
        <f>J118-S118</f>
        <v/>
      </c>
      <c r="AC118" s="199">
        <f>K118-T118</f>
        <v/>
      </c>
      <c r="AD118" s="199">
        <f>L118-U118</f>
        <v/>
      </c>
      <c r="AE118" s="200">
        <f>M118-V118</f>
        <v/>
      </c>
      <c r="AF118" s="200">
        <f>N118-W118</f>
        <v/>
      </c>
      <c r="AG118" s="200">
        <f>O118-X118</f>
        <v/>
      </c>
      <c r="AH118" s="203">
        <f>P118-Y118</f>
        <v/>
      </c>
      <c r="AI118" s="201">
        <f>Q118-Z118</f>
        <v/>
      </c>
    </row>
    <row r="119">
      <c r="B119" t="inlineStr">
        <is>
          <t>BASEPRICE</t>
        </is>
      </c>
      <c r="C119" s="191" t="n">
        <v>46064</v>
      </c>
      <c r="D119" s="192" t="inlineStr">
        <is>
          <t>Single Borrower</t>
        </is>
      </c>
      <c r="E119" s="192" t="inlineStr">
        <is>
          <t>VSTA 2024-CES1 B1</t>
        </is>
      </c>
      <c r="F119" s="192" t="inlineStr">
        <is>
          <t>92839HAE6</t>
        </is>
      </c>
      <c r="G119" s="193" t="n">
        <v>8.867000000000001</v>
      </c>
      <c r="H119" s="193" t="n">
        <v>102.684785</v>
      </c>
      <c r="I119" s="194" t="n">
        <v>6.297706964</v>
      </c>
      <c r="J119" s="195" t="n">
        <v>281.934510461</v>
      </c>
      <c r="K119" s="196" t="n">
        <v>1.288888889</v>
      </c>
      <c r="L119" s="196" t="n">
        <v>1.1933333687167</v>
      </c>
      <c r="M119" s="193" t="n">
        <v>1.1933333687167</v>
      </c>
      <c r="N119" s="193" t="n">
        <v>5.308707334</v>
      </c>
      <c r="O119" s="193" t="n">
        <v>4.443277362</v>
      </c>
      <c r="P119" s="196" t="n">
        <v>83.69791518817981</v>
      </c>
      <c r="Q119" s="193" t="n">
        <v>0</v>
      </c>
      <c r="R119" s="194" t="n">
        <v>6.297706964</v>
      </c>
      <c r="S119" s="195" t="n">
        <v>281.934510461</v>
      </c>
      <c r="T119" s="196" t="n">
        <v>1.288888889</v>
      </c>
      <c r="U119" s="196" t="n">
        <v>1.1933333687167</v>
      </c>
      <c r="V119" s="193" t="n">
        <v>1.1933333687167</v>
      </c>
      <c r="W119" s="193" t="n">
        <v>5.308620654</v>
      </c>
      <c r="X119" s="193" t="n">
        <v>4.443213219</v>
      </c>
      <c r="Y119" s="196" t="n">
        <v>83.69807354104459</v>
      </c>
      <c r="Z119" s="193" t="n">
        <v>0</v>
      </c>
      <c r="AA119" s="197">
        <f>I119-R119</f>
        <v/>
      </c>
      <c r="AB119" s="198">
        <f>J119-S119</f>
        <v/>
      </c>
      <c r="AC119" s="199">
        <f>K119-T119</f>
        <v/>
      </c>
      <c r="AD119" s="199">
        <f>L119-U119</f>
        <v/>
      </c>
      <c r="AE119" s="200">
        <f>M119-V119</f>
        <v/>
      </c>
      <c r="AF119" s="200">
        <f>N119-W119</f>
        <v/>
      </c>
      <c r="AG119" s="200">
        <f>O119-X119</f>
        <v/>
      </c>
      <c r="AH119" s="199">
        <f>P119-Y119</f>
        <v/>
      </c>
      <c r="AI119" s="201">
        <f>Q119-Z119</f>
        <v/>
      </c>
    </row>
    <row r="120">
      <c r="B120" t="inlineStr">
        <is>
          <t>BASEPRICE</t>
        </is>
      </c>
      <c r="C120" s="191" t="n">
        <v>46064</v>
      </c>
      <c r="D120" s="192" t="inlineStr">
        <is>
          <t>Single Borrower</t>
        </is>
      </c>
      <c r="E120" s="192" t="inlineStr">
        <is>
          <t>VSTA 2024-CES1 M1</t>
        </is>
      </c>
      <c r="F120" s="192" t="inlineStr">
        <is>
          <t>92839HAD8</t>
        </is>
      </c>
      <c r="G120" s="193" t="n">
        <v>7.482</v>
      </c>
      <c r="H120" s="193" t="n">
        <v>102.16857</v>
      </c>
      <c r="I120" s="194" t="n">
        <v>5.396349048</v>
      </c>
      <c r="J120" s="195" t="n">
        <v>191.836498687</v>
      </c>
      <c r="K120" s="196" t="n">
        <v>1.288888889</v>
      </c>
      <c r="L120" s="196" t="n">
        <v>1.20693917317233</v>
      </c>
      <c r="M120" s="193" t="n">
        <v>1.20693917317233</v>
      </c>
      <c r="N120" s="193" t="n">
        <v>5.308707334</v>
      </c>
      <c r="O120" s="193" t="n">
        <v>4.443277362</v>
      </c>
      <c r="P120" s="196" t="n">
        <v>83.69791518817981</v>
      </c>
      <c r="Q120" s="193" t="n">
        <v>0</v>
      </c>
      <c r="R120" s="194" t="n">
        <v>5.396349048</v>
      </c>
      <c r="S120" s="195" t="n">
        <v>191.836498687</v>
      </c>
      <c r="T120" s="196" t="n">
        <v>1.288888889</v>
      </c>
      <c r="U120" s="196" t="n">
        <v>1.20693917317233</v>
      </c>
      <c r="V120" s="193" t="n">
        <v>1.20693917317233</v>
      </c>
      <c r="W120" s="193" t="n">
        <v>5.308620654</v>
      </c>
      <c r="X120" s="193" t="n">
        <v>4.443213219</v>
      </c>
      <c r="Y120" s="196" t="n">
        <v>83.69807354104459</v>
      </c>
      <c r="Z120" s="193" t="n">
        <v>0</v>
      </c>
      <c r="AA120" s="197">
        <f>I120-R120</f>
        <v/>
      </c>
      <c r="AB120" s="198">
        <f>J120-S120</f>
        <v/>
      </c>
      <c r="AC120" s="199">
        <f>K120-T120</f>
        <v/>
      </c>
      <c r="AD120" s="199">
        <f>L120-U120</f>
        <v/>
      </c>
      <c r="AE120" s="200">
        <f>M120-V120</f>
        <v/>
      </c>
      <c r="AF120" s="200">
        <f>N120-W120</f>
        <v/>
      </c>
      <c r="AG120" s="200">
        <f>O120-X120</f>
        <v/>
      </c>
      <c r="AH120" s="199">
        <f>P120-Y120</f>
        <v/>
      </c>
      <c r="AI120" s="201">
        <f>Q120-Z120</f>
        <v/>
      </c>
    </row>
    <row r="121">
      <c r="B121" t="inlineStr">
        <is>
          <t>BASEPRICE</t>
        </is>
      </c>
      <c r="C121" s="191" t="n">
        <v>46064</v>
      </c>
      <c r="D121" s="192" t="inlineStr">
        <is>
          <t>Single Borrower</t>
        </is>
      </c>
      <c r="E121" s="192" t="inlineStr">
        <is>
          <t>VSTA 2024-CES2 B1</t>
        </is>
      </c>
      <c r="F121" s="192" t="inlineStr">
        <is>
          <t>92841YAE5</t>
        </is>
      </c>
      <c r="G121" s="193" t="n">
        <v>7.498</v>
      </c>
      <c r="H121" s="193" t="n">
        <v>101.35576</v>
      </c>
      <c r="I121" s="194" t="n">
        <v>6.375546038</v>
      </c>
      <c r="J121" s="195" t="n">
        <v>288.115535578</v>
      </c>
      <c r="K121" s="196" t="n">
        <v>1.622222222</v>
      </c>
      <c r="L121" s="196" t="n">
        <v>1.49335301417502</v>
      </c>
      <c r="M121" s="193" t="n">
        <v>1.49335301417502</v>
      </c>
      <c r="N121" s="193" t="n">
        <v>2.663432719</v>
      </c>
      <c r="O121" s="193" t="n">
        <v>2.127782339</v>
      </c>
      <c r="P121" s="196" t="n">
        <v>79.8887211913086</v>
      </c>
      <c r="Q121" s="193" t="n">
        <v>0</v>
      </c>
      <c r="R121" s="194" t="n">
        <v>6.375546038</v>
      </c>
      <c r="S121" s="195" t="n">
        <v>288.115535578</v>
      </c>
      <c r="T121" s="196" t="n">
        <v>1.622222222</v>
      </c>
      <c r="U121" s="196" t="n">
        <v>1.49335301417502</v>
      </c>
      <c r="V121" s="193" t="n">
        <v>1.49335301417502</v>
      </c>
      <c r="W121" s="193" t="n">
        <v>2.663355671</v>
      </c>
      <c r="X121" s="193" t="n">
        <v>2.127735063</v>
      </c>
      <c r="Y121" s="196" t="n">
        <v>79.88925723169029</v>
      </c>
      <c r="Z121" s="193" t="n">
        <v>0</v>
      </c>
      <c r="AA121" s="197">
        <f>I121-R121</f>
        <v/>
      </c>
      <c r="AB121" s="198">
        <f>J121-S121</f>
        <v/>
      </c>
      <c r="AC121" s="199">
        <f>K121-T121</f>
        <v/>
      </c>
      <c r="AD121" s="199">
        <f>L121-U121</f>
        <v/>
      </c>
      <c r="AE121" s="200">
        <f>M121-V121</f>
        <v/>
      </c>
      <c r="AF121" s="200">
        <f>N121-W121</f>
        <v/>
      </c>
      <c r="AG121" s="200">
        <f>O121-X121</f>
        <v/>
      </c>
      <c r="AH121" s="199">
        <f>P121-Y121</f>
        <v/>
      </c>
      <c r="AI121" s="201">
        <f>Q121-Z121</f>
        <v/>
      </c>
    </row>
    <row r="122">
      <c r="B122" t="inlineStr">
        <is>
          <t>BASEPRICE</t>
        </is>
      </c>
      <c r="C122" s="191" t="n">
        <v>46064</v>
      </c>
      <c r="D122" s="192" t="inlineStr">
        <is>
          <t>Single Borrower</t>
        </is>
      </c>
      <c r="E122" s="192" t="inlineStr">
        <is>
          <t>VSTA 2024-CES2 B2</t>
        </is>
      </c>
      <c r="F122" s="192" t="inlineStr">
        <is>
          <t>92841YAF2</t>
        </is>
      </c>
      <c r="G122" s="193" t="n">
        <v>9.375999999999999</v>
      </c>
      <c r="H122" s="193" t="n">
        <v>103.029085</v>
      </c>
      <c r="I122" s="194" t="n">
        <v>7.090346119</v>
      </c>
      <c r="J122" s="195" t="n">
        <v>359.575224799</v>
      </c>
      <c r="K122" s="196" t="n">
        <v>1.622222222</v>
      </c>
      <c r="L122" s="196" t="n">
        <v>1.47053352749856</v>
      </c>
      <c r="M122" s="193" t="n">
        <v>1.47053352749856</v>
      </c>
      <c r="N122" s="193" t="n">
        <v>2.663432719</v>
      </c>
      <c r="O122" s="193" t="n">
        <v>2.127782339</v>
      </c>
      <c r="P122" s="196" t="n">
        <v>79.8887211913086</v>
      </c>
      <c r="Q122" s="193" t="n">
        <v>0</v>
      </c>
      <c r="R122" s="194" t="n">
        <v>7.090346119</v>
      </c>
      <c r="S122" s="195" t="n">
        <v>359.575224799</v>
      </c>
      <c r="T122" s="196" t="n">
        <v>1.622222222</v>
      </c>
      <c r="U122" s="196" t="n">
        <v>1.47053352749856</v>
      </c>
      <c r="V122" s="193" t="n">
        <v>1.47053352749856</v>
      </c>
      <c r="W122" s="193" t="n">
        <v>2.663355671</v>
      </c>
      <c r="X122" s="193" t="n">
        <v>2.127735063</v>
      </c>
      <c r="Y122" s="196" t="n">
        <v>79.88925723169029</v>
      </c>
      <c r="Z122" s="193" t="n">
        <v>0</v>
      </c>
      <c r="AA122" s="197">
        <f>I122-R122</f>
        <v/>
      </c>
      <c r="AB122" s="198">
        <f>J122-S122</f>
        <v/>
      </c>
      <c r="AC122" s="199">
        <f>K122-T122</f>
        <v/>
      </c>
      <c r="AD122" s="199">
        <f>L122-U122</f>
        <v/>
      </c>
      <c r="AE122" s="200">
        <f>M122-V122</f>
        <v/>
      </c>
      <c r="AF122" s="200">
        <f>N122-W122</f>
        <v/>
      </c>
      <c r="AG122" s="200">
        <f>O122-X122</f>
        <v/>
      </c>
      <c r="AH122" s="199">
        <f>P122-Y122</f>
        <v/>
      </c>
      <c r="AI122" s="201">
        <f>Q122-Z122</f>
        <v/>
      </c>
    </row>
    <row r="123">
      <c r="B123" t="inlineStr">
        <is>
          <t>BASEPRICE</t>
        </is>
      </c>
      <c r="C123" s="191" t="n">
        <v>46064</v>
      </c>
      <c r="D123" s="192" t="inlineStr">
        <is>
          <t>Single Borrower</t>
        </is>
      </c>
      <c r="E123" s="192" t="inlineStr">
        <is>
          <t>VSTA 2024-CES3 B2</t>
        </is>
      </c>
      <c r="F123" s="192" t="inlineStr">
        <is>
          <t>92841WAF6</t>
        </is>
      </c>
      <c r="G123" s="193" t="n">
        <v>9.504801</v>
      </c>
      <c r="H123" s="193" t="n">
        <v>102.93444</v>
      </c>
      <c r="I123" s="194" t="n">
        <v>7.57203377</v>
      </c>
      <c r="J123" s="195" t="n">
        <v>406.535705422</v>
      </c>
      <c r="K123" s="196" t="n">
        <v>1.872222222</v>
      </c>
      <c r="L123" s="196" t="n">
        <v>1.67204422834573</v>
      </c>
      <c r="M123" s="193" t="n">
        <v>1.67282709266208</v>
      </c>
      <c r="N123" s="193" t="n">
        <v>2.733032953</v>
      </c>
      <c r="O123" s="193" t="n">
        <v>2.169372233</v>
      </c>
      <c r="P123" s="196" t="n">
        <v>79.375999861938</v>
      </c>
      <c r="Q123" s="193" t="n">
        <v>0</v>
      </c>
      <c r="R123" s="194" t="n">
        <v>7.572033963</v>
      </c>
      <c r="S123" s="195" t="n">
        <v>406.535724788</v>
      </c>
      <c r="T123" s="196" t="n">
        <v>1.872222222</v>
      </c>
      <c r="U123" s="196" t="n">
        <v>1.67204429829315</v>
      </c>
      <c r="V123" s="193" t="n">
        <v>1.67282708974761</v>
      </c>
      <c r="W123" s="193" t="n">
        <v>2.73293645</v>
      </c>
      <c r="X123" s="193" t="n">
        <v>2.169329621</v>
      </c>
      <c r="Y123" s="196" t="n">
        <v>79.37724351402321</v>
      </c>
      <c r="Z123" s="193" t="n">
        <v>0</v>
      </c>
      <c r="AA123" s="197">
        <f>I123-R123</f>
        <v/>
      </c>
      <c r="AB123" s="198">
        <f>J123-S123</f>
        <v/>
      </c>
      <c r="AC123" s="199">
        <f>K123-T123</f>
        <v/>
      </c>
      <c r="AD123" s="199">
        <f>L123-U123</f>
        <v/>
      </c>
      <c r="AE123" s="200">
        <f>M123-V123</f>
        <v/>
      </c>
      <c r="AF123" s="200">
        <f>N123-W123</f>
        <v/>
      </c>
      <c r="AG123" s="200">
        <f>O123-X123</f>
        <v/>
      </c>
      <c r="AH123" s="199">
        <f>P123-Y123</f>
        <v/>
      </c>
      <c r="AI123" s="201">
        <f>Q123-Z123</f>
        <v/>
      </c>
    </row>
    <row r="124">
      <c r="B124" t="inlineStr">
        <is>
          <t>BASEPRICE</t>
        </is>
      </c>
      <c r="C124" s="191" t="n">
        <v>46064</v>
      </c>
      <c r="D124" s="192" t="inlineStr">
        <is>
          <t>Single Borrower</t>
        </is>
      </c>
      <c r="E124" s="192" t="inlineStr">
        <is>
          <t>VSTA 2024-CES3 M1</t>
        </is>
      </c>
      <c r="F124" s="192" t="inlineStr">
        <is>
          <t>92841WAD1</t>
        </is>
      </c>
      <c r="G124" s="193" t="n">
        <v>6.592</v>
      </c>
      <c r="H124" s="193" t="n">
        <v>101.45338</v>
      </c>
      <c r="I124" s="194" t="n">
        <v>5.589954244</v>
      </c>
      <c r="J124" s="195" t="n">
        <v>208.327488798</v>
      </c>
      <c r="K124" s="196" t="n">
        <v>1.872222222</v>
      </c>
      <c r="L124" s="196" t="n">
        <v>1.72695789336935</v>
      </c>
      <c r="M124" s="193" t="n">
        <v>1.72695789336935</v>
      </c>
      <c r="N124" s="193" t="n">
        <v>2.733032953</v>
      </c>
      <c r="O124" s="193" t="n">
        <v>2.169372233</v>
      </c>
      <c r="P124" s="196" t="n">
        <v>79.375999861938</v>
      </c>
      <c r="Q124" s="193" t="n">
        <v>0</v>
      </c>
      <c r="R124" s="194" t="n">
        <v>5.589954244</v>
      </c>
      <c r="S124" s="195" t="n">
        <v>208.327488798</v>
      </c>
      <c r="T124" s="196" t="n">
        <v>1.872222222</v>
      </c>
      <c r="U124" s="196" t="n">
        <v>1.72695789336935</v>
      </c>
      <c r="V124" s="193" t="n">
        <v>1.72695789336935</v>
      </c>
      <c r="W124" s="193" t="n">
        <v>2.73293645</v>
      </c>
      <c r="X124" s="193" t="n">
        <v>2.169329621</v>
      </c>
      <c r="Y124" s="196" t="n">
        <v>79.37724351402321</v>
      </c>
      <c r="Z124" s="193" t="n">
        <v>0</v>
      </c>
      <c r="AA124" s="197">
        <f>I124-R124</f>
        <v/>
      </c>
      <c r="AB124" s="198">
        <f>J124-S124</f>
        <v/>
      </c>
      <c r="AC124" s="199">
        <f>K124-T124</f>
        <v/>
      </c>
      <c r="AD124" s="199">
        <f>L124-U124</f>
        <v/>
      </c>
      <c r="AE124" s="200">
        <f>M124-V124</f>
        <v/>
      </c>
      <c r="AF124" s="200">
        <f>N124-W124</f>
        <v/>
      </c>
      <c r="AG124" s="200">
        <f>O124-X124</f>
        <v/>
      </c>
      <c r="AH124" s="199">
        <f>P124-Y124</f>
        <v/>
      </c>
      <c r="AI124" s="201">
        <f>Q124-Z124</f>
        <v/>
      </c>
    </row>
    <row r="125">
      <c r="B125" t="inlineStr">
        <is>
          <t>BASEPRICE</t>
        </is>
      </c>
      <c r="C125" s="204" t="n">
        <v>46064</v>
      </c>
      <c r="D125" s="205" t="inlineStr">
        <is>
          <t>Single Borrower</t>
        </is>
      </c>
      <c r="E125" s="205" t="inlineStr">
        <is>
          <t>VSTA 2025-CES1 B1</t>
        </is>
      </c>
      <c r="F125" s="205" t="inlineStr">
        <is>
          <t>92842DAE0</t>
        </is>
      </c>
      <c r="G125" s="206" t="n">
        <v>7.621</v>
      </c>
      <c r="H125" s="206" t="n">
        <v>101.438245</v>
      </c>
      <c r="I125" s="207" t="n">
        <v>6.7282923</v>
      </c>
      <c r="J125" s="208" t="n">
        <v>320.886651872</v>
      </c>
      <c r="K125" s="209" t="n">
        <v>2.122222222</v>
      </c>
      <c r="L125" s="209" t="n">
        <v>1.91343733421256</v>
      </c>
      <c r="M125" s="206" t="n">
        <v>1.91343733421256</v>
      </c>
      <c r="N125" s="206" t="n">
        <v>1.849202832</v>
      </c>
      <c r="O125" s="206" t="n">
        <v>1.471190582</v>
      </c>
      <c r="P125" s="209" t="n">
        <v>79.55809695623481</v>
      </c>
      <c r="Q125" s="206" t="n">
        <v>0</v>
      </c>
      <c r="R125" s="207" t="n">
        <v>6.7282923</v>
      </c>
      <c r="S125" s="208" t="n">
        <v>320.886651872</v>
      </c>
      <c r="T125" s="209" t="n">
        <v>2.122222222</v>
      </c>
      <c r="U125" s="209" t="n">
        <v>1.91343733421256</v>
      </c>
      <c r="V125" s="206" t="n">
        <v>1.91343733421256</v>
      </c>
      <c r="W125" s="206" t="n">
        <v>1.849169733</v>
      </c>
      <c r="X125" s="206" t="n">
        <v>1.471155915</v>
      </c>
      <c r="Y125" s="209" t="n">
        <v>79.5576462639409</v>
      </c>
      <c r="Z125" s="206" t="n">
        <v>0</v>
      </c>
      <c r="AA125" s="210">
        <f>I125-R125</f>
        <v/>
      </c>
      <c r="AB125" s="211">
        <f>J125-S125</f>
        <v/>
      </c>
      <c r="AC125" s="212">
        <f>K125-T125</f>
        <v/>
      </c>
      <c r="AD125" s="212">
        <f>L125-U125</f>
        <v/>
      </c>
      <c r="AE125" s="213">
        <f>M125-V125</f>
        <v/>
      </c>
      <c r="AF125" s="213">
        <f>N125-W125</f>
        <v/>
      </c>
      <c r="AG125" s="213">
        <f>O125-X125</f>
        <v/>
      </c>
      <c r="AH125" s="212">
        <f>P125-Y125</f>
        <v/>
      </c>
      <c r="AI125" s="214">
        <f>Q125-Z125</f>
        <v/>
      </c>
    </row>
  </sheetData>
  <mergeCells count="4">
    <mergeCell ref="R2:Z2"/>
    <mergeCell ref="C2:H2"/>
    <mergeCell ref="AA2:AI2"/>
    <mergeCell ref="I2:Q2"/>
  </mergeCells>
  <conditionalFormatting sqref="AA4:AA125">
    <cfRule type="colorScale" priority="61">
      <colorScale>
        <cfvo type="min"/>
        <cfvo type="num" val="0"/>
        <cfvo type="max"/>
        <color rgb="FFF8696B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B4:AB125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C4:AC125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D4:AD125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F4:AF125">
    <cfRule type="colorScale" priority="65">
      <colorScale>
        <cfvo type="min"/>
        <cfvo type="num" val="0"/>
        <cfvo type="max"/>
        <color rgb="FFF8696B"/>
        <color rgb="FFFCFCFF"/>
        <color rgb="FF63BE7B"/>
      </colorScale>
    </cfRule>
    <cfRule type="colorScale" priority="11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E4:AE125">
    <cfRule type="colorScale" priority="10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G4:AG125">
    <cfRule type="colorScale" priority="12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H4:AH125">
    <cfRule type="colorScale" priority="13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I4:AI125">
    <cfRule type="colorScale" priority="14">
      <colorScale>
        <cfvo type="min"/>
        <cfvo type="percentile" val="50"/>
        <cfvo type="max"/>
        <color rgb="00F8696B"/>
        <color rgb="00FCFCFF"/>
        <color rgb="0063BE7B"/>
      </colorScale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Howard Zeng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2026-02-13T14:23:37Z</dcterms:modified>
  <cp:lastModifiedBy>Howard Zeng</cp:lastModifiedBy>
</cp:coreProperties>
</file>