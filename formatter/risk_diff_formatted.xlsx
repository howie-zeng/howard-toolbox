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75" yWindow="-21750" windowWidth="49725" windowHeight="21285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_);_(* \(#,##0.0\);_(* &quot;-&quot;??_);_(@_)"/>
    <numFmt numFmtId="166" formatCode="0.0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A7D00"/>
      <sz val="16"/>
      <scheme val="minor"/>
    </font>
    <font>
      <name val="Calibri"/>
      <family val="2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b val="1"/>
      <color rgb="00FFFFFF"/>
      <sz val="11"/>
    </font>
    <font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000F1D36"/>
        <bgColor rgb="000F1D36"/>
      </patternFill>
    </fill>
    <fill>
      <patternFill patternType="solid">
        <fgColor rgb="001B2A4A"/>
        <bgColor rgb="001B2A4A"/>
      </patternFill>
    </fill>
    <fill>
      <patternFill patternType="solid">
        <fgColor rgb="002C3E50"/>
        <bgColor rgb="002C3E50"/>
      </patternFill>
    </fill>
    <fill>
      <patternFill patternType="solid">
        <fgColor rgb="001B4332"/>
        <bgColor rgb="001B4332"/>
      </patternFill>
    </fill>
    <fill>
      <patternFill patternType="solid">
        <fgColor rgb="006B2C3E"/>
        <bgColor rgb="006B2C3E"/>
      </patternFill>
    </fill>
    <fill>
      <patternFill patternType="solid">
        <fgColor rgb="00E8EDF2"/>
        <bgColor rgb="00E8EDF2"/>
      </patternFill>
    </fill>
  </fills>
  <borders count="3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rgb="FFFF8001"/>
      </bottom>
      <diagonal/>
    </border>
    <border>
      <left/>
      <right/>
      <top style="medium">
        <color indexed="64"/>
      </top>
      <bottom style="double">
        <color rgb="FFFF800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000F1D36"/>
      </left>
      <right style="thin">
        <color rgb="000F1D36"/>
      </right>
      <top style="thin">
        <color rgb="000F1D36"/>
      </top>
      <bottom style="thin">
        <color rgb="000F1D36"/>
      </bottom>
    </border>
    <border>
      <left style="thin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B2A4A"/>
      </left>
      <right style="thin">
        <color rgb="000F1D36"/>
      </right>
      <top style="thin">
        <color rgb="000F1D36"/>
      </top>
      <bottom style="thin">
        <color rgb="000F1D36"/>
      </bottom>
    </border>
    <border>
      <left style="medium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  <border>
      <left style="medium">
        <color rgb="001B2A4A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B2A4A"/>
      </left>
      <right style="thin">
        <color rgb="000F1D36"/>
      </right>
      <top style="medium">
        <color rgb="001B2A4A"/>
      </top>
      <bottom style="thin">
        <color rgb="000F1D36"/>
      </bottom>
    </border>
    <border>
      <left/>
      <right/>
      <top style="medium">
        <color rgb="001B2A4A"/>
      </top>
      <bottom/>
    </border>
    <border>
      <left/>
      <right style="medium">
        <color rgb="001B2A4A"/>
      </right>
      <top style="medium">
        <color rgb="001B2A4A"/>
      </top>
      <bottom/>
    </border>
    <border>
      <left style="thin">
        <color rgb="001B2A4A"/>
      </left>
      <right style="medium">
        <color rgb="001B2A4A"/>
      </right>
      <top style="thin">
        <color rgb="001B2A4A"/>
      </top>
      <bottom style="medium">
        <color rgb="001B2A4A"/>
      </bottom>
    </border>
    <border>
      <left style="thin">
        <color rgb="00D9D9D9"/>
      </left>
      <right style="medium">
        <color rgb="001B2A4A"/>
      </right>
      <top style="thin">
        <color rgb="00D9D9D9"/>
      </top>
      <bottom style="thin">
        <color rgb="00D9D9D9"/>
      </bottom>
    </border>
    <border>
      <left style="medium">
        <color rgb="001B2A4A"/>
      </left>
      <right style="thin">
        <color rgb="00D9D9D9"/>
      </right>
      <top style="thin">
        <color rgb="00D9D9D9"/>
      </top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2A4A"/>
      </bottom>
    </border>
    <border>
      <left style="thin">
        <color rgb="00D9D9D9"/>
      </left>
      <right style="medium">
        <color rgb="001B2A4A"/>
      </right>
      <top style="thin">
        <color rgb="00D9D9D9"/>
      </top>
      <bottom style="medium">
        <color rgb="001B2A4A"/>
      </bottom>
    </border>
  </borders>
  <cellStyleXfs count="11">
    <xf numFmtId="0" fontId="1" fillId="0" borderId="0"/>
    <xf numFmtId="43" fontId="1" fillId="0" borderId="0"/>
    <xf numFmtId="0" fontId="2" fillId="2" borderId="0"/>
    <xf numFmtId="0" fontId="3" fillId="3" borderId="0"/>
    <xf numFmtId="0" fontId="4" fillId="4" borderId="0"/>
    <xf numFmtId="0" fontId="5" fillId="0" borderId="1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</cellStyleXfs>
  <cellXfs count="139">
    <xf numFmtId="0" fontId="0" fillId="0" borderId="0" pivotButton="0" quotePrefix="0" xfId="0"/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43" fontId="6" fillId="0" borderId="3" applyAlignment="1" pivotButton="0" quotePrefix="0" xfId="1">
      <alignment horizontal="center" vertical="center"/>
    </xf>
    <xf numFmtId="43" fontId="6" fillId="0" borderId="4" applyAlignment="1" pivotButton="0" quotePrefix="0" xfId="1">
      <alignment horizontal="center" vertical="center"/>
    </xf>
    <xf numFmtId="0" fontId="6" fillId="0" borderId="5" applyAlignment="1" pivotButton="0" quotePrefix="0" xfId="0">
      <alignment horizontal="center" vertical="center"/>
    </xf>
    <xf numFmtId="43" fontId="0" fillId="0" borderId="6" pivotButton="0" quotePrefix="0" xfId="1"/>
    <xf numFmtId="43" fontId="8" fillId="10" borderId="7" pivotButton="0" quotePrefix="0" xfId="1"/>
    <xf numFmtId="43" fontId="8" fillId="10" borderId="6" pivotButton="0" quotePrefix="0" xfId="1"/>
    <xf numFmtId="14" fontId="8" fillId="10" borderId="12" pivotButton="0" quotePrefix="0" xfId="4"/>
    <xf numFmtId="0" fontId="8" fillId="10" borderId="0" pivotButton="0" quotePrefix="0" xfId="4"/>
    <xf numFmtId="43" fontId="8" fillId="10" borderId="0" pivotButton="0" quotePrefix="0" xfId="4"/>
    <xf numFmtId="43" fontId="8" fillId="10" borderId="13" pivotButton="0" quotePrefix="0" xfId="4"/>
    <xf numFmtId="14" fontId="8" fillId="10" borderId="12" pivotButton="0" quotePrefix="0" xfId="0"/>
    <xf numFmtId="0" fontId="8" fillId="10" borderId="0" pivotButton="0" quotePrefix="0" xfId="0"/>
    <xf numFmtId="43" fontId="8" fillId="10" borderId="0" pivotButton="0" quotePrefix="0" xfId="1"/>
    <xf numFmtId="43" fontId="8" fillId="10" borderId="13" pivotButton="0" quotePrefix="0" xfId="1"/>
    <xf numFmtId="14" fontId="0" fillId="10" borderId="12" pivotButton="0" quotePrefix="0" xfId="0"/>
    <xf numFmtId="43" fontId="0" fillId="10" borderId="0" pivotButton="0" quotePrefix="0" xfId="1"/>
    <xf numFmtId="14" fontId="0" fillId="0" borderId="12" pivotButton="0" quotePrefix="0" xfId="0"/>
    <xf numFmtId="43" fontId="0" fillId="0" borderId="0" pivotButton="0" quotePrefix="0" xfId="1"/>
    <xf numFmtId="43" fontId="0" fillId="0" borderId="13" pivotButton="0" quotePrefix="0" xfId="1"/>
    <xf numFmtId="14" fontId="8" fillId="10" borderId="12" pivotButton="0" quotePrefix="0" xfId="2"/>
    <xf numFmtId="0" fontId="8" fillId="10" borderId="0" pivotButton="0" quotePrefix="0" xfId="2"/>
    <xf numFmtId="43" fontId="8" fillId="10" borderId="0" pivotButton="0" quotePrefix="0" xfId="2"/>
    <xf numFmtId="43" fontId="8" fillId="10" borderId="13" pivotButton="0" quotePrefix="0" xfId="2"/>
    <xf numFmtId="14" fontId="8" fillId="10" borderId="12" pivotButton="0" quotePrefix="0" xfId="3"/>
    <xf numFmtId="0" fontId="8" fillId="10" borderId="0" pivotButton="0" quotePrefix="0" xfId="3"/>
    <xf numFmtId="43" fontId="8" fillId="10" borderId="0" pivotButton="0" quotePrefix="0" xfId="3"/>
    <xf numFmtId="43" fontId="8" fillId="10" borderId="13" pivotButton="0" quotePrefix="0" xfId="3"/>
    <xf numFmtId="43" fontId="0" fillId="0" borderId="15" pivotButton="0" quotePrefix="0" xfId="1"/>
    <xf numFmtId="43" fontId="0" fillId="0" borderId="16" pivotButton="0" quotePrefix="0" xfId="1"/>
    <xf numFmtId="43" fontId="8" fillId="10" borderId="16" pivotButton="0" quotePrefix="0" xfId="1"/>
    <xf numFmtId="43" fontId="8" fillId="10" borderId="15" pivotButton="0" quotePrefix="0" xfId="1"/>
    <xf numFmtId="43" fontId="8" fillId="10" borderId="17" pivotButton="0" quotePrefix="0" xfId="1"/>
    <xf numFmtId="14" fontId="4" fillId="4" borderId="0" pivotButton="0" quotePrefix="0" xfId="4"/>
    <xf numFmtId="0" fontId="1" fillId="5" borderId="0" pivotButton="0" quotePrefix="0" xfId="6"/>
    <xf numFmtId="0" fontId="1" fillId="5" borderId="15" pivotButton="0" quotePrefix="0" xfId="6"/>
    <xf numFmtId="14" fontId="8" fillId="10" borderId="14" pivotButton="0" quotePrefix="0" xfId="4"/>
    <xf numFmtId="0" fontId="8" fillId="10" borderId="15" pivotButton="0" quotePrefix="0" xfId="4"/>
    <xf numFmtId="43" fontId="8" fillId="10" borderId="15" pivotButton="0" quotePrefix="0" xfId="4"/>
    <xf numFmtId="43" fontId="8" fillId="10" borderId="17" pivotButton="0" quotePrefix="0" xfId="4"/>
    <xf numFmtId="14" fontId="8" fillId="10" borderId="0" pivotButton="0" quotePrefix="0" xfId="6"/>
    <xf numFmtId="0" fontId="8" fillId="10" borderId="0" pivotButton="0" quotePrefix="0" xfId="6"/>
    <xf numFmtId="14" fontId="8" fillId="10" borderId="0" pivotButton="0" quotePrefix="0" xfId="3"/>
    <xf numFmtId="14" fontId="8" fillId="10" borderId="0" pivotButton="0" quotePrefix="0" xfId="2"/>
    <xf numFmtId="14" fontId="8" fillId="10" borderId="0" pivotButton="0" quotePrefix="0" xfId="4"/>
    <xf numFmtId="0" fontId="1" fillId="8" borderId="0" pivotButton="0" quotePrefix="0" xfId="9"/>
    <xf numFmtId="0" fontId="1" fillId="7" borderId="0" pivotButton="0" quotePrefix="0" xfId="8"/>
    <xf numFmtId="0" fontId="1" fillId="9" borderId="0" pivotButton="0" quotePrefix="0" xfId="10"/>
    <xf numFmtId="0" fontId="8" fillId="10" borderId="18" pivotButton="0" quotePrefix="0" xfId="4"/>
    <xf numFmtId="43" fontId="8" fillId="10" borderId="10" pivotButton="0" quotePrefix="0" xfId="4"/>
    <xf numFmtId="43" fontId="0" fillId="0" borderId="7" pivotButton="0" quotePrefix="0" xfId="1"/>
    <xf numFmtId="43" fontId="8" fillId="10" borderId="11" pivotButton="0" quotePrefix="0" xfId="4"/>
    <xf numFmtId="0" fontId="8" fillId="10" borderId="12" pivotButton="0" quotePrefix="0" xfId="4"/>
    <xf numFmtId="0" fontId="8" fillId="10" borderId="14" pivotButton="0" quotePrefix="0" xfId="4"/>
    <xf numFmtId="43" fontId="6" fillId="0" borderId="15" applyAlignment="1" pivotButton="0" quotePrefix="0" xfId="1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8" fillId="10" borderId="12" pivotButton="0" quotePrefix="0" xfId="9"/>
    <xf numFmtId="0" fontId="8" fillId="10" borderId="14" pivotButton="0" quotePrefix="0" xfId="9"/>
    <xf numFmtId="164" fontId="8" fillId="10" borderId="10" pivotButton="0" quotePrefix="0" xfId="4"/>
    <xf numFmtId="164" fontId="8" fillId="10" borderId="0" pivotButton="0" quotePrefix="0" xfId="1"/>
    <xf numFmtId="164" fontId="0" fillId="10" borderId="0" pivotButton="0" quotePrefix="0" xfId="1"/>
    <xf numFmtId="164" fontId="0" fillId="0" borderId="0" pivotButton="0" quotePrefix="0" xfId="1"/>
    <xf numFmtId="164" fontId="8" fillId="10" borderId="0" pivotButton="0" quotePrefix="0" xfId="2"/>
    <xf numFmtId="164" fontId="8" fillId="10" borderId="0" pivotButton="0" quotePrefix="0" xfId="4"/>
    <xf numFmtId="164" fontId="0" fillId="0" borderId="15" pivotButton="0" quotePrefix="0" xfId="1"/>
    <xf numFmtId="164" fontId="8" fillId="10" borderId="15" pivotButton="0" quotePrefix="0" xfId="1"/>
    <xf numFmtId="164" fontId="8" fillId="10" borderId="0" pivotButton="0" quotePrefix="0" xfId="3"/>
    <xf numFmtId="0" fontId="9" fillId="10" borderId="0" pivotButton="0" quotePrefix="0" xfId="8"/>
    <xf numFmtId="0" fontId="9" fillId="10" borderId="0" pivotButton="0" quotePrefix="0" xfId="10"/>
    <xf numFmtId="0" fontId="9" fillId="10" borderId="0" pivotButton="0" quotePrefix="0" xfId="6"/>
    <xf numFmtId="0" fontId="9" fillId="10" borderId="15" pivotButton="0" quotePrefix="0" xfId="6"/>
    <xf numFmtId="0" fontId="9" fillId="10" borderId="0" pivotButton="0" quotePrefix="0" xfId="0"/>
    <xf numFmtId="165" fontId="0" fillId="0" borderId="6" pivotButton="0" quotePrefix="0" xfId="1"/>
    <xf numFmtId="165" fontId="0" fillId="0" borderId="0" pivotButton="0" quotePrefix="0" xfId="1"/>
    <xf numFmtId="165" fontId="8" fillId="10" borderId="6" pivotButton="0" quotePrefix="0" xfId="1"/>
    <xf numFmtId="165" fontId="8" fillId="10" borderId="0" pivotButton="0" quotePrefix="0" xfId="1"/>
    <xf numFmtId="165" fontId="8" fillId="10" borderId="13" pivotButton="0" quotePrefix="0" xfId="1"/>
    <xf numFmtId="14" fontId="1" fillId="6" borderId="0" pivotButton="0" quotePrefix="0" xfId="7"/>
    <xf numFmtId="165" fontId="6" fillId="0" borderId="3" applyAlignment="1" pivotButton="0" quotePrefix="0" xfId="1">
      <alignment horizontal="center" vertical="center"/>
    </xf>
    <xf numFmtId="14" fontId="0" fillId="0" borderId="0" pivotButton="0" quotePrefix="0" xfId="0"/>
    <xf numFmtId="0" fontId="6" fillId="0" borderId="15" applyAlignment="1" pivotButton="0" quotePrefix="0" xfId="0">
      <alignment horizontal="center" vertical="center"/>
    </xf>
    <xf numFmtId="0" fontId="0" fillId="0" borderId="0" pivotButton="0" quotePrefix="0" xfId="0"/>
    <xf numFmtId="43" fontId="1" fillId="5" borderId="10" applyAlignment="1" pivotButton="0" quotePrefix="0" xfId="1">
      <alignment horizontal="center" vertical="center"/>
    </xf>
    <xf numFmtId="43" fontId="1" fillId="8" borderId="10" applyAlignment="1" pivotButton="0" quotePrefix="0" xfId="1">
      <alignment horizontal="center" vertical="center"/>
    </xf>
    <xf numFmtId="0" fontId="1" fillId="6" borderId="10" applyAlignment="1" pivotButton="0" quotePrefix="0" xfId="7">
      <alignment horizontal="center" vertical="center"/>
    </xf>
    <xf numFmtId="0" fontId="1" fillId="6" borderId="11" applyAlignment="1" pivotButton="0" quotePrefix="0" xfId="7">
      <alignment horizontal="center" vertical="center"/>
    </xf>
    <xf numFmtId="0" fontId="7" fillId="0" borderId="8" applyAlignment="1" pivotButton="0" quotePrefix="0" xfId="5">
      <alignment horizontal="center" vertical="center"/>
    </xf>
    <xf numFmtId="0" fontId="7" fillId="0" borderId="9" applyAlignment="1" pivotButton="0" quotePrefix="0" xfId="5">
      <alignment horizontal="center" vertical="center"/>
    </xf>
    <xf numFmtId="0" fontId="7" fillId="0" borderId="2" applyAlignment="1" pivotButton="0" quotePrefix="0" xfId="5">
      <alignment horizontal="center" vertical="center"/>
    </xf>
    <xf numFmtId="0" fontId="7" fillId="0" borderId="3" applyAlignment="1" pivotButton="0" quotePrefix="0" xfId="5">
      <alignment horizontal="center" vertical="center"/>
    </xf>
    <xf numFmtId="0" fontId="11" fillId="13" borderId="25" applyAlignment="1" pivotButton="0" quotePrefix="0" xfId="0">
      <alignment horizontal="center" vertical="center"/>
    </xf>
    <xf numFmtId="0" fontId="0" fillId="13" borderId="26" pivotButton="0" quotePrefix="0" xfId="0"/>
    <xf numFmtId="43" fontId="11" fillId="14" borderId="25" applyAlignment="1" pivotButton="0" quotePrefix="0" xfId="1">
      <alignment horizontal="center" vertical="center"/>
    </xf>
    <xf numFmtId="0" fontId="0" fillId="14" borderId="26" pivotButton="0" quotePrefix="0" xfId="0"/>
    <xf numFmtId="43" fontId="11" fillId="12" borderId="25" applyAlignment="1" pivotButton="0" quotePrefix="0" xfId="1">
      <alignment horizontal="center" vertical="center"/>
    </xf>
    <xf numFmtId="0" fontId="0" fillId="12" borderId="26" pivotButton="0" quotePrefix="0" xfId="0"/>
    <xf numFmtId="0" fontId="11" fillId="15" borderId="25" applyAlignment="1" pivotButton="0" quotePrefix="0" xfId="7">
      <alignment horizontal="center" vertical="center"/>
    </xf>
    <xf numFmtId="0" fontId="0" fillId="15" borderId="26" pivotButton="0" quotePrefix="0" xfId="0"/>
    <xf numFmtId="0" fontId="0" fillId="15" borderId="27" pivotButton="0" quotePrefix="0" xfId="0"/>
    <xf numFmtId="0" fontId="12" fillId="13" borderId="23" applyAlignment="1" pivotButton="0" quotePrefix="0" xfId="0">
      <alignment horizontal="center" vertical="center"/>
    </xf>
    <xf numFmtId="0" fontId="12" fillId="13" borderId="20" applyAlignment="1" pivotButton="0" quotePrefix="0" xfId="0">
      <alignment horizontal="center" vertical="center"/>
    </xf>
    <xf numFmtId="43" fontId="12" fillId="13" borderId="20" applyAlignment="1" pivotButton="0" quotePrefix="0" xfId="1">
      <alignment horizontal="center" vertical="center"/>
    </xf>
    <xf numFmtId="43" fontId="12" fillId="14" borderId="23" applyAlignment="1" pivotButton="0" quotePrefix="0" xfId="1">
      <alignment horizontal="center" vertical="center"/>
    </xf>
    <xf numFmtId="43" fontId="12" fillId="14" borderId="20" applyAlignment="1" pivotButton="0" quotePrefix="0" xfId="1">
      <alignment horizontal="center" vertical="center"/>
    </xf>
    <xf numFmtId="165" fontId="12" fillId="14" borderId="20" applyAlignment="1" pivotButton="0" quotePrefix="0" xfId="1">
      <alignment horizontal="center" vertical="center"/>
    </xf>
    <xf numFmtId="43" fontId="12" fillId="12" borderId="23" applyAlignment="1" pivotButton="0" quotePrefix="0" xfId="1">
      <alignment horizontal="center" vertical="center"/>
    </xf>
    <xf numFmtId="43" fontId="12" fillId="12" borderId="20" applyAlignment="1" pivotButton="0" quotePrefix="0" xfId="1">
      <alignment horizontal="center" vertical="center"/>
    </xf>
    <xf numFmtId="43" fontId="12" fillId="15" borderId="23" applyAlignment="1" pivotButton="0" quotePrefix="0" xfId="1">
      <alignment horizontal="center" vertical="center"/>
    </xf>
    <xf numFmtId="0" fontId="12" fillId="15" borderId="20" applyAlignment="1" pivotButton="0" quotePrefix="0" xfId="0">
      <alignment horizontal="center" vertical="center"/>
    </xf>
    <xf numFmtId="0" fontId="12" fillId="15" borderId="28" applyAlignment="1" pivotButton="0" quotePrefix="0" xfId="0">
      <alignment horizontal="center" vertical="center"/>
    </xf>
    <xf numFmtId="14" fontId="0" fillId="16" borderId="24" pivotButton="0" quotePrefix="0" xfId="0"/>
    <xf numFmtId="14" fontId="1" fillId="16" borderId="21" applyAlignment="1" pivotButton="0" quotePrefix="0" xfId="7">
      <alignment horizontal="left"/>
    </xf>
    <xf numFmtId="0" fontId="0" fillId="16" borderId="21" applyAlignment="1" pivotButton="0" quotePrefix="0" xfId="0">
      <alignment horizontal="left"/>
    </xf>
    <xf numFmtId="2" fontId="0" fillId="16" borderId="21" applyAlignment="1" pivotButton="0" quotePrefix="0" xfId="1">
      <alignment horizontal="right"/>
    </xf>
    <xf numFmtId="2" fontId="0" fillId="16" borderId="24" applyAlignment="1" pivotButton="0" quotePrefix="0" xfId="1">
      <alignment horizontal="right"/>
    </xf>
    <xf numFmtId="3" fontId="0" fillId="16" borderId="21" applyAlignment="1" pivotButton="0" quotePrefix="0" xfId="1">
      <alignment horizontal="right"/>
    </xf>
    <xf numFmtId="166" fontId="0" fillId="16" borderId="21" applyAlignment="1" pivotButton="0" quotePrefix="0" xfId="1">
      <alignment horizontal="right"/>
    </xf>
    <xf numFmtId="2" fontId="8" fillId="16" borderId="24" applyAlignment="1" pivotButton="0" quotePrefix="0" xfId="1">
      <alignment horizontal="right"/>
    </xf>
    <xf numFmtId="3" fontId="8" fillId="16" borderId="21" applyAlignment="1" pivotButton="0" quotePrefix="0" xfId="1">
      <alignment horizontal="right"/>
    </xf>
    <xf numFmtId="166" fontId="8" fillId="16" borderId="21" applyAlignment="1" pivotButton="0" quotePrefix="0" xfId="1">
      <alignment horizontal="right"/>
    </xf>
    <xf numFmtId="2" fontId="8" fillId="16" borderId="21" applyAlignment="1" pivotButton="0" quotePrefix="0" xfId="1">
      <alignment horizontal="right"/>
    </xf>
    <xf numFmtId="2" fontId="8" fillId="16" borderId="29" applyAlignment="1" pivotButton="0" quotePrefix="0" xfId="1">
      <alignment horizontal="right"/>
    </xf>
    <xf numFmtId="2" fontId="0" fillId="16" borderId="21" applyAlignment="1" pivotButton="0" quotePrefix="0" xfId="0">
      <alignment horizontal="right"/>
    </xf>
    <xf numFmtId="2" fontId="0" fillId="16" borderId="24" applyAlignment="1" pivotButton="0" quotePrefix="0" xfId="0">
      <alignment horizontal="right"/>
    </xf>
    <xf numFmtId="3" fontId="0" fillId="16" borderId="21" applyAlignment="1" pivotButton="0" quotePrefix="0" xfId="0">
      <alignment horizontal="right"/>
    </xf>
    <xf numFmtId="166" fontId="0" fillId="16" borderId="21" applyAlignment="1" pivotButton="0" quotePrefix="0" xfId="0">
      <alignment horizontal="right"/>
    </xf>
    <xf numFmtId="14" fontId="0" fillId="16" borderId="30" pivotButton="0" quotePrefix="0" xfId="0"/>
    <xf numFmtId="0" fontId="0" fillId="16" borderId="31" applyAlignment="1" pivotButton="0" quotePrefix="0" xfId="0">
      <alignment horizontal="left"/>
    </xf>
    <xf numFmtId="2" fontId="0" fillId="16" borderId="31" applyAlignment="1" pivotButton="0" quotePrefix="0" xfId="0">
      <alignment horizontal="right"/>
    </xf>
    <xf numFmtId="2" fontId="0" fillId="16" borderId="30" applyAlignment="1" pivotButton="0" quotePrefix="0" xfId="0">
      <alignment horizontal="right"/>
    </xf>
    <xf numFmtId="3" fontId="0" fillId="16" borderId="31" applyAlignment="1" pivotButton="0" quotePrefix="0" xfId="0">
      <alignment horizontal="right"/>
    </xf>
    <xf numFmtId="166" fontId="0" fillId="16" borderId="31" applyAlignment="1" pivotButton="0" quotePrefix="0" xfId="0">
      <alignment horizontal="right"/>
    </xf>
    <xf numFmtId="2" fontId="8" fillId="16" borderId="30" applyAlignment="1" pivotButton="0" quotePrefix="0" xfId="1">
      <alignment horizontal="right"/>
    </xf>
    <xf numFmtId="3" fontId="8" fillId="16" borderId="31" applyAlignment="1" pivotButton="0" quotePrefix="0" xfId="1">
      <alignment horizontal="right"/>
    </xf>
    <xf numFmtId="166" fontId="8" fillId="16" borderId="31" applyAlignment="1" pivotButton="0" quotePrefix="0" xfId="1">
      <alignment horizontal="right"/>
    </xf>
    <xf numFmtId="2" fontId="8" fillId="16" borderId="31" applyAlignment="1" pivotButton="0" quotePrefix="0" xfId="1">
      <alignment horizontal="right"/>
    </xf>
    <xf numFmtId="2" fontId="8" fillId="16" borderId="32" applyAlignment="1" pivotButton="0" quotePrefix="0" xfId="1">
      <alignment horizontal="right"/>
    </xf>
  </cellXfs>
  <cellStyles count="11">
    <cellStyle name="Normal" xfId="0" builtinId="0"/>
    <cellStyle name="Comma" xfId="1" builtinId="3"/>
    <cellStyle name="Good" xfId="2" builtinId="26"/>
    <cellStyle name="Bad" xfId="3" builtinId="27"/>
    <cellStyle name="Neutral" xfId="4" builtinId="28"/>
    <cellStyle name="Linked Cell" xfId="5" builtinId="24"/>
    <cellStyle name="60% - Accent1" xfId="6" builtinId="32"/>
    <cellStyle name="40% - Accent2" xfId="7" builtinId="35"/>
    <cellStyle name="60% - Accent2" xfId="8" builtinId="36"/>
    <cellStyle name="40% - Accent4" xfId="9" builtinId="43"/>
    <cellStyle name="60% - Accent6" xfId="10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showGridLines="0" tabSelected="1" topLeftCell="A1" zoomScale="85" zoomScaleNormal="85" workbookViewId="0">
      <pane ySplit="3" topLeftCell="A4" activePane="bottomLeft" state="frozen"/>
      <selection pane="bottomLeft" activeCell="AB7" sqref="AB7"/>
    </sheetView>
  </sheetViews>
  <sheetFormatPr baseColWidth="8" defaultRowHeight="15"/>
  <cols>
    <col width="12.85546875" bestFit="1" customWidth="1" style="83" min="2" max="2"/>
    <col width="13" bestFit="1" customWidth="1" style="83" min="3" max="3"/>
    <col width="15" bestFit="1" customWidth="1" style="83" min="4" max="4"/>
    <col width="20" bestFit="1" customWidth="1" style="83" min="5" max="5"/>
    <col width="11" bestFit="1" customWidth="1" style="83" min="6" max="6"/>
    <col width="8" bestFit="1" customWidth="1" style="83" min="7" max="7"/>
    <col width="8" bestFit="1" customWidth="1" style="83" min="8" max="8"/>
    <col width="8" bestFit="1" customWidth="1" style="83" min="9" max="9"/>
    <col width="9" bestFit="1" customWidth="1" style="83" min="10" max="10"/>
    <col width="8" bestFit="1" customWidth="1" style="83" min="11" max="11"/>
    <col width="9" bestFit="1" customWidth="1" style="83" min="12" max="12"/>
    <col width="10" bestFit="1" customWidth="1" style="83" min="13" max="13"/>
    <col width="9" bestFit="1" customWidth="1" style="83" min="14" max="14"/>
    <col width="10" bestFit="1" customWidth="1" style="83" min="15" max="15"/>
    <col width="8" bestFit="1" customWidth="1" style="83" min="16" max="16"/>
    <col hidden="1" width="11" bestFit="1" customWidth="1" style="83" min="17" max="17"/>
    <col width="8" bestFit="1" customWidth="1" style="83" min="18" max="18"/>
    <col width="9" bestFit="1" customWidth="1" style="83" min="19" max="19"/>
    <col width="8" bestFit="1" customWidth="1" style="83" min="20" max="20"/>
    <col width="9" bestFit="1" customWidth="1" style="83" min="21" max="21"/>
    <col width="10" bestFit="1" customWidth="1" style="83" min="22" max="22"/>
    <col width="9" bestFit="1" customWidth="1" style="83" min="23" max="23"/>
    <col width="10" bestFit="1" customWidth="1" style="83" min="24" max="24"/>
    <col width="8" bestFit="1" customWidth="1" style="83" min="25" max="25"/>
    <col hidden="1" width="11" bestFit="1" customWidth="1" style="83" min="26" max="26"/>
    <col width="8" bestFit="1" customWidth="1" style="83" min="27" max="27"/>
    <col width="9" bestFit="1" customWidth="1" style="83" min="28" max="28"/>
    <col width="8" bestFit="1" customWidth="1" style="83" min="29" max="29"/>
    <col width="9" bestFit="1" customWidth="1" style="83" min="30" max="30"/>
    <col width="10" bestFit="1" customWidth="1" style="83" min="31" max="31"/>
    <col width="9" bestFit="1" customWidth="1" style="83" min="32" max="32"/>
    <col width="10" bestFit="1" customWidth="1" style="83" min="33" max="33"/>
    <col width="8" bestFit="1" customWidth="1" style="83" min="34" max="34"/>
    <col hidden="1" width="11" bestFit="1" customWidth="1" style="83" min="35" max="35"/>
  </cols>
  <sheetData>
    <row r="1" ht="15.75" customHeight="1" s="83" thickBot="1"/>
    <row r="2" ht="15.75" customHeight="1" s="83" thickBot="1">
      <c r="C2" s="92" t="inlineStr">
        <is>
          <t>Base</t>
        </is>
      </c>
      <c r="D2" s="93" t="n"/>
      <c r="E2" s="93" t="n"/>
      <c r="F2" s="93" t="n"/>
      <c r="G2" s="93" t="n"/>
      <c r="H2" s="93" t="n"/>
      <c r="I2" s="94" t="inlineStr">
        <is>
          <t>New</t>
        </is>
      </c>
      <c r="J2" s="95" t="n"/>
      <c r="K2" s="95" t="n"/>
      <c r="L2" s="95" t="n"/>
      <c r="M2" s="95" t="n"/>
      <c r="N2" s="95" t="n"/>
      <c r="O2" s="95" t="n"/>
      <c r="P2" s="95" t="n"/>
      <c r="Q2" s="95" t="n"/>
      <c r="R2" s="96" t="inlineStr">
        <is>
          <t>Prod</t>
        </is>
      </c>
      <c r="S2" s="97" t="n"/>
      <c r="T2" s="97" t="n"/>
      <c r="U2" s="97" t="n"/>
      <c r="V2" s="97" t="n"/>
      <c r="W2" s="97" t="n"/>
      <c r="X2" s="97" t="n"/>
      <c r="Y2" s="97" t="n"/>
      <c r="Z2" s="97" t="n"/>
      <c r="AA2" s="98" t="inlineStr">
        <is>
          <t>Diff (New - Prod)</t>
        </is>
      </c>
      <c r="AB2" s="99" t="n"/>
      <c r="AC2" s="99" t="n"/>
      <c r="AD2" s="99" t="n"/>
      <c r="AE2" s="99" t="n"/>
      <c r="AF2" s="99" t="n"/>
      <c r="AG2" s="99" t="n"/>
      <c r="AH2" s="99" t="n"/>
      <c r="AI2" s="100" t="n"/>
    </row>
    <row r="3" ht="15.75" customHeight="1" s="83" thickBot="1">
      <c r="C3" s="101" t="inlineStr">
        <is>
          <t>Date</t>
        </is>
      </c>
      <c r="D3" s="102" t="inlineStr">
        <is>
          <t>Asset Subtype</t>
        </is>
      </c>
      <c r="E3" s="102" t="inlineStr">
        <is>
          <t>Description</t>
        </is>
      </c>
      <c r="F3" s="102" t="inlineStr">
        <is>
          <t>Cusip</t>
        </is>
      </c>
      <c r="G3" s="103" t="inlineStr">
        <is>
          <t>Coupon</t>
        </is>
      </c>
      <c r="H3" s="103" t="inlineStr">
        <is>
          <t>Mark</t>
        </is>
      </c>
      <c r="I3" s="104" t="inlineStr">
        <is>
          <t>Yield</t>
        </is>
      </c>
      <c r="J3" s="105" t="inlineStr">
        <is>
          <t>Zspread</t>
        </is>
      </c>
      <c r="K3" s="105" t="inlineStr">
        <is>
          <t>WAL</t>
        </is>
      </c>
      <c r="L3" s="106" t="inlineStr">
        <is>
          <t>Eff Dur</t>
        </is>
      </c>
      <c r="M3" s="105" t="inlineStr">
        <is>
          <t>Sprd Dur</t>
        </is>
      </c>
      <c r="N3" s="105" t="inlineStr">
        <is>
          <t>Rem Def</t>
        </is>
      </c>
      <c r="O3" s="105" t="inlineStr">
        <is>
          <t>Cum loss</t>
        </is>
      </c>
      <c r="P3" s="105" t="inlineStr">
        <is>
          <t>Sev</t>
        </is>
      </c>
      <c r="Q3" s="105" t="inlineStr">
        <is>
          <t>Writedown</t>
        </is>
      </c>
      <c r="R3" s="107" t="inlineStr">
        <is>
          <t>Yield</t>
        </is>
      </c>
      <c r="S3" s="108" t="inlineStr">
        <is>
          <t>Zspread</t>
        </is>
      </c>
      <c r="T3" s="108" t="inlineStr">
        <is>
          <t>WAL</t>
        </is>
      </c>
      <c r="U3" s="108" t="inlineStr">
        <is>
          <t>Eff Dur</t>
        </is>
      </c>
      <c r="V3" s="108" t="inlineStr">
        <is>
          <t>Sprd Dur</t>
        </is>
      </c>
      <c r="W3" s="108" t="inlineStr">
        <is>
          <t>Rem Def</t>
        </is>
      </c>
      <c r="X3" s="108" t="inlineStr">
        <is>
          <t>Cum loss</t>
        </is>
      </c>
      <c r="Y3" s="108" t="inlineStr">
        <is>
          <t>Sev</t>
        </is>
      </c>
      <c r="Z3" s="108" t="inlineStr">
        <is>
          <t>Writedown</t>
        </is>
      </c>
      <c r="AA3" s="109" t="inlineStr">
        <is>
          <t>Yield</t>
        </is>
      </c>
      <c r="AB3" s="110" t="inlineStr">
        <is>
          <t>Zspread</t>
        </is>
      </c>
      <c r="AC3" s="110" t="inlineStr">
        <is>
          <t>WAL</t>
        </is>
      </c>
      <c r="AD3" s="110" t="inlineStr">
        <is>
          <t>Eff Dur</t>
        </is>
      </c>
      <c r="AE3" s="110" t="inlineStr">
        <is>
          <t>Sprd Dur</t>
        </is>
      </c>
      <c r="AF3" s="110" t="inlineStr">
        <is>
          <t>Rem Def</t>
        </is>
      </c>
      <c r="AG3" s="110" t="inlineStr">
        <is>
          <t>Cum loss</t>
        </is>
      </c>
      <c r="AH3" s="110" t="inlineStr">
        <is>
          <t>Sev</t>
        </is>
      </c>
      <c r="AI3" s="111" t="inlineStr">
        <is>
          <t>Writedown</t>
        </is>
      </c>
    </row>
    <row r="4">
      <c r="B4" t="inlineStr">
        <is>
          <t>BASEPRICE</t>
        </is>
      </c>
      <c r="C4" s="112" t="n">
        <v>46161</v>
      </c>
      <c r="D4" s="113" t="inlineStr">
        <is>
          <t>Non-QM</t>
        </is>
      </c>
      <c r="E4" s="113" t="inlineStr">
        <is>
          <t>ADMT 2023-NQM3 B2</t>
        </is>
      </c>
      <c r="F4" s="114" t="inlineStr">
        <is>
          <t>00249FAF4</t>
        </is>
      </c>
      <c r="G4" s="115" t="n">
        <v>8.028601999999999</v>
      </c>
      <c r="H4" s="115" t="n">
        <v>100.204175</v>
      </c>
      <c r="I4" s="116" t="n">
        <v>5.278701378</v>
      </c>
      <c r="J4" s="117" t="n">
        <v>161.749348575</v>
      </c>
      <c r="K4" s="118" t="n">
        <v>0.266666667</v>
      </c>
      <c r="L4" s="118" t="n">
        <v>0.25934644938696</v>
      </c>
      <c r="M4" s="115" t="n">
        <v>0.25934644938696</v>
      </c>
      <c r="N4" s="115" t="n">
        <v>5.243538535</v>
      </c>
      <c r="O4" s="115" t="n">
        <v>3.014047944</v>
      </c>
      <c r="P4" s="118" t="n">
        <v>57.4811822947726</v>
      </c>
      <c r="Q4" s="115" t="n">
        <v>0</v>
      </c>
      <c r="R4" s="116" t="n">
        <v>5.279641325</v>
      </c>
      <c r="S4" s="117" t="n">
        <v>161.843345081</v>
      </c>
      <c r="T4" s="118" t="n">
        <v>0.266666667</v>
      </c>
      <c r="U4" s="118" t="n">
        <v>0.259344965416864</v>
      </c>
      <c r="V4" s="115" t="n">
        <v>0.259345139062317</v>
      </c>
      <c r="W4" s="115" t="n">
        <v>6.355260039</v>
      </c>
      <c r="X4" s="115" t="n">
        <v>3.56911582</v>
      </c>
      <c r="Y4" s="118" t="n">
        <v>56.160028041301</v>
      </c>
      <c r="Z4" s="115" t="n">
        <v>0</v>
      </c>
      <c r="AA4" s="119">
        <f>I4-R4</f>
        <v/>
      </c>
      <c r="AB4" s="120">
        <f>J4-S4</f>
        <v/>
      </c>
      <c r="AC4" s="121">
        <f>K4-T4</f>
        <v/>
      </c>
      <c r="AD4" s="121">
        <f>L4-U4</f>
        <v/>
      </c>
      <c r="AE4" s="122">
        <f>M4-V4</f>
        <v/>
      </c>
      <c r="AF4" s="122">
        <f>N4-W4</f>
        <v/>
      </c>
      <c r="AG4" s="122">
        <f>O4-X4</f>
        <v/>
      </c>
      <c r="AH4" s="121">
        <f>P4-Y4</f>
        <v/>
      </c>
      <c r="AI4" s="123">
        <f>Q4-Z4</f>
        <v/>
      </c>
    </row>
    <row r="5">
      <c r="B5" t="inlineStr">
        <is>
          <t>BASEPRICE</t>
        </is>
      </c>
      <c r="C5" s="112" t="n">
        <v>46161</v>
      </c>
      <c r="D5" s="114" t="inlineStr">
        <is>
          <t>Non-QM</t>
        </is>
      </c>
      <c r="E5" s="114" t="inlineStr">
        <is>
          <t>ADMT 2024-NQM1 B1</t>
        </is>
      </c>
      <c r="F5" s="114" t="inlineStr">
        <is>
          <t>00039GAE9</t>
        </is>
      </c>
      <c r="G5" s="124" t="n">
        <v>8.437649</v>
      </c>
      <c r="H5" s="124" t="n">
        <v>101.100365</v>
      </c>
      <c r="I5" s="125" t="n">
        <v>7.432045616</v>
      </c>
      <c r="J5" s="126" t="n">
        <v>341.128135567</v>
      </c>
      <c r="K5" s="127" t="n">
        <v>1.683333333</v>
      </c>
      <c r="L5" s="127" t="n">
        <v>1.52168969716381</v>
      </c>
      <c r="M5" s="124" t="n">
        <v>1.52870602198122</v>
      </c>
      <c r="N5" s="124" t="n">
        <v>3.451956109</v>
      </c>
      <c r="O5" s="124" t="n">
        <v>1.944633195</v>
      </c>
      <c r="P5" s="127" t="n">
        <v>56.3342387213417</v>
      </c>
      <c r="Q5" s="124" t="n">
        <v>0</v>
      </c>
      <c r="R5" s="125" t="n">
        <v>7.462370126</v>
      </c>
      <c r="S5" s="126" t="n">
        <v>344.164439565</v>
      </c>
      <c r="T5" s="127" t="n">
        <v>1.683333333</v>
      </c>
      <c r="U5" s="127" t="n">
        <v>1.52789555606451</v>
      </c>
      <c r="V5" s="124" t="n">
        <v>1.52823821753759</v>
      </c>
      <c r="W5" s="124" t="n">
        <v>5.172100222</v>
      </c>
      <c r="X5" s="124" t="n">
        <v>2.832427188</v>
      </c>
      <c r="Y5" s="127" t="n">
        <v>54.7635789413363</v>
      </c>
      <c r="Z5" s="124" t="n">
        <v>0</v>
      </c>
      <c r="AA5" s="119">
        <f>I5-R5</f>
        <v/>
      </c>
      <c r="AB5" s="120">
        <f>J5-S5</f>
        <v/>
      </c>
      <c r="AC5" s="121">
        <f>K5-T5</f>
        <v/>
      </c>
      <c r="AD5" s="121">
        <f>L5-U5</f>
        <v/>
      </c>
      <c r="AE5" s="122">
        <f>M5-V5</f>
        <v/>
      </c>
      <c r="AF5" s="122">
        <f>N5-W5</f>
        <v/>
      </c>
      <c r="AG5" s="122">
        <f>O5-X5</f>
        <v/>
      </c>
      <c r="AH5" s="121">
        <f>P5-Y5</f>
        <v/>
      </c>
      <c r="AI5" s="123">
        <f>Q5-Z5</f>
        <v/>
      </c>
    </row>
    <row r="6">
      <c r="B6" t="inlineStr">
        <is>
          <t>BASEPRICE</t>
        </is>
      </c>
      <c r="C6" s="112" t="n">
        <v>46161</v>
      </c>
      <c r="D6" s="114" t="inlineStr">
        <is>
          <t>Non-QM</t>
        </is>
      </c>
      <c r="E6" s="114" t="inlineStr">
        <is>
          <t>BRAVO 2021-NQM1 B1</t>
        </is>
      </c>
      <c r="F6" s="114" t="inlineStr">
        <is>
          <t>10569TAE8</t>
        </is>
      </c>
      <c r="G6" s="124" t="n">
        <v>3.172</v>
      </c>
      <c r="H6" s="124" t="n">
        <v>89.442545</v>
      </c>
      <c r="I6" s="125" t="n">
        <v>8.951457971</v>
      </c>
      <c r="J6" s="126" t="n">
        <v>484.10444196</v>
      </c>
      <c r="K6" s="127" t="n">
        <v>2.016666667</v>
      </c>
      <c r="L6" s="127" t="n">
        <v>1.87251245590116</v>
      </c>
      <c r="M6" s="124" t="n">
        <v>1.87251245590116</v>
      </c>
      <c r="N6" s="124" t="n">
        <v>2.174532609</v>
      </c>
      <c r="O6" s="124" t="n">
        <v>1.309426625</v>
      </c>
      <c r="P6" s="127" t="n">
        <v>60.2164630496006</v>
      </c>
      <c r="Q6" s="124" t="n">
        <v>0</v>
      </c>
      <c r="R6" s="125" t="n">
        <v>8.951457971</v>
      </c>
      <c r="S6" s="126" t="n">
        <v>484.10444196</v>
      </c>
      <c r="T6" s="127" t="n">
        <v>2.016666667</v>
      </c>
      <c r="U6" s="127" t="n">
        <v>1.87251245590116</v>
      </c>
      <c r="V6" s="124" t="n">
        <v>1.87251245590116</v>
      </c>
      <c r="W6" s="124" t="n">
        <v>3.917410925</v>
      </c>
      <c r="X6" s="124" t="n">
        <v>1.976950345</v>
      </c>
      <c r="Y6" s="127" t="n">
        <v>50.4657382860594</v>
      </c>
      <c r="Z6" s="124" t="n">
        <v>0</v>
      </c>
      <c r="AA6" s="119">
        <f>I6-R6</f>
        <v/>
      </c>
      <c r="AB6" s="120">
        <f>J6-S6</f>
        <v/>
      </c>
      <c r="AC6" s="121">
        <f>K6-T6</f>
        <v/>
      </c>
      <c r="AD6" s="121">
        <f>L6-U6</f>
        <v/>
      </c>
      <c r="AE6" s="122">
        <f>M6-V6</f>
        <v/>
      </c>
      <c r="AF6" s="122">
        <f>N6-W6</f>
        <v/>
      </c>
      <c r="AG6" s="122">
        <f>O6-X6</f>
        <v/>
      </c>
      <c r="AH6" s="121">
        <f>P6-Y6</f>
        <v/>
      </c>
      <c r="AI6" s="123">
        <f>Q6-Z6</f>
        <v/>
      </c>
    </row>
    <row r="7">
      <c r="B7" t="inlineStr">
        <is>
          <t>BASEPRICE</t>
        </is>
      </c>
      <c r="C7" s="112" t="n">
        <v>46161</v>
      </c>
      <c r="D7" s="114" t="inlineStr">
        <is>
          <t>Non-QM</t>
        </is>
      </c>
      <c r="E7" s="114" t="inlineStr">
        <is>
          <t>CHNGE 2022-1 B1</t>
        </is>
      </c>
      <c r="F7" s="114" t="inlineStr">
        <is>
          <t>17030JAC0</t>
        </is>
      </c>
      <c r="G7" s="124" t="n">
        <v>4.552883</v>
      </c>
      <c r="H7" s="124" t="n">
        <v>89.09588202</v>
      </c>
      <c r="I7" s="125" t="n">
        <v>6.906647101</v>
      </c>
      <c r="J7" s="126" t="n">
        <v>250.899355096</v>
      </c>
      <c r="K7" s="127" t="n">
        <v>6.183333333</v>
      </c>
      <c r="L7" s="127" t="n">
        <v>6.52154569129884</v>
      </c>
      <c r="M7" s="124" t="n">
        <v>5.14970753639327</v>
      </c>
      <c r="N7" s="124" t="n">
        <v>2.546614762</v>
      </c>
      <c r="O7" s="124" t="n">
        <v>0.894386165</v>
      </c>
      <c r="P7" s="127" t="n">
        <v>35.1205913963048</v>
      </c>
      <c r="Q7" s="124" t="n">
        <v>0</v>
      </c>
      <c r="R7" s="125" t="n">
        <v>6.781617634</v>
      </c>
      <c r="S7" s="126" t="n">
        <v>230.634132897</v>
      </c>
      <c r="T7" s="127" t="n">
        <v>7.35</v>
      </c>
      <c r="U7" s="127" t="n">
        <v>6.6449493486927</v>
      </c>
      <c r="V7" s="124" t="n">
        <v>5.92726547767331</v>
      </c>
      <c r="W7" s="124" t="n">
        <v>4.646714345</v>
      </c>
      <c r="X7" s="124" t="n">
        <v>1.490507515</v>
      </c>
      <c r="Y7" s="127" t="n">
        <v>32.0765901309132</v>
      </c>
      <c r="Z7" s="124" t="n">
        <v>0</v>
      </c>
      <c r="AA7" s="119">
        <f>I7-R7</f>
        <v/>
      </c>
      <c r="AB7" s="120">
        <f>J7-S7</f>
        <v/>
      </c>
      <c r="AC7" s="121">
        <f>K7-T7</f>
        <v/>
      </c>
      <c r="AD7" s="121">
        <f>L7-U7</f>
        <v/>
      </c>
      <c r="AE7" s="122">
        <f>M7-V7</f>
        <v/>
      </c>
      <c r="AF7" s="122">
        <f>N7-W7</f>
        <v/>
      </c>
      <c r="AG7" s="122">
        <f>O7-X7</f>
        <v/>
      </c>
      <c r="AH7" s="121">
        <f>P7-Y7</f>
        <v/>
      </c>
      <c r="AI7" s="123">
        <f>Q7-Z7</f>
        <v/>
      </c>
    </row>
    <row r="8">
      <c r="B8" t="inlineStr">
        <is>
          <t>BASEPRICE</t>
        </is>
      </c>
      <c r="C8" s="112" t="n">
        <v>46161</v>
      </c>
      <c r="D8" s="114" t="inlineStr">
        <is>
          <t>Non-QM</t>
        </is>
      </c>
      <c r="E8" s="114" t="inlineStr">
        <is>
          <t>CHNGE 2022-2 B2</t>
        </is>
      </c>
      <c r="F8" s="114" t="inlineStr">
        <is>
          <t>12546YAD3</t>
        </is>
      </c>
      <c r="G8" s="124" t="n">
        <v>4.581078</v>
      </c>
      <c r="H8" s="124" t="n">
        <v>82.665333</v>
      </c>
      <c r="I8" s="125" t="n">
        <v>7.035680611</v>
      </c>
      <c r="J8" s="126" t="n">
        <v>242.620704976</v>
      </c>
      <c r="K8" s="127" t="n">
        <v>10.1</v>
      </c>
      <c r="L8" s="127" t="n">
        <v>9.282702343919659</v>
      </c>
      <c r="M8" s="124" t="n">
        <v>7.5926080634067</v>
      </c>
      <c r="N8" s="124" t="n">
        <v>2.942217366</v>
      </c>
      <c r="O8" s="124" t="n">
        <v>0.818554092</v>
      </c>
      <c r="P8" s="127" t="n">
        <v>27.8209931549972</v>
      </c>
      <c r="Q8" s="124" t="n">
        <v>0</v>
      </c>
      <c r="R8" s="125" t="n">
        <v>7.05560979</v>
      </c>
      <c r="S8" s="126" t="n">
        <v>242.817413621</v>
      </c>
      <c r="T8" s="127" t="n">
        <v>10.516666667</v>
      </c>
      <c r="U8" s="127" t="n">
        <v>9.12930221668616</v>
      </c>
      <c r="V8" s="124" t="n">
        <v>7.79660998401833</v>
      </c>
      <c r="W8" s="124" t="n">
        <v>5.089666204</v>
      </c>
      <c r="X8" s="124" t="n">
        <v>1.395371165</v>
      </c>
      <c r="Y8" s="127" t="n">
        <v>27.4157697002481</v>
      </c>
      <c r="Z8" s="124" t="n">
        <v>0</v>
      </c>
      <c r="AA8" s="119">
        <f>I8-R8</f>
        <v/>
      </c>
      <c r="AB8" s="120">
        <f>J8-S8</f>
        <v/>
      </c>
      <c r="AC8" s="121">
        <f>K8-T8</f>
        <v/>
      </c>
      <c r="AD8" s="121">
        <f>L8-U8</f>
        <v/>
      </c>
      <c r="AE8" s="122">
        <f>M8-V8</f>
        <v/>
      </c>
      <c r="AF8" s="122">
        <f>N8-W8</f>
        <v/>
      </c>
      <c r="AG8" s="122">
        <f>O8-X8</f>
        <v/>
      </c>
      <c r="AH8" s="121">
        <f>P8-Y8</f>
        <v/>
      </c>
      <c r="AI8" s="123">
        <f>Q8-Z8</f>
        <v/>
      </c>
    </row>
    <row r="9">
      <c r="B9" t="inlineStr">
        <is>
          <t>BASEPRICE</t>
        </is>
      </c>
      <c r="C9" s="112" t="n">
        <v>46161</v>
      </c>
      <c r="D9" s="114" t="inlineStr">
        <is>
          <t>Non-QM</t>
        </is>
      </c>
      <c r="E9" s="114" t="inlineStr">
        <is>
          <t>CHNGE 2023-4 B2</t>
        </is>
      </c>
      <c r="F9" s="114" t="inlineStr">
        <is>
          <t>12569QAG5</t>
        </is>
      </c>
      <c r="G9" s="124" t="n">
        <v>8.377264</v>
      </c>
      <c r="H9" s="124" t="n">
        <v>100.159225</v>
      </c>
      <c r="I9" s="125" t="n">
        <v>5.720665448</v>
      </c>
      <c r="J9" s="126" t="n">
        <v>205.946780529</v>
      </c>
      <c r="K9" s="127" t="n">
        <v>0.266666667</v>
      </c>
      <c r="L9" s="127" t="n">
        <v>0.25876942937608</v>
      </c>
      <c r="M9" s="124" t="n">
        <v>0.25876942937608</v>
      </c>
      <c r="N9" s="124" t="n">
        <v>3.670820117</v>
      </c>
      <c r="O9" s="124" t="n">
        <v>1.522282082</v>
      </c>
      <c r="P9" s="127" t="n">
        <v>41.469808747918</v>
      </c>
      <c r="Q9" s="124" t="n">
        <v>0</v>
      </c>
      <c r="R9" s="125" t="n">
        <v>5.722642589</v>
      </c>
      <c r="S9" s="126" t="n">
        <v>206.144498549</v>
      </c>
      <c r="T9" s="127" t="n">
        <v>0.266666667</v>
      </c>
      <c r="U9" s="127" t="n">
        <v>0.258799005283844</v>
      </c>
      <c r="V9" s="124" t="n">
        <v>0.258766681750985</v>
      </c>
      <c r="W9" s="124" t="n">
        <v>5.590411019</v>
      </c>
      <c r="X9" s="124" t="n">
        <v>2.342111791</v>
      </c>
      <c r="Y9" s="127" t="n">
        <v>41.8951626819552</v>
      </c>
      <c r="Z9" s="124" t="n">
        <v>0</v>
      </c>
      <c r="AA9" s="119">
        <f>I9-R9</f>
        <v/>
      </c>
      <c r="AB9" s="120">
        <f>J9-S9</f>
        <v/>
      </c>
      <c r="AC9" s="121">
        <f>K9-T9</f>
        <v/>
      </c>
      <c r="AD9" s="121">
        <f>L9-U9</f>
        <v/>
      </c>
      <c r="AE9" s="122">
        <f>M9-V9</f>
        <v/>
      </c>
      <c r="AF9" s="122">
        <f>N9-W9</f>
        <v/>
      </c>
      <c r="AG9" s="122">
        <f>O9-X9</f>
        <v/>
      </c>
      <c r="AH9" s="121">
        <f>P9-Y9</f>
        <v/>
      </c>
      <c r="AI9" s="123">
        <f>Q9-Z9</f>
        <v/>
      </c>
    </row>
    <row r="10">
      <c r="B10" t="inlineStr">
        <is>
          <t>BASEPRICE</t>
        </is>
      </c>
      <c r="C10" s="112" t="n">
        <v>46161</v>
      </c>
      <c r="D10" s="114" t="inlineStr">
        <is>
          <t>Non-QM</t>
        </is>
      </c>
      <c r="E10" s="114" t="inlineStr">
        <is>
          <t>COLT 2022-3 B2</t>
        </is>
      </c>
      <c r="F10" s="114" t="inlineStr">
        <is>
          <t>12659YAF1</t>
        </is>
      </c>
      <c r="G10" s="124" t="n">
        <v>4.216289</v>
      </c>
      <c r="H10" s="124" t="n">
        <v>81.01502908000001</v>
      </c>
      <c r="I10" s="125" t="n">
        <v>7.119259686</v>
      </c>
      <c r="J10" s="126" t="n">
        <v>252.742054795</v>
      </c>
      <c r="K10" s="127" t="n">
        <v>9.683333333</v>
      </c>
      <c r="L10" s="127" t="n">
        <v>8.39721860283754</v>
      </c>
      <c r="M10" s="124" t="n">
        <v>7.42084546567691</v>
      </c>
      <c r="N10" s="124" t="n">
        <v>3.128038206</v>
      </c>
      <c r="O10" s="124" t="n">
        <v>1.369391609</v>
      </c>
      <c r="P10" s="127" t="n">
        <v>43.7779694114133</v>
      </c>
      <c r="Q10" s="124" t="n">
        <v>0</v>
      </c>
      <c r="R10" s="125" t="n">
        <v>6.944093431</v>
      </c>
      <c r="S10" s="126" t="n">
        <v>227.412671389</v>
      </c>
      <c r="T10" s="127" t="n">
        <v>11.433333333</v>
      </c>
      <c r="U10" s="127" t="n">
        <v>8.84857180625233</v>
      </c>
      <c r="V10" s="124" t="n">
        <v>8.35887551964327</v>
      </c>
      <c r="W10" s="124" t="n">
        <v>5.364584127</v>
      </c>
      <c r="X10" s="124" t="n">
        <v>2.356609498</v>
      </c>
      <c r="Y10" s="127" t="n">
        <v>43.9290249199218</v>
      </c>
      <c r="Z10" s="124" t="n">
        <v>0</v>
      </c>
      <c r="AA10" s="119">
        <f>I10-R10</f>
        <v/>
      </c>
      <c r="AB10" s="120">
        <f>J10-S10</f>
        <v/>
      </c>
      <c r="AC10" s="121">
        <f>K10-T10</f>
        <v/>
      </c>
      <c r="AD10" s="121">
        <f>L10-U10</f>
        <v/>
      </c>
      <c r="AE10" s="122">
        <f>M10-V10</f>
        <v/>
      </c>
      <c r="AF10" s="122">
        <f>N10-W10</f>
        <v/>
      </c>
      <c r="AG10" s="122">
        <f>O10-X10</f>
        <v/>
      </c>
      <c r="AH10" s="121">
        <f>P10-Y10</f>
        <v/>
      </c>
      <c r="AI10" s="123">
        <f>Q10-Z10</f>
        <v/>
      </c>
    </row>
    <row r="11">
      <c r="B11" t="inlineStr">
        <is>
          <t>BASEPRICE</t>
        </is>
      </c>
      <c r="C11" s="112" t="n">
        <v>46161</v>
      </c>
      <c r="D11" s="114" t="inlineStr">
        <is>
          <t>Non-QM</t>
        </is>
      </c>
      <c r="E11" s="114" t="inlineStr">
        <is>
          <t>JPMMT 2025-VIS2 M1</t>
        </is>
      </c>
      <c r="F11" s="114" t="inlineStr">
        <is>
          <t>46659RAF4</t>
        </is>
      </c>
      <c r="G11" s="124" t="n">
        <v>6.204</v>
      </c>
      <c r="H11" s="124" t="n">
        <v>100.3125</v>
      </c>
      <c r="I11" s="125" t="n">
        <v>5.92082628</v>
      </c>
      <c r="J11" s="126" t="n">
        <v>180.219784466</v>
      </c>
      <c r="K11" s="127" t="n">
        <v>2.183333333</v>
      </c>
      <c r="L11" s="127" t="n">
        <v>1.997242828162</v>
      </c>
      <c r="M11" s="124" t="n">
        <v>1.997242828162</v>
      </c>
      <c r="N11" s="124" t="n">
        <v>1.57897188</v>
      </c>
      <c r="O11" s="124" t="n">
        <v>0.936796699</v>
      </c>
      <c r="P11" s="127" t="n">
        <v>59.3295365716076</v>
      </c>
      <c r="Q11" s="124" t="n">
        <v>0</v>
      </c>
      <c r="R11" s="125" t="n">
        <v>5.92082628</v>
      </c>
      <c r="S11" s="126" t="n">
        <v>180.219784466</v>
      </c>
      <c r="T11" s="127" t="n">
        <v>2.183333333</v>
      </c>
      <c r="U11" s="127" t="n">
        <v>1.997242828162</v>
      </c>
      <c r="V11" s="124" t="n">
        <v>1.997242828162</v>
      </c>
      <c r="W11" s="124" t="n">
        <v>3.843644873</v>
      </c>
      <c r="X11" s="124" t="n">
        <v>2.234371475</v>
      </c>
      <c r="Y11" s="127" t="n">
        <v>58.1315794988118</v>
      </c>
      <c r="Z11" s="124" t="n">
        <v>0</v>
      </c>
      <c r="AA11" s="119">
        <f>I11-R11</f>
        <v/>
      </c>
      <c r="AB11" s="120">
        <f>J11-S11</f>
        <v/>
      </c>
      <c r="AC11" s="121">
        <f>K11-T11</f>
        <v/>
      </c>
      <c r="AD11" s="121">
        <f>L11-U11</f>
        <v/>
      </c>
      <c r="AE11" s="122">
        <f>M11-V11</f>
        <v/>
      </c>
      <c r="AF11" s="122">
        <f>N11-W11</f>
        <v/>
      </c>
      <c r="AG11" s="122">
        <f>O11-X11</f>
        <v/>
      </c>
      <c r="AH11" s="121">
        <f>P11-Y11</f>
        <v/>
      </c>
      <c r="AI11" s="123">
        <f>Q11-Z11</f>
        <v/>
      </c>
    </row>
    <row r="12">
      <c r="B12" t="inlineStr">
        <is>
          <t>BASEPRICE</t>
        </is>
      </c>
      <c r="C12" s="112" t="n">
        <v>46161</v>
      </c>
      <c r="D12" s="114" t="inlineStr">
        <is>
          <t>Non-QM</t>
        </is>
      </c>
      <c r="E12" s="114" t="inlineStr">
        <is>
          <t>NYMT 2025-INV2 B1</t>
        </is>
      </c>
      <c r="F12" s="114" t="inlineStr">
        <is>
          <t>62957JAJ0</t>
        </is>
      </c>
      <c r="G12" s="124" t="n">
        <v>6.985</v>
      </c>
      <c r="H12" s="124" t="n">
        <v>99.821855</v>
      </c>
      <c r="I12" s="125" t="n">
        <v>6.988173291</v>
      </c>
      <c r="J12" s="126" t="n">
        <v>278.648504543</v>
      </c>
      <c r="K12" s="127" t="n">
        <v>3.35</v>
      </c>
      <c r="L12" s="127" t="n">
        <v>2.90896442267077</v>
      </c>
      <c r="M12" s="124" t="n">
        <v>2.90896442267077</v>
      </c>
      <c r="N12" s="124" t="n">
        <v>1.95568084</v>
      </c>
      <c r="O12" s="124" t="n">
        <v>1.220734745</v>
      </c>
      <c r="P12" s="127" t="n">
        <v>62.419936833865</v>
      </c>
      <c r="Q12" s="124" t="n">
        <v>0</v>
      </c>
      <c r="R12" s="125" t="n">
        <v>6.988173291</v>
      </c>
      <c r="S12" s="126" t="n">
        <v>278.648504543</v>
      </c>
      <c r="T12" s="127" t="n">
        <v>3.35</v>
      </c>
      <c r="U12" s="127" t="n">
        <v>2.90896442267077</v>
      </c>
      <c r="V12" s="124" t="n">
        <v>2.90896442267077</v>
      </c>
      <c r="W12" s="124" t="n">
        <v>4.220950552</v>
      </c>
      <c r="X12" s="124" t="n">
        <v>2.626523418</v>
      </c>
      <c r="Y12" s="127" t="n">
        <v>62.2258750876739</v>
      </c>
      <c r="Z12" s="124" t="n">
        <v>0</v>
      </c>
      <c r="AA12" s="119">
        <f>I12-R12</f>
        <v/>
      </c>
      <c r="AB12" s="120">
        <f>J12-S12</f>
        <v/>
      </c>
      <c r="AC12" s="121">
        <f>K12-T12</f>
        <v/>
      </c>
      <c r="AD12" s="121">
        <f>L12-U12</f>
        <v/>
      </c>
      <c r="AE12" s="122">
        <f>M12-V12</f>
        <v/>
      </c>
      <c r="AF12" s="122">
        <f>N12-W12</f>
        <v/>
      </c>
      <c r="AG12" s="122">
        <f>O12-X12</f>
        <v/>
      </c>
      <c r="AH12" s="121">
        <f>P12-Y12</f>
        <v/>
      </c>
      <c r="AI12" s="123">
        <f>Q12-Z12</f>
        <v/>
      </c>
    </row>
    <row r="13">
      <c r="B13" t="inlineStr">
        <is>
          <t>BASEPRICE</t>
        </is>
      </c>
      <c r="C13" s="112" t="n">
        <v>46161</v>
      </c>
      <c r="D13" s="114" t="inlineStr">
        <is>
          <t>Non-QM</t>
        </is>
      </c>
      <c r="E13" s="114" t="inlineStr">
        <is>
          <t>VERUS 2022-1 B2</t>
        </is>
      </c>
      <c r="F13" s="114" t="inlineStr">
        <is>
          <t>92538WAF4</t>
        </is>
      </c>
      <c r="G13" s="124" t="n">
        <v>3.97275</v>
      </c>
      <c r="H13" s="124" t="n">
        <v>73.96546764</v>
      </c>
      <c r="I13" s="125" t="n">
        <v>7.367383286</v>
      </c>
      <c r="J13" s="126" t="n">
        <v>268.829812367</v>
      </c>
      <c r="K13" s="127" t="n">
        <v>11.516666667</v>
      </c>
      <c r="L13" s="127" t="n">
        <v>10.2161029871101</v>
      </c>
      <c r="M13" s="124" t="n">
        <v>8.49652533610344</v>
      </c>
      <c r="N13" s="124" t="n">
        <v>3.021600764</v>
      </c>
      <c r="O13" s="124" t="n">
        <v>1.256530189</v>
      </c>
      <c r="P13" s="127" t="n">
        <v>41.5849176360613</v>
      </c>
      <c r="Q13" s="124" t="n">
        <v>0</v>
      </c>
      <c r="R13" s="125" t="n">
        <v>7.215043889</v>
      </c>
      <c r="S13" s="126" t="n">
        <v>249.574673312</v>
      </c>
      <c r="T13" s="127" t="n">
        <v>12.433333333</v>
      </c>
      <c r="U13" s="127" t="n">
        <v>10.5493344136991</v>
      </c>
      <c r="V13" s="124" t="n">
        <v>8.968308303390851</v>
      </c>
      <c r="W13" s="124" t="n">
        <v>4.128746046</v>
      </c>
      <c r="X13" s="124" t="n">
        <v>1.761522096</v>
      </c>
      <c r="Y13" s="127" t="n">
        <v>42.664820659207</v>
      </c>
      <c r="Z13" s="124" t="n">
        <v>0</v>
      </c>
      <c r="AA13" s="119">
        <f>I13-R13</f>
        <v/>
      </c>
      <c r="AB13" s="120">
        <f>J13-S13</f>
        <v/>
      </c>
      <c r="AC13" s="121">
        <f>K13-T13</f>
        <v/>
      </c>
      <c r="AD13" s="121">
        <f>L13-U13</f>
        <v/>
      </c>
      <c r="AE13" s="122">
        <f>M13-V13</f>
        <v/>
      </c>
      <c r="AF13" s="122">
        <f>N13-W13</f>
        <v/>
      </c>
      <c r="AG13" s="122">
        <f>O13-X13</f>
        <v/>
      </c>
      <c r="AH13" s="121">
        <f>P13-Y13</f>
        <v/>
      </c>
      <c r="AI13" s="123">
        <f>Q13-Z13</f>
        <v/>
      </c>
    </row>
    <row r="14">
      <c r="B14" t="inlineStr">
        <is>
          <t>BASEPRICE</t>
        </is>
      </c>
      <c r="C14" s="112" t="n">
        <v>46161</v>
      </c>
      <c r="D14" s="114" t="inlineStr">
        <is>
          <t>Non-QM</t>
        </is>
      </c>
      <c r="E14" s="114" t="inlineStr">
        <is>
          <t>VERUS 2022-3 B2</t>
        </is>
      </c>
      <c r="F14" s="114" t="inlineStr">
        <is>
          <t>92538UAF8</t>
        </is>
      </c>
      <c r="G14" s="124" t="n">
        <v>4.044075</v>
      </c>
      <c r="H14" s="124" t="n">
        <v>76.11934213000001</v>
      </c>
      <c r="I14" s="125" t="n">
        <v>7.12587073</v>
      </c>
      <c r="J14" s="126" t="n">
        <v>245.046411898</v>
      </c>
      <c r="K14" s="127" t="n">
        <v>11.433333333</v>
      </c>
      <c r="L14" s="127" t="n">
        <v>10.0945304964369</v>
      </c>
      <c r="M14" s="124" t="n">
        <v>8.476050586434569</v>
      </c>
      <c r="N14" s="124" t="n">
        <v>3.277475316</v>
      </c>
      <c r="O14" s="124" t="n">
        <v>1.316844609</v>
      </c>
      <c r="P14" s="127" t="n">
        <v>40.1786278167045</v>
      </c>
      <c r="Q14" s="124" t="n">
        <v>0</v>
      </c>
      <c r="R14" s="125" t="n">
        <v>7.015106324</v>
      </c>
      <c r="S14" s="126" t="n">
        <v>230.324818776</v>
      </c>
      <c r="T14" s="127" t="n">
        <v>12.266666667</v>
      </c>
      <c r="U14" s="127" t="n">
        <v>10.2315331636721</v>
      </c>
      <c r="V14" s="124" t="n">
        <v>8.902279841603249</v>
      </c>
      <c r="W14" s="124" t="n">
        <v>4.842939847</v>
      </c>
      <c r="X14" s="124" t="n">
        <v>1.93115953</v>
      </c>
      <c r="Y14" s="127" t="n">
        <v>39.8757694914644</v>
      </c>
      <c r="Z14" s="124" t="n">
        <v>0</v>
      </c>
      <c r="AA14" s="119">
        <f>I14-R14</f>
        <v/>
      </c>
      <c r="AB14" s="120">
        <f>J14-S14</f>
        <v/>
      </c>
      <c r="AC14" s="121">
        <f>K14-T14</f>
        <v/>
      </c>
      <c r="AD14" s="121">
        <f>L14-U14</f>
        <v/>
      </c>
      <c r="AE14" s="122">
        <f>M14-V14</f>
        <v/>
      </c>
      <c r="AF14" s="122">
        <f>N14-W14</f>
        <v/>
      </c>
      <c r="AG14" s="122">
        <f>O14-X14</f>
        <v/>
      </c>
      <c r="AH14" s="121">
        <f>P14-Y14</f>
        <v/>
      </c>
      <c r="AI14" s="123">
        <f>Q14-Z14</f>
        <v/>
      </c>
    </row>
    <row r="15">
      <c r="B15" t="inlineStr">
        <is>
          <t>BASEPRICE</t>
        </is>
      </c>
      <c r="C15" s="128" t="n">
        <v>46161</v>
      </c>
      <c r="D15" s="129" t="inlineStr">
        <is>
          <t>Non-QM</t>
        </is>
      </c>
      <c r="E15" s="129" t="inlineStr">
        <is>
          <t>VISIO 2023-1 B1</t>
        </is>
      </c>
      <c r="F15" s="129" t="inlineStr">
        <is>
          <t>927958AE8</t>
        </is>
      </c>
      <c r="G15" s="130" t="n">
        <v>7.79591</v>
      </c>
      <c r="H15" s="130" t="n">
        <v>100.32828</v>
      </c>
      <c r="I15" s="131" t="n">
        <v>6.188159754</v>
      </c>
      <c r="J15" s="132" t="n">
        <v>245.319621423</v>
      </c>
      <c r="K15" s="133" t="n">
        <v>0.516666667</v>
      </c>
      <c r="L15" s="133" t="n">
        <v>0.495426204854699</v>
      </c>
      <c r="M15" s="130" t="n">
        <v>0.495476018327035</v>
      </c>
      <c r="N15" s="130" t="n">
        <v>4.901521479</v>
      </c>
      <c r="O15" s="130" t="n">
        <v>3.373476863</v>
      </c>
      <c r="P15" s="133" t="n">
        <v>68.825095992199</v>
      </c>
      <c r="Q15" s="130" t="n">
        <v>0</v>
      </c>
      <c r="R15" s="131" t="n">
        <v>6.188790377</v>
      </c>
      <c r="S15" s="132" t="n">
        <v>245.382692315</v>
      </c>
      <c r="T15" s="133" t="n">
        <v>0.516666667</v>
      </c>
      <c r="U15" s="133" t="n">
        <v>0.495082141346383</v>
      </c>
      <c r="V15" s="130" t="n">
        <v>0.495473913237618</v>
      </c>
      <c r="W15" s="130" t="n">
        <v>6.735787215</v>
      </c>
      <c r="X15" s="130" t="n">
        <v>4.564293601</v>
      </c>
      <c r="Y15" s="133" t="n">
        <v>67.7618436466598</v>
      </c>
      <c r="Z15" s="130" t="n">
        <v>0</v>
      </c>
      <c r="AA15" s="134">
        <f>I15-R15</f>
        <v/>
      </c>
      <c r="AB15" s="135">
        <f>J15-S15</f>
        <v/>
      </c>
      <c r="AC15" s="136">
        <f>K15-T15</f>
        <v/>
      </c>
      <c r="AD15" s="136">
        <f>L15-U15</f>
        <v/>
      </c>
      <c r="AE15" s="137">
        <f>M15-V15</f>
        <v/>
      </c>
      <c r="AF15" s="137">
        <f>N15-W15</f>
        <v/>
      </c>
      <c r="AG15" s="137">
        <f>O15-X15</f>
        <v/>
      </c>
      <c r="AH15" s="136">
        <f>P15-Y15</f>
        <v/>
      </c>
      <c r="AI15" s="138">
        <f>Q15-Z15</f>
        <v/>
      </c>
    </row>
  </sheetData>
  <mergeCells count="4">
    <mergeCell ref="R2:Z2"/>
    <mergeCell ref="C2:H2"/>
    <mergeCell ref="AA2:AI2"/>
    <mergeCell ref="I2:Q2"/>
  </mergeCells>
  <conditionalFormatting sqref="AA4:AA15">
    <cfRule type="colorScale" priority="76">
      <colorScale>
        <cfvo type="min"/>
        <cfvo type="num" val="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00F8696B"/>
        <color rgb="00FCFCFF"/>
        <color rgb="0063BE7B"/>
      </colorScale>
    </cfRule>
  </conditionalFormatting>
  <conditionalFormatting sqref="AB4:AB15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00F8696B"/>
        <color rgb="00FCFCFF"/>
        <color rgb="0063BE7B"/>
      </colorScale>
    </cfRule>
  </conditionalFormatting>
  <conditionalFormatting sqref="AC4:AC15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00F8696B"/>
        <color rgb="00FCFCFF"/>
        <color rgb="0063BE7B"/>
      </colorScale>
    </cfRule>
  </conditionalFormatting>
  <conditionalFormatting sqref="AD4:AD15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00F8696B"/>
        <color rgb="00FCFCFF"/>
        <color rgb="0063BE7B"/>
      </colorScale>
    </cfRule>
  </conditionalFormatting>
  <conditionalFormatting sqref="AF4:AF15">
    <cfRule type="colorScale" priority="80">
      <colorScale>
        <cfvo type="min"/>
        <cfvo type="num" val="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conditionalFormatting sqref="AE4:AE15">
    <cfRule type="colorScale" priority="10">
      <colorScale>
        <cfvo type="min"/>
        <cfvo type="percentile" val="50"/>
        <cfvo type="max"/>
        <color rgb="00F8696B"/>
        <color rgb="00FCFCFF"/>
        <color rgb="0063BE7B"/>
      </colorScale>
    </cfRule>
  </conditionalFormatting>
  <conditionalFormatting sqref="AG4:AG15">
    <cfRule type="colorScale" priority="12">
      <colorScale>
        <cfvo type="min"/>
        <cfvo type="percentile" val="50"/>
        <cfvo type="max"/>
        <color rgb="00F8696B"/>
        <color rgb="00FCFCFF"/>
        <color rgb="0063BE7B"/>
      </colorScale>
    </cfRule>
  </conditionalFormatting>
  <conditionalFormatting sqref="AH4:AH15">
    <cfRule type="colorScale" priority="13">
      <colorScale>
        <cfvo type="min"/>
        <cfvo type="percentile" val="50"/>
        <cfvo type="max"/>
        <color rgb="00F8696B"/>
        <color rgb="00FCFCFF"/>
        <color rgb="0063BE7B"/>
      </colorScale>
    </cfRule>
  </conditionalFormatting>
  <conditionalFormatting sqref="AI4:AI15">
    <cfRule type="colorScale" priority="14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Zeng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2026-05-20T19:18:15Z</dcterms:modified>
  <cp:lastModifiedBy>Howard Zeng</cp:lastModifiedBy>
</cp:coreProperties>
</file>