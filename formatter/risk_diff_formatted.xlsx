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hzeng\Desktop\howard-toolbox\formatter\"/>
    </mc:Choice>
  </mc:AlternateContent>
  <xr:revisionPtr revIDLastSave="0" documentId="13_ncr:1_{B58A813D-7220-4819-B131-C8F4C1B60015}" xr6:coauthVersionLast="47" xr6:coauthVersionMax="47" xr10:uidLastSave="{00000000-0000-0000-0000-000000000000}"/>
  <bookViews>
    <workbookView xWindow="4290" yWindow="4290" windowWidth="32145" windowHeight="15345" xr2:uid="{00000000-000D-0000-FFFF-FFFF00000000}"/>
  </bookViews>
  <sheets>
    <sheet name="Ba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9" i="1" l="1"/>
  <c r="AH39" i="1"/>
  <c r="AG39" i="1"/>
  <c r="AF39" i="1"/>
  <c r="AE39" i="1"/>
  <c r="AD39" i="1"/>
  <c r="AC39" i="1"/>
  <c r="AB39" i="1"/>
  <c r="AA39" i="1"/>
  <c r="AI38" i="1"/>
  <c r="AH38" i="1"/>
  <c r="AG38" i="1"/>
  <c r="AF38" i="1"/>
  <c r="AE38" i="1"/>
  <c r="AD38" i="1"/>
  <c r="AC38" i="1"/>
  <c r="AB38" i="1"/>
  <c r="AA38" i="1"/>
  <c r="AI37" i="1"/>
  <c r="AH37" i="1"/>
  <c r="AG37" i="1"/>
  <c r="AF37" i="1"/>
  <c r="AE37" i="1"/>
  <c r="AD37" i="1"/>
  <c r="AC37" i="1"/>
  <c r="AB37" i="1"/>
  <c r="AA37" i="1"/>
  <c r="AI36" i="1"/>
  <c r="AH36" i="1"/>
  <c r="AG36" i="1"/>
  <c r="AF36" i="1"/>
  <c r="AE36" i="1"/>
  <c r="AD36" i="1"/>
  <c r="AC36" i="1"/>
  <c r="AB36" i="1"/>
  <c r="AA36" i="1"/>
  <c r="AI35" i="1"/>
  <c r="AH35" i="1"/>
  <c r="AG35" i="1"/>
  <c r="AF35" i="1"/>
  <c r="AE35" i="1"/>
  <c r="AD35" i="1"/>
  <c r="AC35" i="1"/>
  <c r="AB35" i="1"/>
  <c r="AA35" i="1"/>
  <c r="AI34" i="1"/>
  <c r="AH34" i="1"/>
  <c r="AG34" i="1"/>
  <c r="AF34" i="1"/>
  <c r="AE34" i="1"/>
  <c r="AD34" i="1"/>
  <c r="AC34" i="1"/>
  <c r="AB34" i="1"/>
  <c r="AA34" i="1"/>
  <c r="AI33" i="1"/>
  <c r="AH33" i="1"/>
  <c r="AG33" i="1"/>
  <c r="AF33" i="1"/>
  <c r="AE33" i="1"/>
  <c r="AD33" i="1"/>
  <c r="AC33" i="1"/>
  <c r="AB33" i="1"/>
  <c r="AA33" i="1"/>
  <c r="AI32" i="1"/>
  <c r="AH32" i="1"/>
  <c r="AG32" i="1"/>
  <c r="AF32" i="1"/>
  <c r="AE32" i="1"/>
  <c r="AD32" i="1"/>
  <c r="AC32" i="1"/>
  <c r="AB32" i="1"/>
  <c r="AA32" i="1"/>
  <c r="AI31" i="1"/>
  <c r="AH31" i="1"/>
  <c r="AG31" i="1"/>
  <c r="AF31" i="1"/>
  <c r="AE31" i="1"/>
  <c r="AD31" i="1"/>
  <c r="AC31" i="1"/>
  <c r="AB31" i="1"/>
  <c r="AA31" i="1"/>
  <c r="AI30" i="1"/>
  <c r="AH30" i="1"/>
  <c r="AG30" i="1"/>
  <c r="AF30" i="1"/>
  <c r="AE30" i="1"/>
  <c r="AD30" i="1"/>
  <c r="AC30" i="1"/>
  <c r="AB30" i="1"/>
  <c r="AA30" i="1"/>
  <c r="AI29" i="1"/>
  <c r="AH29" i="1"/>
  <c r="AG29" i="1"/>
  <c r="AF29" i="1"/>
  <c r="AE29" i="1"/>
  <c r="AD29" i="1"/>
  <c r="AC29" i="1"/>
  <c r="AB29" i="1"/>
  <c r="AA29" i="1"/>
  <c r="AI28" i="1"/>
  <c r="AH28" i="1"/>
  <c r="AG28" i="1"/>
  <c r="AF28" i="1"/>
  <c r="AE28" i="1"/>
  <c r="AD28" i="1"/>
  <c r="AC28" i="1"/>
  <c r="AB28" i="1"/>
  <c r="AA28" i="1"/>
  <c r="AI27" i="1"/>
  <c r="AH27" i="1"/>
  <c r="AG27" i="1"/>
  <c r="AF27" i="1"/>
  <c r="AE27" i="1"/>
  <c r="AD27" i="1"/>
  <c r="AC27" i="1"/>
  <c r="AB27" i="1"/>
  <c r="AA27" i="1"/>
  <c r="AI26" i="1"/>
  <c r="AH26" i="1"/>
  <c r="AG26" i="1"/>
  <c r="AF26" i="1"/>
  <c r="AE26" i="1"/>
  <c r="AD26" i="1"/>
  <c r="AC26" i="1"/>
  <c r="AB26" i="1"/>
  <c r="AA26" i="1"/>
  <c r="AI25" i="1"/>
  <c r="AH25" i="1"/>
  <c r="AG25" i="1"/>
  <c r="AF25" i="1"/>
  <c r="AE25" i="1"/>
  <c r="AD25" i="1"/>
  <c r="AC25" i="1"/>
  <c r="AB25" i="1"/>
  <c r="AA25" i="1"/>
  <c r="AI24" i="1"/>
  <c r="AH24" i="1"/>
  <c r="AG24" i="1"/>
  <c r="AF24" i="1"/>
  <c r="AE24" i="1"/>
  <c r="AD24" i="1"/>
  <c r="AC24" i="1"/>
  <c r="AB24" i="1"/>
  <c r="AA24" i="1"/>
  <c r="AI23" i="1"/>
  <c r="AH23" i="1"/>
  <c r="AG23" i="1"/>
  <c r="AF23" i="1"/>
  <c r="AE23" i="1"/>
  <c r="AD23" i="1"/>
  <c r="AC23" i="1"/>
  <c r="AB23" i="1"/>
  <c r="AA23" i="1"/>
  <c r="AI22" i="1"/>
  <c r="AH22" i="1"/>
  <c r="AG22" i="1"/>
  <c r="AF22" i="1"/>
  <c r="AE22" i="1"/>
  <c r="AD22" i="1"/>
  <c r="AC22" i="1"/>
  <c r="AB22" i="1"/>
  <c r="AA22" i="1"/>
  <c r="AI21" i="1"/>
  <c r="AH21" i="1"/>
  <c r="AG21" i="1"/>
  <c r="AF21" i="1"/>
  <c r="AE21" i="1"/>
  <c r="AD21" i="1"/>
  <c r="AC21" i="1"/>
  <c r="AB21" i="1"/>
  <c r="AA21" i="1"/>
  <c r="AI20" i="1"/>
  <c r="AH20" i="1"/>
  <c r="AG20" i="1"/>
  <c r="AF20" i="1"/>
  <c r="AE20" i="1"/>
  <c r="AD20" i="1"/>
  <c r="AC20" i="1"/>
  <c r="AB20" i="1"/>
  <c r="AA20" i="1"/>
  <c r="AI19" i="1"/>
  <c r="AH19" i="1"/>
  <c r="AG19" i="1"/>
  <c r="AF19" i="1"/>
  <c r="AE19" i="1"/>
  <c r="AD19" i="1"/>
  <c r="AC19" i="1"/>
  <c r="AB19" i="1"/>
  <c r="AA19" i="1"/>
  <c r="AI18" i="1"/>
  <c r="AH18" i="1"/>
  <c r="AG18" i="1"/>
  <c r="AF18" i="1"/>
  <c r="AE18" i="1"/>
  <c r="AD18" i="1"/>
  <c r="AC18" i="1"/>
  <c r="AB18" i="1"/>
  <c r="AA18" i="1"/>
  <c r="AI17" i="1"/>
  <c r="AH17" i="1"/>
  <c r="AG17" i="1"/>
  <c r="AF17" i="1"/>
  <c r="AE17" i="1"/>
  <c r="AD17" i="1"/>
  <c r="AC17" i="1"/>
  <c r="AB17" i="1"/>
  <c r="AA17" i="1"/>
  <c r="AI16" i="1"/>
  <c r="AH16" i="1"/>
  <c r="AG16" i="1"/>
  <c r="AF16" i="1"/>
  <c r="AE16" i="1"/>
  <c r="AD16" i="1"/>
  <c r="AC16" i="1"/>
  <c r="AB16" i="1"/>
  <c r="AA16" i="1"/>
  <c r="AI15" i="1"/>
  <c r="AH15" i="1"/>
  <c r="AG15" i="1"/>
  <c r="AF15" i="1"/>
  <c r="AE15" i="1"/>
  <c r="AD15" i="1"/>
  <c r="AC15" i="1"/>
  <c r="AB15" i="1"/>
  <c r="AA15" i="1"/>
  <c r="AI14" i="1"/>
  <c r="AH14" i="1"/>
  <c r="AG14" i="1"/>
  <c r="AF14" i="1"/>
  <c r="AE14" i="1"/>
  <c r="AD14" i="1"/>
  <c r="AC14" i="1"/>
  <c r="AB14" i="1"/>
  <c r="AA14" i="1"/>
  <c r="AI13" i="1"/>
  <c r="AH13" i="1"/>
  <c r="AG13" i="1"/>
  <c r="AF13" i="1"/>
  <c r="AE13" i="1"/>
  <c r="AD13" i="1"/>
  <c r="AC13" i="1"/>
  <c r="AB13" i="1"/>
  <c r="AA13" i="1"/>
  <c r="AI12" i="1"/>
  <c r="AH12" i="1"/>
  <c r="AG12" i="1"/>
  <c r="AF12" i="1"/>
  <c r="AE12" i="1"/>
  <c r="AD12" i="1"/>
  <c r="AC12" i="1"/>
  <c r="AB12" i="1"/>
  <c r="AA12" i="1"/>
  <c r="AI11" i="1"/>
  <c r="AH11" i="1"/>
  <c r="AG11" i="1"/>
  <c r="AF11" i="1"/>
  <c r="AE11" i="1"/>
  <c r="AD11" i="1"/>
  <c r="AC11" i="1"/>
  <c r="AB11" i="1"/>
  <c r="AA11" i="1"/>
  <c r="AI10" i="1"/>
  <c r="AH10" i="1"/>
  <c r="AG10" i="1"/>
  <c r="AF10" i="1"/>
  <c r="AE10" i="1"/>
  <c r="AD10" i="1"/>
  <c r="AC10" i="1"/>
  <c r="AB10" i="1"/>
  <c r="AA10" i="1"/>
  <c r="AI9" i="1"/>
  <c r="AH9" i="1"/>
  <c r="AG9" i="1"/>
  <c r="AF9" i="1"/>
  <c r="AE9" i="1"/>
  <c r="AD9" i="1"/>
  <c r="AC9" i="1"/>
  <c r="AB9" i="1"/>
  <c r="AA9" i="1"/>
  <c r="AI8" i="1"/>
  <c r="AH8" i="1"/>
  <c r="AG8" i="1"/>
  <c r="AF8" i="1"/>
  <c r="AE8" i="1"/>
  <c r="AD8" i="1"/>
  <c r="AC8" i="1"/>
  <c r="AB8" i="1"/>
  <c r="AA8" i="1"/>
  <c r="AI7" i="1"/>
  <c r="AH7" i="1"/>
  <c r="AG7" i="1"/>
  <c r="AF7" i="1"/>
  <c r="AE7" i="1"/>
  <c r="AD7" i="1"/>
  <c r="AC7" i="1"/>
  <c r="AB7" i="1"/>
  <c r="AA7" i="1"/>
  <c r="AI6" i="1"/>
  <c r="AH6" i="1"/>
  <c r="AG6" i="1"/>
  <c r="AF6" i="1"/>
  <c r="AE6" i="1"/>
  <c r="AD6" i="1"/>
  <c r="AC6" i="1"/>
  <c r="AB6" i="1"/>
  <c r="AA6" i="1"/>
  <c r="AI5" i="1"/>
  <c r="AH5" i="1"/>
  <c r="AG5" i="1"/>
  <c r="AF5" i="1"/>
  <c r="AE5" i="1"/>
  <c r="AD5" i="1"/>
  <c r="AC5" i="1"/>
  <c r="AB5" i="1"/>
  <c r="AA5" i="1"/>
  <c r="AI4" i="1"/>
  <c r="AH4" i="1"/>
  <c r="AG4" i="1"/>
  <c r="AF4" i="1"/>
  <c r="AE4" i="1"/>
  <c r="AD4" i="1"/>
  <c r="AC4" i="1"/>
  <c r="AB4" i="1"/>
  <c r="AA4" i="1"/>
</calcChain>
</file>

<file path=xl/sharedStrings.xml><?xml version="1.0" encoding="utf-8"?>
<sst xmlns="http://schemas.openxmlformats.org/spreadsheetml/2006/main" count="181" uniqueCount="96">
  <si>
    <t>Base</t>
  </si>
  <si>
    <t>New</t>
  </si>
  <si>
    <t>Prod</t>
  </si>
  <si>
    <t>Diff (New - Prod)</t>
  </si>
  <si>
    <t>Date</t>
  </si>
  <si>
    <t>Asset Subtype</t>
  </si>
  <si>
    <t>Description</t>
  </si>
  <si>
    <t>Cusip</t>
  </si>
  <si>
    <t>Coupon</t>
  </si>
  <si>
    <t>Mark</t>
  </si>
  <si>
    <t>Yield</t>
  </si>
  <si>
    <t>Zspread</t>
  </si>
  <si>
    <t>WAL</t>
  </si>
  <si>
    <t>Eff Dur</t>
  </si>
  <si>
    <t>Sprd Dur</t>
  </si>
  <si>
    <t>Rem Def</t>
  </si>
  <si>
    <t>Cum loss</t>
  </si>
  <si>
    <t>Sev</t>
  </si>
  <si>
    <t>Writedown</t>
  </si>
  <si>
    <t>BASEPRICE</t>
  </si>
  <si>
    <t>CRT-B1</t>
  </si>
  <si>
    <t>CAS 2019-HRP1 B1</t>
  </si>
  <si>
    <t>20754PAD2</t>
  </si>
  <si>
    <t>CRT-B2</t>
  </si>
  <si>
    <t>CAS 2021-R01 1B2</t>
  </si>
  <si>
    <t>20754RAJ5</t>
  </si>
  <si>
    <t>CAS 2021-R02 2B2</t>
  </si>
  <si>
    <t>20754KAJ0</t>
  </si>
  <si>
    <t>CAS 2022-R02 2B2</t>
  </si>
  <si>
    <t>20754BAJ0</t>
  </si>
  <si>
    <t>CAS 2022-R04 1B2</t>
  </si>
  <si>
    <t>20753YAL6</t>
  </si>
  <si>
    <t>CAS 2022-R06 1B2</t>
  </si>
  <si>
    <t>20754NAR6</t>
  </si>
  <si>
    <t>CAS 2022-R07 1B2</t>
  </si>
  <si>
    <t>20754MAL1</t>
  </si>
  <si>
    <t>STACR 2020-HQA2 B2</t>
  </si>
  <si>
    <t>35565LBE5</t>
  </si>
  <si>
    <t>STACR 2021-DNA1 B2</t>
  </si>
  <si>
    <t>35564KBE8</t>
  </si>
  <si>
    <t>STACR 2021-DNA5 B2</t>
  </si>
  <si>
    <t>35564KJB6</t>
  </si>
  <si>
    <t>STACR 2021-DNA6 B2</t>
  </si>
  <si>
    <t>35564KLV9</t>
  </si>
  <si>
    <t>STACR 2021-DNA7 B2</t>
  </si>
  <si>
    <t>35564KNE5</t>
  </si>
  <si>
    <t>STACR 2021-HQA3 B2</t>
  </si>
  <si>
    <t>35564KKL2</t>
  </si>
  <si>
    <t>STACR 2021-HQA4 B2</t>
  </si>
  <si>
    <t>35564KPP8</t>
  </si>
  <si>
    <t>STACR 2022-DNA2 B2</t>
  </si>
  <si>
    <t>35564KSQ3</t>
  </si>
  <si>
    <t>STACR 2022-HQA1 B2</t>
  </si>
  <si>
    <t>35564KUL1</t>
  </si>
  <si>
    <t>MI-CRT</t>
  </si>
  <si>
    <t>BMIR 2022-2 B1</t>
  </si>
  <si>
    <t>07876GAE0</t>
  </si>
  <si>
    <t>BMIR 2025-1 B1</t>
  </si>
  <si>
    <t>07876NAE5</t>
  </si>
  <si>
    <t>BMIR 2025-1 M1B</t>
  </si>
  <si>
    <t>07876NAB1</t>
  </si>
  <si>
    <t>BMIR 2025-1 M1C</t>
  </si>
  <si>
    <t>07876NAC9</t>
  </si>
  <si>
    <t>BMIR 2025-1 M2</t>
  </si>
  <si>
    <t>07876NAD7</t>
  </si>
  <si>
    <t>EMIR 2023-1 M2</t>
  </si>
  <si>
    <t>26982EAG1</t>
  </si>
  <si>
    <t>HMIR 2023-1 B1</t>
  </si>
  <si>
    <t>43731BAD3</t>
  </si>
  <si>
    <t>RMIR 2022-1 M1B</t>
  </si>
  <si>
    <t>75049XAB8</t>
  </si>
  <si>
    <t>RMIR 2023-1 B1</t>
  </si>
  <si>
    <t>75050KAD8</t>
  </si>
  <si>
    <t>TMIR 2021-3 B1</t>
  </si>
  <si>
    <t>89600HAG4</t>
  </si>
  <si>
    <t>TMIR 2023-1 B1</t>
  </si>
  <si>
    <t>89589AAD1</t>
  </si>
  <si>
    <t>TMIR 2023-1 M1B</t>
  </si>
  <si>
    <t>89589AAB5</t>
  </si>
  <si>
    <t>TMIR 2023-1 M2</t>
  </si>
  <si>
    <t>89589AAC3</t>
  </si>
  <si>
    <t>Short CRT-B2</t>
  </si>
  <si>
    <t>CAS 2020-SBT1 2B1</t>
  </si>
  <si>
    <t>20753VDL9</t>
  </si>
  <si>
    <t>STACR 2018-HQA2 B2</t>
  </si>
  <si>
    <t>35563XBE1</t>
  </si>
  <si>
    <t>STACR 2019-FTR1 B2</t>
  </si>
  <si>
    <t>35564PAC2</t>
  </si>
  <si>
    <t>STACR 2019-FTR3 B2</t>
  </si>
  <si>
    <t>35565EAE2</t>
  </si>
  <si>
    <t>STACR 2019-FTR4 B2</t>
  </si>
  <si>
    <t>35565GAE7</t>
  </si>
  <si>
    <t>STACR 2019-HQA1 B2</t>
  </si>
  <si>
    <t>35563MBE5</t>
  </si>
  <si>
    <t>STACR 2019-HQA2 B2</t>
  </si>
  <si>
    <t>35564MBE4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</si>
</sst>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5" formatCode="_(* #,##0.0_);_(* \(#,##0.0\);_(* &quot;-&quot;??_);_(@_)"/>
    <numFmt numFmtId="166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FF"/>
      <name val="Calibri"/>
    </font>
    <font>
      <b/>
      <sz val="10"/>
      <color rgb="FFFFFFFF"/>
      <name val="Calibri"/>
    </font>
  </fonts>
  <fills count="11">
    <fill>
      <patternFill patternType="none"/>
    </fill>
    <fill>
      <patternFill patternType="gray125"/>
    </fill>
    <fill>
      <patternFill patternType="solid">
        <fgColor theme="5" tint="0.59999389629810485"/>
        <bgColor indexed="65"/>
      </patternFill>
    </fill>
    <fill>
      <patternFill patternType="solid">
        <fgColor rgb="FF1B2A4A"/>
        <bgColor rgb="FF1B2A4A"/>
      </patternFill>
    </fill>
    <fill>
      <patternFill patternType="solid">
        <fgColor rgb="FF2C3E50"/>
        <bgColor rgb="FF2C3E50"/>
      </patternFill>
    </fill>
    <fill>
      <patternFill patternType="solid">
        <fgColor rgb="FF1B4332"/>
        <bgColor rgb="FF1B4332"/>
      </patternFill>
    </fill>
    <fill>
      <patternFill patternType="solid">
        <fgColor rgb="FF6B2C3E"/>
        <bgColor rgb="FF6B2C3E"/>
      </patternFill>
    </fill>
    <fill>
      <patternFill patternType="solid">
        <fgColor rgb="FFE8EDF2"/>
        <bgColor rgb="FFE8EDF2"/>
      </patternFill>
    </fill>
    <fill>
      <patternFill patternType="solid">
        <fgColor rgb="FFE7F0E5"/>
        <bgColor rgb="FFE7F0E5"/>
      </patternFill>
    </fill>
    <fill>
      <patternFill patternType="solid">
        <fgColor rgb="FFFDF2E9"/>
        <bgColor rgb="FFFDF2E9"/>
      </patternFill>
    </fill>
    <fill>
      <patternFill patternType="solid">
        <fgColor rgb="FFF0E6EF"/>
        <bgColor rgb="FFF0E6EF"/>
      </patternFill>
    </fill>
  </fills>
  <borders count="13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thin">
        <color rgb="FF1B2A4A"/>
      </top>
      <bottom style="medium">
        <color rgb="FF1B2A4A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1B2A4A"/>
      </left>
      <right style="thin">
        <color rgb="FF1B2A4A"/>
      </right>
      <top style="thin">
        <color rgb="FF1B2A4A"/>
      </top>
      <bottom style="medium">
        <color rgb="FF1B2A4A"/>
      </bottom>
      <diagonal/>
    </border>
    <border>
      <left style="medium">
        <color rgb="FF1B2A4A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1B2A4A"/>
      </left>
      <right style="thin">
        <color rgb="FF0F1D36"/>
      </right>
      <top style="medium">
        <color rgb="FF1B2A4A"/>
      </top>
      <bottom style="thin">
        <color rgb="FF0F1D36"/>
      </bottom>
      <diagonal/>
    </border>
    <border>
      <left/>
      <right/>
      <top style="medium">
        <color rgb="FF1B2A4A"/>
      </top>
      <bottom/>
      <diagonal/>
    </border>
    <border>
      <left/>
      <right style="medium">
        <color rgb="FF1B2A4A"/>
      </right>
      <top style="medium">
        <color rgb="FF1B2A4A"/>
      </top>
      <bottom/>
      <diagonal/>
    </border>
    <border>
      <left style="thin">
        <color rgb="FF1B2A4A"/>
      </left>
      <right style="medium">
        <color rgb="FF1B2A4A"/>
      </right>
      <top style="thin">
        <color rgb="FF1B2A4A"/>
      </top>
      <bottom style="medium">
        <color rgb="FF1B2A4A"/>
      </bottom>
      <diagonal/>
    </border>
    <border>
      <left style="thin">
        <color rgb="FFD9D9D9"/>
      </left>
      <right style="medium">
        <color rgb="FF1B2A4A"/>
      </right>
      <top style="thin">
        <color rgb="FFD9D9D9"/>
      </top>
      <bottom style="thin">
        <color rgb="FFD9D9D9"/>
      </bottom>
      <diagonal/>
    </border>
    <border>
      <left style="medium">
        <color rgb="FF1B2A4A"/>
      </left>
      <right style="thin">
        <color rgb="FFD9D9D9"/>
      </right>
      <top style="thin">
        <color rgb="FFD9D9D9"/>
      </top>
      <bottom style="medium">
        <color rgb="FF1B2A4A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B2A4A"/>
      </bottom>
      <diagonal/>
    </border>
    <border>
      <left style="thin">
        <color rgb="FFD9D9D9"/>
      </left>
      <right style="medium">
        <color rgb="FF1B2A4A"/>
      </right>
      <top style="thin">
        <color rgb="FFD9D9D9"/>
      </top>
      <bottom style="medium">
        <color rgb="FF1B2A4A"/>
      </bottom>
      <diagonal/>
    </border>
  </borders>
  <cellStyleXfs count="3">
    <xf numFmtId="0" fontId="0" fillId="0" borderId="0"/>
    <xf numFmtId="43" fontId="1" fillId="0" borderId="0"/>
    <xf numFmtId="0" fontId="1" fillId="2" borderId="0"/>
  </cellStyleXfs>
  <cellXfs count="87">
    <xf numFmtId="0" fontId="0" fillId="0" borderId="0" xfId="0"/>
    <xf numFmtId="0" fontId="4" fillId="4" borderId="3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43" fontId="4" fillId="4" borderId="1" xfId="1" applyFont="1" applyFill="1" applyBorder="1" applyAlignment="1">
      <alignment horizontal="center" vertical="center"/>
    </xf>
    <xf numFmtId="43" fontId="4" fillId="5" borderId="3" xfId="1" applyFont="1" applyFill="1" applyBorder="1" applyAlignment="1">
      <alignment horizontal="center" vertical="center"/>
    </xf>
    <xf numFmtId="43" fontId="4" fillId="5" borderId="1" xfId="1" applyFont="1" applyFill="1" applyBorder="1" applyAlignment="1">
      <alignment horizontal="center" vertical="center"/>
    </xf>
    <xf numFmtId="165" fontId="4" fillId="5" borderId="1" xfId="1" applyNumberFormat="1" applyFont="1" applyFill="1" applyBorder="1" applyAlignment="1">
      <alignment horizontal="center" vertical="center"/>
    </xf>
    <xf numFmtId="43" fontId="4" fillId="3" borderId="3" xfId="1" applyFont="1" applyFill="1" applyBorder="1" applyAlignment="1">
      <alignment horizontal="center" vertical="center"/>
    </xf>
    <xf numFmtId="43" fontId="4" fillId="3" borderId="1" xfId="1" applyFont="1" applyFill="1" applyBorder="1" applyAlignment="1">
      <alignment horizontal="center" vertical="center"/>
    </xf>
    <xf numFmtId="43" fontId="4" fillId="6" borderId="3" xfId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8" xfId="0" applyFont="1" applyFill="1" applyBorder="1" applyAlignment="1">
      <alignment horizontal="center" vertical="center"/>
    </xf>
    <xf numFmtId="14" fontId="0" fillId="7" borderId="4" xfId="0" applyNumberFormat="1" applyFill="1" applyBorder="1"/>
    <xf numFmtId="14" fontId="1" fillId="7" borderId="2" xfId="2" applyNumberForma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2" fontId="0" fillId="7" borderId="2" xfId="1" applyNumberFormat="1" applyFont="1" applyFill="1" applyBorder="1" applyAlignment="1">
      <alignment horizontal="right"/>
    </xf>
    <xf numFmtId="2" fontId="0" fillId="7" borderId="4" xfId="1" applyNumberFormat="1" applyFont="1" applyFill="1" applyBorder="1" applyAlignment="1">
      <alignment horizontal="right"/>
    </xf>
    <xf numFmtId="3" fontId="0" fillId="7" borderId="2" xfId="1" applyNumberFormat="1" applyFont="1" applyFill="1" applyBorder="1" applyAlignment="1">
      <alignment horizontal="right"/>
    </xf>
    <xf numFmtId="166" fontId="0" fillId="7" borderId="2" xfId="1" applyNumberFormat="1" applyFont="1" applyFill="1" applyBorder="1" applyAlignment="1">
      <alignment horizontal="right"/>
    </xf>
    <xf numFmtId="166" fontId="0" fillId="7" borderId="2" xfId="1" applyNumberFormat="1" applyFont="1" applyFill="1" applyBorder="1" applyAlignment="1">
      <alignment horizontal="left"/>
    </xf>
    <xf numFmtId="2" fontId="2" fillId="7" borderId="4" xfId="1" applyNumberFormat="1" applyFont="1" applyFill="1" applyBorder="1" applyAlignment="1">
      <alignment horizontal="right"/>
    </xf>
    <xf numFmtId="3" fontId="2" fillId="7" borderId="2" xfId="1" applyNumberFormat="1" applyFont="1" applyFill="1" applyBorder="1" applyAlignment="1">
      <alignment horizontal="right"/>
    </xf>
    <xf numFmtId="166" fontId="2" fillId="7" borderId="2" xfId="1" applyNumberFormat="1" applyFont="1" applyFill="1" applyBorder="1" applyAlignment="1">
      <alignment horizontal="right"/>
    </xf>
    <xf numFmtId="166" fontId="2" fillId="7" borderId="2" xfId="1" applyNumberFormat="1" applyFont="1" applyFill="1" applyBorder="1" applyAlignment="1">
      <alignment horizontal="left"/>
    </xf>
    <xf numFmtId="2" fontId="2" fillId="7" borderId="2" xfId="1" applyNumberFormat="1" applyFont="1" applyFill="1" applyBorder="1" applyAlignment="1">
      <alignment horizontal="right"/>
    </xf>
    <xf numFmtId="2" fontId="2" fillId="7" borderId="9" xfId="1" applyNumberFormat="1" applyFont="1" applyFill="1" applyBorder="1" applyAlignment="1">
      <alignment horizontal="right"/>
    </xf>
    <xf numFmtId="14" fontId="0" fillId="8" borderId="4" xfId="0" applyNumberFormat="1" applyFill="1" applyBorder="1"/>
    <xf numFmtId="0" fontId="0" fillId="8" borderId="2" xfId="0" applyFill="1" applyBorder="1" applyAlignment="1">
      <alignment horizontal="left"/>
    </xf>
    <xf numFmtId="2" fontId="0" fillId="8" borderId="2" xfId="0" applyNumberFormat="1" applyFill="1" applyBorder="1" applyAlignment="1">
      <alignment horizontal="right"/>
    </xf>
    <xf numFmtId="2" fontId="0" fillId="8" borderId="4" xfId="0" applyNumberFormat="1" applyFill="1" applyBorder="1" applyAlignment="1">
      <alignment horizontal="right"/>
    </xf>
    <xf numFmtId="3" fontId="0" fillId="8" borderId="2" xfId="0" applyNumberFormat="1" applyFill="1" applyBorder="1" applyAlignment="1">
      <alignment horizontal="right"/>
    </xf>
    <xf numFmtId="166" fontId="0" fillId="8" borderId="2" xfId="0" applyNumberFormat="1" applyFill="1" applyBorder="1" applyAlignment="1">
      <alignment horizontal="right"/>
    </xf>
    <xf numFmtId="166" fontId="0" fillId="8" borderId="2" xfId="0" applyNumberFormat="1" applyFill="1" applyBorder="1" applyAlignment="1">
      <alignment horizontal="left"/>
    </xf>
    <xf numFmtId="2" fontId="2" fillId="8" borderId="4" xfId="1" applyNumberFormat="1" applyFont="1" applyFill="1" applyBorder="1" applyAlignment="1">
      <alignment horizontal="right"/>
    </xf>
    <xf numFmtId="3" fontId="2" fillId="8" borderId="2" xfId="1" applyNumberFormat="1" applyFont="1" applyFill="1" applyBorder="1" applyAlignment="1">
      <alignment horizontal="right"/>
    </xf>
    <xf numFmtId="166" fontId="2" fillId="8" borderId="2" xfId="1" applyNumberFormat="1" applyFont="1" applyFill="1" applyBorder="1" applyAlignment="1">
      <alignment horizontal="right"/>
    </xf>
    <xf numFmtId="166" fontId="2" fillId="8" borderId="2" xfId="1" applyNumberFormat="1" applyFont="1" applyFill="1" applyBorder="1" applyAlignment="1">
      <alignment horizontal="left"/>
    </xf>
    <xf numFmtId="2" fontId="2" fillId="8" borderId="2" xfId="1" applyNumberFormat="1" applyFont="1" applyFill="1" applyBorder="1" applyAlignment="1">
      <alignment horizontal="right"/>
    </xf>
    <xf numFmtId="2" fontId="2" fillId="8" borderId="9" xfId="1" applyNumberFormat="1" applyFont="1" applyFill="1" applyBorder="1" applyAlignment="1">
      <alignment horizontal="right"/>
    </xf>
    <xf numFmtId="14" fontId="0" fillId="9" borderId="4" xfId="0" applyNumberFormat="1" applyFill="1" applyBorder="1"/>
    <xf numFmtId="0" fontId="0" fillId="9" borderId="2" xfId="0" applyFill="1" applyBorder="1" applyAlignment="1">
      <alignment horizontal="left"/>
    </xf>
    <xf numFmtId="2" fontId="0" fillId="9" borderId="2" xfId="0" applyNumberFormat="1" applyFill="1" applyBorder="1" applyAlignment="1">
      <alignment horizontal="right"/>
    </xf>
    <xf numFmtId="2" fontId="0" fillId="9" borderId="4" xfId="0" applyNumberFormat="1" applyFill="1" applyBorder="1" applyAlignment="1">
      <alignment horizontal="right"/>
    </xf>
    <xf numFmtId="3" fontId="0" fillId="9" borderId="2" xfId="0" applyNumberFormat="1" applyFill="1" applyBorder="1" applyAlignment="1">
      <alignment horizontal="right"/>
    </xf>
    <xf numFmtId="166" fontId="0" fillId="9" borderId="2" xfId="0" applyNumberFormat="1" applyFill="1" applyBorder="1" applyAlignment="1">
      <alignment horizontal="right"/>
    </xf>
    <xf numFmtId="166" fontId="0" fillId="9" borderId="2" xfId="0" applyNumberFormat="1" applyFill="1" applyBorder="1" applyAlignment="1">
      <alignment horizontal="left"/>
    </xf>
    <xf numFmtId="2" fontId="2" fillId="9" borderId="4" xfId="1" applyNumberFormat="1" applyFont="1" applyFill="1" applyBorder="1" applyAlignment="1">
      <alignment horizontal="right"/>
    </xf>
    <xf numFmtId="3" fontId="2" fillId="9" borderId="2" xfId="1" applyNumberFormat="1" applyFont="1" applyFill="1" applyBorder="1" applyAlignment="1">
      <alignment horizontal="right"/>
    </xf>
    <xf numFmtId="166" fontId="2" fillId="9" borderId="2" xfId="1" applyNumberFormat="1" applyFont="1" applyFill="1" applyBorder="1" applyAlignment="1">
      <alignment horizontal="right"/>
    </xf>
    <xf numFmtId="166" fontId="2" fillId="9" borderId="2" xfId="1" applyNumberFormat="1" applyFont="1" applyFill="1" applyBorder="1" applyAlignment="1">
      <alignment horizontal="left"/>
    </xf>
    <xf numFmtId="2" fontId="2" fillId="9" borderId="2" xfId="1" applyNumberFormat="1" applyFont="1" applyFill="1" applyBorder="1" applyAlignment="1">
      <alignment horizontal="right"/>
    </xf>
    <xf numFmtId="2" fontId="2" fillId="9" borderId="9" xfId="1" applyNumberFormat="1" applyFont="1" applyFill="1" applyBorder="1" applyAlignment="1">
      <alignment horizontal="right"/>
    </xf>
    <xf numFmtId="14" fontId="0" fillId="10" borderId="4" xfId="0" applyNumberFormat="1" applyFill="1" applyBorder="1"/>
    <xf numFmtId="0" fontId="0" fillId="10" borderId="2" xfId="0" applyFill="1" applyBorder="1" applyAlignment="1">
      <alignment horizontal="left"/>
    </xf>
    <xf numFmtId="2" fontId="0" fillId="10" borderId="2" xfId="0" applyNumberFormat="1" applyFill="1" applyBorder="1" applyAlignment="1">
      <alignment horizontal="right"/>
    </xf>
    <xf numFmtId="2" fontId="0" fillId="10" borderId="4" xfId="0" applyNumberFormat="1" applyFill="1" applyBorder="1" applyAlignment="1">
      <alignment horizontal="right"/>
    </xf>
    <xf numFmtId="3" fontId="0" fillId="10" borderId="2" xfId="0" applyNumberFormat="1" applyFill="1" applyBorder="1" applyAlignment="1">
      <alignment horizontal="right"/>
    </xf>
    <xf numFmtId="166" fontId="0" fillId="10" borderId="2" xfId="0" applyNumberFormat="1" applyFill="1" applyBorder="1" applyAlignment="1">
      <alignment horizontal="right"/>
    </xf>
    <xf numFmtId="166" fontId="0" fillId="10" borderId="2" xfId="0" applyNumberFormat="1" applyFill="1" applyBorder="1" applyAlignment="1">
      <alignment horizontal="left"/>
    </xf>
    <xf numFmtId="2" fontId="2" fillId="10" borderId="4" xfId="1" applyNumberFormat="1" applyFont="1" applyFill="1" applyBorder="1" applyAlignment="1">
      <alignment horizontal="right"/>
    </xf>
    <xf numFmtId="3" fontId="2" fillId="10" borderId="2" xfId="1" applyNumberFormat="1" applyFont="1" applyFill="1" applyBorder="1" applyAlignment="1">
      <alignment horizontal="right"/>
    </xf>
    <xf numFmtId="166" fontId="2" fillId="10" borderId="2" xfId="1" applyNumberFormat="1" applyFont="1" applyFill="1" applyBorder="1" applyAlignment="1">
      <alignment horizontal="right"/>
    </xf>
    <xf numFmtId="166" fontId="2" fillId="10" borderId="2" xfId="1" applyNumberFormat="1" applyFont="1" applyFill="1" applyBorder="1" applyAlignment="1">
      <alignment horizontal="left"/>
    </xf>
    <xf numFmtId="2" fontId="2" fillId="10" borderId="2" xfId="1" applyNumberFormat="1" applyFont="1" applyFill="1" applyBorder="1" applyAlignment="1">
      <alignment horizontal="right"/>
    </xf>
    <xf numFmtId="2" fontId="2" fillId="10" borderId="9" xfId="1" applyNumberFormat="1" applyFont="1" applyFill="1" applyBorder="1" applyAlignment="1">
      <alignment horizontal="right"/>
    </xf>
    <xf numFmtId="14" fontId="0" fillId="10" borderId="10" xfId="0" applyNumberFormat="1" applyFill="1" applyBorder="1"/>
    <xf numFmtId="0" fontId="0" fillId="10" borderId="11" xfId="0" applyFill="1" applyBorder="1" applyAlignment="1">
      <alignment horizontal="left"/>
    </xf>
    <xf numFmtId="2" fontId="0" fillId="10" borderId="11" xfId="0" applyNumberFormat="1" applyFill="1" applyBorder="1" applyAlignment="1">
      <alignment horizontal="right"/>
    </xf>
    <xf numFmtId="2" fontId="0" fillId="10" borderId="10" xfId="0" applyNumberFormat="1" applyFill="1" applyBorder="1" applyAlignment="1">
      <alignment horizontal="right"/>
    </xf>
    <xf numFmtId="3" fontId="0" fillId="10" borderId="11" xfId="0" applyNumberFormat="1" applyFill="1" applyBorder="1" applyAlignment="1">
      <alignment horizontal="right"/>
    </xf>
    <xf numFmtId="166" fontId="0" fillId="10" borderId="11" xfId="0" applyNumberFormat="1" applyFill="1" applyBorder="1" applyAlignment="1">
      <alignment horizontal="right"/>
    </xf>
    <xf numFmtId="166" fontId="0" fillId="10" borderId="11" xfId="0" applyNumberFormat="1" applyFill="1" applyBorder="1" applyAlignment="1">
      <alignment horizontal="left"/>
    </xf>
    <xf numFmtId="2" fontId="2" fillId="10" borderId="10" xfId="1" applyNumberFormat="1" applyFont="1" applyFill="1" applyBorder="1" applyAlignment="1">
      <alignment horizontal="right"/>
    </xf>
    <xf numFmtId="3" fontId="2" fillId="10" borderId="11" xfId="1" applyNumberFormat="1" applyFont="1" applyFill="1" applyBorder="1" applyAlignment="1">
      <alignment horizontal="right"/>
    </xf>
    <xf numFmtId="166" fontId="2" fillId="10" borderId="11" xfId="1" applyNumberFormat="1" applyFont="1" applyFill="1" applyBorder="1" applyAlignment="1">
      <alignment horizontal="right"/>
    </xf>
    <xf numFmtId="166" fontId="2" fillId="10" borderId="11" xfId="1" applyNumberFormat="1" applyFont="1" applyFill="1" applyBorder="1" applyAlignment="1">
      <alignment horizontal="left"/>
    </xf>
    <xf numFmtId="2" fontId="2" fillId="10" borderId="11" xfId="1" applyNumberFormat="1" applyFont="1" applyFill="1" applyBorder="1" applyAlignment="1">
      <alignment horizontal="right"/>
    </xf>
    <xf numFmtId="2" fontId="2" fillId="10" borderId="12" xfId="1" applyNumberFormat="1" applyFont="1" applyFill="1" applyBorder="1" applyAlignment="1">
      <alignment horizontal="right"/>
    </xf>
    <xf numFmtId="43" fontId="3" fillId="3" borderId="5" xfId="1" applyFont="1" applyFill="1" applyBorder="1" applyAlignment="1">
      <alignment horizontal="center" vertical="center"/>
    </xf>
    <xf numFmtId="0" fontId="0" fillId="3" borderId="6" xfId="0" applyFill="1" applyBorder="1"/>
    <xf numFmtId="0" fontId="3" fillId="4" borderId="5" xfId="0" applyFont="1" applyFill="1" applyBorder="1" applyAlignment="1">
      <alignment horizontal="center" vertical="center"/>
    </xf>
    <xf numFmtId="0" fontId="0" fillId="4" borderId="6" xfId="0" applyFill="1" applyBorder="1"/>
    <xf numFmtId="0" fontId="3" fillId="6" borderId="5" xfId="2" applyFont="1" applyFill="1" applyBorder="1" applyAlignment="1">
      <alignment horizontal="center" vertical="center"/>
    </xf>
    <xf numFmtId="0" fontId="0" fillId="6" borderId="6" xfId="0" applyFill="1" applyBorder="1"/>
    <xf numFmtId="0" fontId="0" fillId="6" borderId="7" xfId="0" applyFill="1" applyBorder="1"/>
    <xf numFmtId="43" fontId="3" fillId="5" borderId="5" xfId="1" applyFont="1" applyFill="1" applyBorder="1" applyAlignment="1">
      <alignment horizontal="center" vertical="center"/>
    </xf>
    <xf numFmtId="0" fontId="0" fillId="5" borderId="6" xfId="0" applyFill="1" applyBorder="1"/>
  </cellXfs>
  <cellStyles count="3">
    <cellStyle name="40% - Accent2" xfId="2" builtinId="35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39"/>
  <sheetViews>
    <sheetView showGridLines="0" tabSelected="1" zoomScale="70" zoomScaleNormal="70" workbookViewId="0">
      <pane ySplit="3" topLeftCell="A4" activePane="bottomLeft" state="frozen"/>
      <selection pane="bottomLeft" activeCell="AE13" sqref="AE13"/>
    </sheetView>
  </sheetViews>
  <sheetFormatPr defaultRowHeight="15" x14ac:dyDescent="0.25"/>
  <cols>
    <col min="2" max="2" width="12.85546875" bestFit="1" customWidth="1"/>
    <col min="3" max="3" width="13" bestFit="1" customWidth="1"/>
    <col min="4" max="4" width="15" bestFit="1" customWidth="1"/>
    <col min="5" max="5" width="20" bestFit="1" customWidth="1"/>
    <col min="6" max="6" width="11" bestFit="1" customWidth="1"/>
    <col min="7" max="9" width="8" bestFit="1" customWidth="1"/>
    <col min="10" max="10" width="9" bestFit="1" customWidth="1"/>
    <col min="11" max="11" width="8" bestFit="1" customWidth="1"/>
    <col min="12" max="12" width="9" hidden="1" customWidth="1"/>
    <col min="13" max="13" width="10" bestFit="1" customWidth="1"/>
    <col min="14" max="14" width="9" bestFit="1" customWidth="1"/>
    <col min="15" max="15" width="10" bestFit="1" customWidth="1"/>
    <col min="16" max="16" width="8" bestFit="1" customWidth="1"/>
    <col min="17" max="17" width="11" hidden="1" bestFit="1" customWidth="1"/>
    <col min="18" max="18" width="8" bestFit="1" customWidth="1"/>
    <col min="19" max="19" width="9" bestFit="1" customWidth="1"/>
    <col min="20" max="20" width="8" bestFit="1" customWidth="1"/>
    <col min="21" max="21" width="9" hidden="1" customWidth="1"/>
    <col min="22" max="22" width="10" bestFit="1" customWidth="1"/>
    <col min="23" max="23" width="9" bestFit="1" customWidth="1"/>
    <col min="24" max="24" width="10" bestFit="1" customWidth="1"/>
    <col min="25" max="25" width="8" bestFit="1" customWidth="1"/>
    <col min="26" max="26" width="11" hidden="1" bestFit="1" customWidth="1"/>
    <col min="27" max="27" width="8" bestFit="1" customWidth="1"/>
    <col min="28" max="28" width="9" bestFit="1" customWidth="1"/>
    <col min="29" max="29" width="8" bestFit="1" customWidth="1"/>
    <col min="30" max="30" width="9" hidden="1" customWidth="1"/>
    <col min="31" max="31" width="10" bestFit="1" customWidth="1"/>
    <col min="32" max="32" width="9" bestFit="1" customWidth="1"/>
    <col min="33" max="33" width="10" bestFit="1" customWidth="1"/>
    <col min="34" max="34" width="8" bestFit="1" customWidth="1"/>
    <col min="35" max="35" width="11" hidden="1" bestFit="1" customWidth="1"/>
  </cols>
  <sheetData>
    <row r="1" spans="2:35" ht="15.75" customHeight="1" thickBot="1" x14ac:dyDescent="0.3"/>
    <row r="2" spans="2:35" ht="15.75" customHeight="1" thickBot="1" x14ac:dyDescent="0.3">
      <c r="C2" s="80" t="s">
        <v>0</v>
      </c>
      <c r="D2" s="81"/>
      <c r="E2" s="81"/>
      <c r="F2" s="81"/>
      <c r="G2" s="81"/>
      <c r="H2" s="81"/>
      <c r="I2" s="85" t="s">
        <v>1</v>
      </c>
      <c r="J2" s="86"/>
      <c r="K2" s="86"/>
      <c r="L2" s="86"/>
      <c r="M2" s="86"/>
      <c r="N2" s="86"/>
      <c r="O2" s="86"/>
      <c r="P2" s="86"/>
      <c r="Q2" s="86"/>
      <c r="R2" s="78" t="s">
        <v>2</v>
      </c>
      <c r="S2" s="79"/>
      <c r="T2" s="79"/>
      <c r="U2" s="79"/>
      <c r="V2" s="79"/>
      <c r="W2" s="79"/>
      <c r="X2" s="79"/>
      <c r="Y2" s="79"/>
      <c r="Z2" s="79"/>
      <c r="AA2" s="82" t="s">
        <v>3</v>
      </c>
      <c r="AB2" s="83"/>
      <c r="AC2" s="83"/>
      <c r="AD2" s="83"/>
      <c r="AE2" s="83"/>
      <c r="AF2" s="83"/>
      <c r="AG2" s="83"/>
      <c r="AH2" s="83"/>
      <c r="AI2" s="84"/>
    </row>
    <row r="3" spans="2:35" ht="15.75" customHeight="1" thickBot="1" x14ac:dyDescent="0.3">
      <c r="C3" s="1" t="s">
        <v>4</v>
      </c>
      <c r="D3" s="2" t="s">
        <v>5</v>
      </c>
      <c r="E3" s="2" t="s">
        <v>6</v>
      </c>
      <c r="F3" s="2" t="s">
        <v>7</v>
      </c>
      <c r="G3" s="3" t="s">
        <v>8</v>
      </c>
      <c r="H3" s="3" t="s">
        <v>9</v>
      </c>
      <c r="I3" s="4" t="s">
        <v>10</v>
      </c>
      <c r="J3" s="5" t="s">
        <v>11</v>
      </c>
      <c r="K3" s="5" t="s">
        <v>12</v>
      </c>
      <c r="L3" s="6" t="s">
        <v>13</v>
      </c>
      <c r="M3" s="5" t="s">
        <v>14</v>
      </c>
      <c r="N3" s="5" t="s">
        <v>15</v>
      </c>
      <c r="O3" s="5" t="s">
        <v>16</v>
      </c>
      <c r="P3" s="5" t="s">
        <v>17</v>
      </c>
      <c r="Q3" s="5" t="s">
        <v>18</v>
      </c>
      <c r="R3" s="7" t="s">
        <v>10</v>
      </c>
      <c r="S3" s="8" t="s">
        <v>11</v>
      </c>
      <c r="T3" s="8" t="s">
        <v>12</v>
      </c>
      <c r="U3" s="8" t="s">
        <v>13</v>
      </c>
      <c r="V3" s="8" t="s">
        <v>14</v>
      </c>
      <c r="W3" s="8" t="s">
        <v>15</v>
      </c>
      <c r="X3" s="8" t="s">
        <v>16</v>
      </c>
      <c r="Y3" s="8" t="s">
        <v>17</v>
      </c>
      <c r="Z3" s="8" t="s">
        <v>18</v>
      </c>
      <c r="AA3" s="9" t="s">
        <v>10</v>
      </c>
      <c r="AB3" s="10" t="s">
        <v>11</v>
      </c>
      <c r="AC3" s="10" t="s">
        <v>12</v>
      </c>
      <c r="AD3" s="10" t="s">
        <v>13</v>
      </c>
      <c r="AE3" s="10" t="s">
        <v>14</v>
      </c>
      <c r="AF3" s="10" t="s">
        <v>15</v>
      </c>
      <c r="AG3" s="10" t="s">
        <v>16</v>
      </c>
      <c r="AH3" s="10" t="s">
        <v>17</v>
      </c>
      <c r="AI3" s="11" t="s">
        <v>18</v>
      </c>
    </row>
    <row r="4" spans="2:35" x14ac:dyDescent="0.25">
      <c r="B4" t="s">
        <v>19</v>
      </c>
      <c r="C4" s="12">
        <v>46078</v>
      </c>
      <c r="D4" s="13" t="s">
        <v>20</v>
      </c>
      <c r="E4" s="13" t="s">
        <v>21</v>
      </c>
      <c r="F4" s="14" t="s">
        <v>22</v>
      </c>
      <c r="G4" s="15">
        <v>13.031689999999999</v>
      </c>
      <c r="H4" s="15">
        <v>105.2</v>
      </c>
      <c r="I4" s="16">
        <v>5.619652576</v>
      </c>
      <c r="J4" s="17">
        <v>203.52345899400001</v>
      </c>
      <c r="K4" s="18">
        <v>0.71174820000000005</v>
      </c>
      <c r="L4" s="19"/>
      <c r="M4" s="15">
        <v>0.67269661216729104</v>
      </c>
      <c r="N4" s="15">
        <v>1.348098537</v>
      </c>
      <c r="O4" s="15">
        <v>4.5678831000000003E-2</v>
      </c>
      <c r="P4" s="18">
        <v>3.38838962778282</v>
      </c>
      <c r="Q4" s="15">
        <v>0</v>
      </c>
      <c r="R4" s="16">
        <v>5.5584029700000004</v>
      </c>
      <c r="S4" s="17">
        <v>197.355285952</v>
      </c>
      <c r="T4" s="18">
        <v>0.70583887300000003</v>
      </c>
      <c r="U4" s="18">
        <v>8.6697595057030397E-2</v>
      </c>
      <c r="V4" s="15">
        <v>0.66753172243345804</v>
      </c>
      <c r="W4" s="15">
        <v>1.3216746559999999</v>
      </c>
      <c r="X4" s="15">
        <v>4.4605877000000002E-2</v>
      </c>
      <c r="Y4" s="18">
        <v>3.3749513768386898</v>
      </c>
      <c r="Z4" s="15">
        <v>0</v>
      </c>
      <c r="AA4" s="20">
        <f t="shared" ref="AA4:AA39" si="0">I4-R4</f>
        <v>6.1249605999999623E-2</v>
      </c>
      <c r="AB4" s="21">
        <f t="shared" ref="AB4:AB39" si="1">J4-S4</f>
        <v>6.1681730420000065</v>
      </c>
      <c r="AC4" s="22">
        <f t="shared" ref="AC4:AC39" si="2">K4-T4</f>
        <v>5.9093270000000198E-3</v>
      </c>
      <c r="AD4" s="23">
        <f t="shared" ref="AD4:AD39" si="3">L4-U4</f>
        <v>-8.6697595057030397E-2</v>
      </c>
      <c r="AE4" s="24">
        <f t="shared" ref="AE4:AE39" si="4">M4-V4</f>
        <v>5.1648897338330002E-3</v>
      </c>
      <c r="AF4" s="24">
        <f t="shared" ref="AF4:AF39" si="5">N4-W4</f>
        <v>2.6423881000000149E-2</v>
      </c>
      <c r="AG4" s="24">
        <f t="shared" ref="AG4:AG39" si="6">O4-X4</f>
        <v>1.072954000000001E-3</v>
      </c>
      <c r="AH4" s="22">
        <f t="shared" ref="AH4:AH39" si="7">P4-Y4</f>
        <v>1.3438250944130203E-2</v>
      </c>
      <c r="AI4" s="25">
        <f t="shared" ref="AI4:AI39" si="8">Q4-Z4</f>
        <v>0</v>
      </c>
    </row>
    <row r="5" spans="2:35" x14ac:dyDescent="0.25">
      <c r="B5" t="s">
        <v>19</v>
      </c>
      <c r="C5" s="26">
        <v>46078</v>
      </c>
      <c r="D5" s="27" t="s">
        <v>23</v>
      </c>
      <c r="E5" s="27" t="s">
        <v>24</v>
      </c>
      <c r="F5" s="27" t="s">
        <v>25</v>
      </c>
      <c r="G5" s="28">
        <v>9.6672100000000007</v>
      </c>
      <c r="H5" s="28">
        <v>102.796875</v>
      </c>
      <c r="I5" s="29">
        <v>5.4408795259999998</v>
      </c>
      <c r="J5" s="30">
        <v>184.00562770100001</v>
      </c>
      <c r="K5" s="31">
        <v>0.66944444400000003</v>
      </c>
      <c r="L5" s="32"/>
      <c r="M5" s="28">
        <v>0.63915963982368396</v>
      </c>
      <c r="N5" s="28">
        <v>0.47426048599999998</v>
      </c>
      <c r="O5" s="28">
        <v>1.7420860999999999E-2</v>
      </c>
      <c r="P5" s="31">
        <v>3.6732684915268301</v>
      </c>
      <c r="Q5" s="28">
        <v>0</v>
      </c>
      <c r="R5" s="29">
        <v>5.4408795259999998</v>
      </c>
      <c r="S5" s="30">
        <v>184.00562770100001</v>
      </c>
      <c r="T5" s="31">
        <v>0.66944444400000003</v>
      </c>
      <c r="U5" s="31">
        <v>8.1388815564667399E-2</v>
      </c>
      <c r="V5" s="28">
        <v>0.63915963982368396</v>
      </c>
      <c r="W5" s="28">
        <v>0.46145217100000002</v>
      </c>
      <c r="X5" s="28">
        <v>1.7424296999999998E-2</v>
      </c>
      <c r="Y5" s="31">
        <v>3.77597031610888</v>
      </c>
      <c r="Z5" s="28">
        <v>0</v>
      </c>
      <c r="AA5" s="33">
        <f t="shared" si="0"/>
        <v>0</v>
      </c>
      <c r="AB5" s="34">
        <f t="shared" si="1"/>
        <v>0</v>
      </c>
      <c r="AC5" s="35">
        <f t="shared" si="2"/>
        <v>0</v>
      </c>
      <c r="AD5" s="36">
        <f t="shared" si="3"/>
        <v>-8.1388815564667399E-2</v>
      </c>
      <c r="AE5" s="37">
        <f t="shared" si="4"/>
        <v>0</v>
      </c>
      <c r="AF5" s="37">
        <f t="shared" si="5"/>
        <v>1.2808314999999959E-2</v>
      </c>
      <c r="AG5" s="37">
        <f t="shared" si="6"/>
        <v>-3.4359999999990232E-6</v>
      </c>
      <c r="AH5" s="35">
        <f t="shared" si="7"/>
        <v>-0.10270182458204991</v>
      </c>
      <c r="AI5" s="38">
        <f t="shared" si="8"/>
        <v>0</v>
      </c>
    </row>
    <row r="6" spans="2:35" x14ac:dyDescent="0.25">
      <c r="B6" t="s">
        <v>19</v>
      </c>
      <c r="C6" s="26">
        <v>46078</v>
      </c>
      <c r="D6" s="27" t="s">
        <v>23</v>
      </c>
      <c r="E6" s="27" t="s">
        <v>26</v>
      </c>
      <c r="F6" s="27" t="s">
        <v>27</v>
      </c>
      <c r="G6" s="28">
        <v>9.86721</v>
      </c>
      <c r="H6" s="28">
        <v>103.28125</v>
      </c>
      <c r="I6" s="29">
        <v>5.4188675399999999</v>
      </c>
      <c r="J6" s="30">
        <v>183.815661038</v>
      </c>
      <c r="K6" s="31">
        <v>0.75</v>
      </c>
      <c r="L6" s="32"/>
      <c r="M6" s="28">
        <v>0.71498202723147297</v>
      </c>
      <c r="N6" s="28">
        <v>0.75808340500000004</v>
      </c>
      <c r="O6" s="28">
        <v>3.8248566999999997E-2</v>
      </c>
      <c r="P6" s="31">
        <v>5.0454299286501296</v>
      </c>
      <c r="Q6" s="28">
        <v>0</v>
      </c>
      <c r="R6" s="29">
        <v>5.4188675399999999</v>
      </c>
      <c r="S6" s="30">
        <v>183.815661038</v>
      </c>
      <c r="T6" s="31">
        <v>0.75</v>
      </c>
      <c r="U6" s="31">
        <v>8.21372950075661E-2</v>
      </c>
      <c r="V6" s="28">
        <v>0.71498202723147297</v>
      </c>
      <c r="W6" s="28">
        <v>0.72538338700000005</v>
      </c>
      <c r="X6" s="28">
        <v>3.6494427000000003E-2</v>
      </c>
      <c r="Y6" s="31">
        <v>5.0310535992465502</v>
      </c>
      <c r="Z6" s="28">
        <v>0</v>
      </c>
      <c r="AA6" s="33">
        <f t="shared" si="0"/>
        <v>0</v>
      </c>
      <c r="AB6" s="34">
        <f t="shared" si="1"/>
        <v>0</v>
      </c>
      <c r="AC6" s="35">
        <f t="shared" si="2"/>
        <v>0</v>
      </c>
      <c r="AD6" s="36">
        <f t="shared" si="3"/>
        <v>-8.21372950075661E-2</v>
      </c>
      <c r="AE6" s="37">
        <f t="shared" si="4"/>
        <v>0</v>
      </c>
      <c r="AF6" s="37">
        <f t="shared" si="5"/>
        <v>3.2700017999999997E-2</v>
      </c>
      <c r="AG6" s="37">
        <f t="shared" si="6"/>
        <v>1.7541399999999943E-3</v>
      </c>
      <c r="AH6" s="35">
        <f t="shared" si="7"/>
        <v>1.4376329403579469E-2</v>
      </c>
      <c r="AI6" s="38">
        <f t="shared" si="8"/>
        <v>0</v>
      </c>
    </row>
    <row r="7" spans="2:35" x14ac:dyDescent="0.25">
      <c r="B7" t="s">
        <v>19</v>
      </c>
      <c r="C7" s="26">
        <v>46078</v>
      </c>
      <c r="D7" s="27" t="s">
        <v>23</v>
      </c>
      <c r="E7" s="27" t="s">
        <v>28</v>
      </c>
      <c r="F7" s="27" t="s">
        <v>29</v>
      </c>
      <c r="G7" s="28">
        <v>11.317209999999999</v>
      </c>
      <c r="H7" s="28">
        <v>105.2</v>
      </c>
      <c r="I7" s="29">
        <v>5.4801712609999997</v>
      </c>
      <c r="J7" s="30">
        <v>193.89303531100001</v>
      </c>
      <c r="K7" s="31">
        <v>0.91666666699999999</v>
      </c>
      <c r="L7" s="32"/>
      <c r="M7" s="28">
        <v>0.86301258650189405</v>
      </c>
      <c r="N7" s="28">
        <v>0.84145916700000001</v>
      </c>
      <c r="O7" s="28">
        <v>4.6297505000000003E-2</v>
      </c>
      <c r="P7" s="31">
        <v>5.5020501072038401</v>
      </c>
      <c r="Q7" s="28">
        <v>0</v>
      </c>
      <c r="R7" s="29">
        <v>5.4801712609999997</v>
      </c>
      <c r="S7" s="30">
        <v>193.89303531100001</v>
      </c>
      <c r="T7" s="31">
        <v>0.91666666699999999</v>
      </c>
      <c r="U7" s="31">
        <v>8.8068519961977398E-2</v>
      </c>
      <c r="V7" s="28">
        <v>0.86301258650189405</v>
      </c>
      <c r="W7" s="28">
        <v>0.82205869799999998</v>
      </c>
      <c r="X7" s="28">
        <v>4.6496356000000003E-2</v>
      </c>
      <c r="Y7" s="31">
        <v>5.6560871034053601</v>
      </c>
      <c r="Z7" s="28">
        <v>0</v>
      </c>
      <c r="AA7" s="33">
        <f t="shared" si="0"/>
        <v>0</v>
      </c>
      <c r="AB7" s="34">
        <f t="shared" si="1"/>
        <v>0</v>
      </c>
      <c r="AC7" s="35">
        <f t="shared" si="2"/>
        <v>0</v>
      </c>
      <c r="AD7" s="36">
        <f t="shared" si="3"/>
        <v>-8.8068519961977398E-2</v>
      </c>
      <c r="AE7" s="37">
        <f t="shared" si="4"/>
        <v>0</v>
      </c>
      <c r="AF7" s="37">
        <f t="shared" si="5"/>
        <v>1.9400469000000031E-2</v>
      </c>
      <c r="AG7" s="37">
        <f t="shared" si="6"/>
        <v>-1.9885099999999989E-4</v>
      </c>
      <c r="AH7" s="35">
        <f t="shared" si="7"/>
        <v>-0.15403699620152</v>
      </c>
      <c r="AI7" s="38">
        <f t="shared" si="8"/>
        <v>0</v>
      </c>
    </row>
    <row r="8" spans="2:35" x14ac:dyDescent="0.25">
      <c r="B8" t="s">
        <v>19</v>
      </c>
      <c r="C8" s="26">
        <v>46078</v>
      </c>
      <c r="D8" s="27" t="s">
        <v>23</v>
      </c>
      <c r="E8" s="27" t="s">
        <v>30</v>
      </c>
      <c r="F8" s="27" t="s">
        <v>31</v>
      </c>
      <c r="G8" s="28">
        <v>13.167210000000001</v>
      </c>
      <c r="H8" s="28">
        <v>108.144531</v>
      </c>
      <c r="I8" s="29">
        <v>5.3407397970000003</v>
      </c>
      <c r="J8" s="30">
        <v>181.72970571100001</v>
      </c>
      <c r="K8" s="31">
        <v>1.0833333329999999</v>
      </c>
      <c r="L8" s="32"/>
      <c r="M8" s="28">
        <v>0.99981040095315199</v>
      </c>
      <c r="N8" s="28">
        <v>0.63884012999999995</v>
      </c>
      <c r="O8" s="28">
        <v>3.2704423000000003E-2</v>
      </c>
      <c r="P8" s="31">
        <v>5.1193438646379299</v>
      </c>
      <c r="Q8" s="28">
        <v>0</v>
      </c>
      <c r="R8" s="29">
        <v>5.3407397970000003</v>
      </c>
      <c r="S8" s="30">
        <v>181.72970571100001</v>
      </c>
      <c r="T8" s="31">
        <v>1.0833333329999999</v>
      </c>
      <c r="U8" s="31">
        <v>0.10173805737804401</v>
      </c>
      <c r="V8" s="28">
        <v>0.99981040095315199</v>
      </c>
      <c r="W8" s="28">
        <v>0.62044170899999995</v>
      </c>
      <c r="X8" s="28">
        <v>3.2623968000000003E-2</v>
      </c>
      <c r="Y8" s="31">
        <v>5.2581842140467696</v>
      </c>
      <c r="Z8" s="28">
        <v>0</v>
      </c>
      <c r="AA8" s="33">
        <f t="shared" si="0"/>
        <v>0</v>
      </c>
      <c r="AB8" s="34">
        <f t="shared" si="1"/>
        <v>0</v>
      </c>
      <c r="AC8" s="35">
        <f t="shared" si="2"/>
        <v>0</v>
      </c>
      <c r="AD8" s="36">
        <f t="shared" si="3"/>
        <v>-0.10173805737804401</v>
      </c>
      <c r="AE8" s="37">
        <f t="shared" si="4"/>
        <v>0</v>
      </c>
      <c r="AF8" s="37">
        <f t="shared" si="5"/>
        <v>1.8398420999999998E-2</v>
      </c>
      <c r="AG8" s="37">
        <f t="shared" si="6"/>
        <v>8.045500000000011E-5</v>
      </c>
      <c r="AH8" s="35">
        <f t="shared" si="7"/>
        <v>-0.13884034940883971</v>
      </c>
      <c r="AI8" s="38">
        <f t="shared" si="8"/>
        <v>0</v>
      </c>
    </row>
    <row r="9" spans="2:35" x14ac:dyDescent="0.25">
      <c r="B9" t="s">
        <v>19</v>
      </c>
      <c r="C9" s="26">
        <v>46078</v>
      </c>
      <c r="D9" s="27" t="s">
        <v>23</v>
      </c>
      <c r="E9" s="27" t="s">
        <v>32</v>
      </c>
      <c r="F9" s="27" t="s">
        <v>33</v>
      </c>
      <c r="G9" s="28">
        <v>14.26721</v>
      </c>
      <c r="H9" s="28">
        <v>110.75</v>
      </c>
      <c r="I9" s="29">
        <v>5.2604561170000004</v>
      </c>
      <c r="J9" s="30">
        <v>174.482540986</v>
      </c>
      <c r="K9" s="31">
        <v>1.25</v>
      </c>
      <c r="L9" s="32"/>
      <c r="M9" s="28">
        <v>1.1385441805869201</v>
      </c>
      <c r="N9" s="28">
        <v>0.74471513899999997</v>
      </c>
      <c r="O9" s="28">
        <v>3.8970415000000001E-2</v>
      </c>
      <c r="P9" s="31">
        <v>5.2329290703461897</v>
      </c>
      <c r="Q9" s="28">
        <v>0</v>
      </c>
      <c r="R9" s="29">
        <v>5.2604561170000004</v>
      </c>
      <c r="S9" s="30">
        <v>174.482540986</v>
      </c>
      <c r="T9" s="31">
        <v>1.25</v>
      </c>
      <c r="U9" s="31">
        <v>0.117238807223481</v>
      </c>
      <c r="V9" s="28">
        <v>1.1385441805869201</v>
      </c>
      <c r="W9" s="28">
        <v>0.731443811</v>
      </c>
      <c r="X9" s="28">
        <v>3.7956471999999998E-2</v>
      </c>
      <c r="Y9" s="31">
        <v>5.1892532863334297</v>
      </c>
      <c r="Z9" s="28">
        <v>0</v>
      </c>
      <c r="AA9" s="33">
        <f t="shared" si="0"/>
        <v>0</v>
      </c>
      <c r="AB9" s="34">
        <f t="shared" si="1"/>
        <v>0</v>
      </c>
      <c r="AC9" s="35">
        <f t="shared" si="2"/>
        <v>0</v>
      </c>
      <c r="AD9" s="36">
        <f t="shared" si="3"/>
        <v>-0.117238807223481</v>
      </c>
      <c r="AE9" s="37">
        <f t="shared" si="4"/>
        <v>0</v>
      </c>
      <c r="AF9" s="37">
        <f t="shared" si="5"/>
        <v>1.3271327999999971E-2</v>
      </c>
      <c r="AG9" s="37">
        <f t="shared" si="6"/>
        <v>1.0139430000000033E-3</v>
      </c>
      <c r="AH9" s="35">
        <f t="shared" si="7"/>
        <v>4.3675784012759955E-2</v>
      </c>
      <c r="AI9" s="38">
        <f t="shared" si="8"/>
        <v>0</v>
      </c>
    </row>
    <row r="10" spans="2:35" x14ac:dyDescent="0.25">
      <c r="B10" t="s">
        <v>19</v>
      </c>
      <c r="C10" s="26">
        <v>46078</v>
      </c>
      <c r="D10" s="27" t="s">
        <v>23</v>
      </c>
      <c r="E10" s="27" t="s">
        <v>34</v>
      </c>
      <c r="F10" s="27" t="s">
        <v>35</v>
      </c>
      <c r="G10" s="28">
        <v>15.697279999999999</v>
      </c>
      <c r="H10" s="28">
        <v>113.25</v>
      </c>
      <c r="I10" s="29">
        <v>5.2597473170000004</v>
      </c>
      <c r="J10" s="30">
        <v>174.78145048900001</v>
      </c>
      <c r="K10" s="31">
        <v>1.3333333329999999</v>
      </c>
      <c r="L10" s="32"/>
      <c r="M10" s="28">
        <v>1.2018001227373101</v>
      </c>
      <c r="N10" s="28">
        <v>0.851537392</v>
      </c>
      <c r="O10" s="28">
        <v>5.0165011000000002E-2</v>
      </c>
      <c r="P10" s="31">
        <v>5.8911107687447304</v>
      </c>
      <c r="Q10" s="28">
        <v>0</v>
      </c>
      <c r="R10" s="29">
        <v>5.2597473170000004</v>
      </c>
      <c r="S10" s="30">
        <v>174.78145048900001</v>
      </c>
      <c r="T10" s="31">
        <v>1.3333333329999999</v>
      </c>
      <c r="U10" s="31">
        <v>0.131982746136868</v>
      </c>
      <c r="V10" s="28">
        <v>1.2018001227373101</v>
      </c>
      <c r="W10" s="28">
        <v>0.79661953900000004</v>
      </c>
      <c r="X10" s="28">
        <v>4.9243515000000002E-2</v>
      </c>
      <c r="Y10" s="31">
        <v>6.1815600282432897</v>
      </c>
      <c r="Z10" s="28">
        <v>0</v>
      </c>
      <c r="AA10" s="33">
        <f t="shared" si="0"/>
        <v>0</v>
      </c>
      <c r="AB10" s="34">
        <f t="shared" si="1"/>
        <v>0</v>
      </c>
      <c r="AC10" s="35">
        <f t="shared" si="2"/>
        <v>0</v>
      </c>
      <c r="AD10" s="36">
        <f t="shared" si="3"/>
        <v>-0.131982746136868</v>
      </c>
      <c r="AE10" s="37">
        <f t="shared" si="4"/>
        <v>0</v>
      </c>
      <c r="AF10" s="37">
        <f t="shared" si="5"/>
        <v>5.4917852999999961E-2</v>
      </c>
      <c r="AG10" s="37">
        <f t="shared" si="6"/>
        <v>9.2149600000000081E-4</v>
      </c>
      <c r="AH10" s="35">
        <f t="shared" si="7"/>
        <v>-0.29044925949855926</v>
      </c>
      <c r="AI10" s="38">
        <f t="shared" si="8"/>
        <v>0</v>
      </c>
    </row>
    <row r="11" spans="2:35" x14ac:dyDescent="0.25">
      <c r="B11" t="s">
        <v>19</v>
      </c>
      <c r="C11" s="26">
        <v>46078</v>
      </c>
      <c r="D11" s="27" t="s">
        <v>23</v>
      </c>
      <c r="E11" s="27" t="s">
        <v>36</v>
      </c>
      <c r="F11" s="27" t="s">
        <v>37</v>
      </c>
      <c r="G11" s="28">
        <v>11.381690000000001</v>
      </c>
      <c r="H11" s="28">
        <v>121.65</v>
      </c>
      <c r="I11" s="29">
        <v>5.2094194150000002</v>
      </c>
      <c r="J11" s="30">
        <v>165.01399560199999</v>
      </c>
      <c r="K11" s="31">
        <v>4.0833333329999997</v>
      </c>
      <c r="L11" s="32"/>
      <c r="M11" s="28">
        <v>3.3423688401150899</v>
      </c>
      <c r="N11" s="28">
        <v>1.8535593530000001</v>
      </c>
      <c r="O11" s="28">
        <v>0.13136051700000001</v>
      </c>
      <c r="P11" s="31">
        <v>7.0869334066584901</v>
      </c>
      <c r="Q11" s="28">
        <v>0</v>
      </c>
      <c r="R11" s="29">
        <v>5.2094194150000002</v>
      </c>
      <c r="S11" s="30">
        <v>165.01399560199999</v>
      </c>
      <c r="T11" s="31">
        <v>4.0833333329999997</v>
      </c>
      <c r="U11" s="31">
        <v>0.34953513111385398</v>
      </c>
      <c r="V11" s="28">
        <v>3.3423688401150899</v>
      </c>
      <c r="W11" s="28">
        <v>1.8840514479999999</v>
      </c>
      <c r="X11" s="28">
        <v>0.134272804</v>
      </c>
      <c r="Y11" s="31">
        <v>7.1268119637887901</v>
      </c>
      <c r="Z11" s="28">
        <v>0</v>
      </c>
      <c r="AA11" s="33">
        <f t="shared" si="0"/>
        <v>0</v>
      </c>
      <c r="AB11" s="34">
        <f t="shared" si="1"/>
        <v>0</v>
      </c>
      <c r="AC11" s="35">
        <f t="shared" si="2"/>
        <v>0</v>
      </c>
      <c r="AD11" s="36">
        <f t="shared" si="3"/>
        <v>-0.34953513111385398</v>
      </c>
      <c r="AE11" s="37">
        <f t="shared" si="4"/>
        <v>0</v>
      </c>
      <c r="AF11" s="37">
        <f t="shared" si="5"/>
        <v>-3.049209499999983E-2</v>
      </c>
      <c r="AG11" s="37">
        <f t="shared" si="6"/>
        <v>-2.9122869999999856E-3</v>
      </c>
      <c r="AH11" s="35">
        <f t="shared" si="7"/>
        <v>-3.9878557130299974E-2</v>
      </c>
      <c r="AI11" s="38">
        <f t="shared" si="8"/>
        <v>0</v>
      </c>
    </row>
    <row r="12" spans="2:35" x14ac:dyDescent="0.25">
      <c r="B12" t="s">
        <v>19</v>
      </c>
      <c r="C12" s="26">
        <v>46078</v>
      </c>
      <c r="D12" s="27" t="s">
        <v>23</v>
      </c>
      <c r="E12" s="27" t="s">
        <v>38</v>
      </c>
      <c r="F12" s="27" t="s">
        <v>39</v>
      </c>
      <c r="G12" s="28">
        <v>8.4172100000000007</v>
      </c>
      <c r="H12" s="28">
        <v>112.03125</v>
      </c>
      <c r="I12" s="29">
        <v>5.3547026119999996</v>
      </c>
      <c r="J12" s="30">
        <v>173.99358740700001</v>
      </c>
      <c r="K12" s="31">
        <v>4.9222222220000003</v>
      </c>
      <c r="L12" s="32"/>
      <c r="M12" s="28">
        <v>4.0762860032357002</v>
      </c>
      <c r="N12" s="28">
        <v>0.34076076500000002</v>
      </c>
      <c r="O12" s="28">
        <v>1.34196E-2</v>
      </c>
      <c r="P12" s="31">
        <v>3.9381294381118099</v>
      </c>
      <c r="Q12" s="28">
        <v>0</v>
      </c>
      <c r="R12" s="29">
        <v>5.3547026119999996</v>
      </c>
      <c r="S12" s="30">
        <v>173.99358740700001</v>
      </c>
      <c r="T12" s="31">
        <v>4.9222222220000003</v>
      </c>
      <c r="U12" s="31">
        <v>0.231607104267777</v>
      </c>
      <c r="V12" s="28">
        <v>4.0762860032357002</v>
      </c>
      <c r="W12" s="28">
        <v>0.33921164199999998</v>
      </c>
      <c r="X12" s="28">
        <v>1.3294804E-2</v>
      </c>
      <c r="Y12" s="31">
        <v>3.9193242076284598</v>
      </c>
      <c r="Z12" s="28">
        <v>0</v>
      </c>
      <c r="AA12" s="33">
        <f t="shared" si="0"/>
        <v>0</v>
      </c>
      <c r="AB12" s="34">
        <f t="shared" si="1"/>
        <v>0</v>
      </c>
      <c r="AC12" s="35">
        <f t="shared" si="2"/>
        <v>0</v>
      </c>
      <c r="AD12" s="36">
        <f t="shared" si="3"/>
        <v>-0.231607104267777</v>
      </c>
      <c r="AE12" s="37">
        <f t="shared" si="4"/>
        <v>0</v>
      </c>
      <c r="AF12" s="37">
        <f t="shared" si="5"/>
        <v>1.5491230000000411E-3</v>
      </c>
      <c r="AG12" s="37">
        <f t="shared" si="6"/>
        <v>1.2479599999999993E-4</v>
      </c>
      <c r="AH12" s="35">
        <f t="shared" si="7"/>
        <v>1.8805230483350144E-2</v>
      </c>
      <c r="AI12" s="38">
        <f t="shared" si="8"/>
        <v>0</v>
      </c>
    </row>
    <row r="13" spans="2:35" x14ac:dyDescent="0.25">
      <c r="B13" t="s">
        <v>19</v>
      </c>
      <c r="C13" s="26">
        <v>46078</v>
      </c>
      <c r="D13" s="27" t="s">
        <v>23</v>
      </c>
      <c r="E13" s="27" t="s">
        <v>40</v>
      </c>
      <c r="F13" s="27" t="s">
        <v>41</v>
      </c>
      <c r="G13" s="28">
        <v>9.1672100000000007</v>
      </c>
      <c r="H13" s="28">
        <v>121.13</v>
      </c>
      <c r="I13" s="29">
        <v>5.7344640389999997</v>
      </c>
      <c r="J13" s="30">
        <v>189.66058468</v>
      </c>
      <c r="K13" s="31">
        <v>7.9166666670000003</v>
      </c>
      <c r="L13" s="32"/>
      <c r="M13" s="28">
        <v>5.8429641121109599</v>
      </c>
      <c r="N13" s="28">
        <v>0.30650574600000002</v>
      </c>
      <c r="O13" s="28">
        <v>1.3517718999999999E-2</v>
      </c>
      <c r="P13" s="31">
        <v>4.4102660966101404</v>
      </c>
      <c r="Q13" s="28">
        <v>0</v>
      </c>
      <c r="R13" s="29">
        <v>5.7211392060000001</v>
      </c>
      <c r="S13" s="30">
        <v>188.554386346</v>
      </c>
      <c r="T13" s="31">
        <v>7.8786249689999996</v>
      </c>
      <c r="U13" s="31">
        <v>0.47862046644101802</v>
      </c>
      <c r="V13" s="28">
        <v>5.8228585519689497</v>
      </c>
      <c r="W13" s="28">
        <v>0.29744573600000002</v>
      </c>
      <c r="X13" s="28">
        <v>1.3360021999999999E-2</v>
      </c>
      <c r="Y13" s="31">
        <v>4.4915829622113002</v>
      </c>
      <c r="Z13" s="28">
        <v>0</v>
      </c>
      <c r="AA13" s="33">
        <f t="shared" si="0"/>
        <v>1.3324832999999536E-2</v>
      </c>
      <c r="AB13" s="34">
        <f t="shared" si="1"/>
        <v>1.1061983339999983</v>
      </c>
      <c r="AC13" s="35">
        <f t="shared" si="2"/>
        <v>3.8041698000000679E-2</v>
      </c>
      <c r="AD13" s="36">
        <f t="shared" si="3"/>
        <v>-0.47862046644101802</v>
      </c>
      <c r="AE13" s="37">
        <f t="shared" si="4"/>
        <v>2.0105560142010148E-2</v>
      </c>
      <c r="AF13" s="37">
        <f t="shared" si="5"/>
        <v>9.0600100000000072E-3</v>
      </c>
      <c r="AG13" s="37">
        <f t="shared" si="6"/>
        <v>1.5769700000000005E-4</v>
      </c>
      <c r="AH13" s="35">
        <f t="shared" si="7"/>
        <v>-8.1316865601159805E-2</v>
      </c>
      <c r="AI13" s="38">
        <f t="shared" si="8"/>
        <v>0</v>
      </c>
    </row>
    <row r="14" spans="2:35" x14ac:dyDescent="0.25">
      <c r="B14" t="s">
        <v>19</v>
      </c>
      <c r="C14" s="26">
        <v>46078</v>
      </c>
      <c r="D14" s="27" t="s">
        <v>23</v>
      </c>
      <c r="E14" s="27" t="s">
        <v>42</v>
      </c>
      <c r="F14" s="27" t="s">
        <v>43</v>
      </c>
      <c r="G14" s="28">
        <v>11.167210000000001</v>
      </c>
      <c r="H14" s="28">
        <v>103.85</v>
      </c>
      <c r="I14" s="29">
        <v>5.3485899310000002</v>
      </c>
      <c r="J14" s="30">
        <v>174.75661690199999</v>
      </c>
      <c r="K14" s="31">
        <v>0.66944444400000003</v>
      </c>
      <c r="L14" s="32"/>
      <c r="M14" s="28">
        <v>0.63685947424169798</v>
      </c>
      <c r="N14" s="28">
        <v>0.334501251</v>
      </c>
      <c r="O14" s="28">
        <v>1.3370205E-2</v>
      </c>
      <c r="P14" s="31">
        <v>3.99705680024497</v>
      </c>
      <c r="Q14" s="28">
        <v>0</v>
      </c>
      <c r="R14" s="29">
        <v>5.3485899310000002</v>
      </c>
      <c r="S14" s="30">
        <v>174.75661690199999</v>
      </c>
      <c r="T14" s="31">
        <v>0.66944444400000003</v>
      </c>
      <c r="U14" s="31">
        <v>8.4534647087133305E-2</v>
      </c>
      <c r="V14" s="28">
        <v>0.63685947424169798</v>
      </c>
      <c r="W14" s="28">
        <v>0.32726863</v>
      </c>
      <c r="X14" s="28">
        <v>1.3332947E-2</v>
      </c>
      <c r="Y14" s="31">
        <v>4.0740070320824797</v>
      </c>
      <c r="Z14" s="28">
        <v>0</v>
      </c>
      <c r="AA14" s="33">
        <f t="shared" si="0"/>
        <v>0</v>
      </c>
      <c r="AB14" s="34">
        <f t="shared" si="1"/>
        <v>0</v>
      </c>
      <c r="AC14" s="35">
        <f t="shared" si="2"/>
        <v>0</v>
      </c>
      <c r="AD14" s="36">
        <f t="shared" si="3"/>
        <v>-8.4534647087133305E-2</v>
      </c>
      <c r="AE14" s="37">
        <f t="shared" si="4"/>
        <v>0</v>
      </c>
      <c r="AF14" s="37">
        <f t="shared" si="5"/>
        <v>7.2326209999999946E-3</v>
      </c>
      <c r="AG14" s="37">
        <f t="shared" si="6"/>
        <v>3.7258000000000083E-5</v>
      </c>
      <c r="AH14" s="35">
        <f t="shared" si="7"/>
        <v>-7.6950231837509708E-2</v>
      </c>
      <c r="AI14" s="38">
        <f t="shared" si="8"/>
        <v>0</v>
      </c>
    </row>
    <row r="15" spans="2:35" x14ac:dyDescent="0.25">
      <c r="B15" t="s">
        <v>19</v>
      </c>
      <c r="C15" s="26">
        <v>46078</v>
      </c>
      <c r="D15" s="27" t="s">
        <v>23</v>
      </c>
      <c r="E15" s="27" t="s">
        <v>44</v>
      </c>
      <c r="F15" s="27" t="s">
        <v>45</v>
      </c>
      <c r="G15" s="28">
        <v>11.46721</v>
      </c>
      <c r="H15" s="28">
        <v>104.59375</v>
      </c>
      <c r="I15" s="29">
        <v>5.2493617439999998</v>
      </c>
      <c r="J15" s="30">
        <v>166.83586101099999</v>
      </c>
      <c r="K15" s="31">
        <v>0.75</v>
      </c>
      <c r="L15" s="32"/>
      <c r="M15" s="28">
        <v>0.71210206919628705</v>
      </c>
      <c r="N15" s="28">
        <v>0.400685232</v>
      </c>
      <c r="O15" s="28">
        <v>2.0067564E-2</v>
      </c>
      <c r="P15" s="31">
        <v>5.0083113619720301</v>
      </c>
      <c r="Q15" s="28">
        <v>0</v>
      </c>
      <c r="R15" s="29">
        <v>5.2493617439999998</v>
      </c>
      <c r="S15" s="30">
        <v>166.83586101099999</v>
      </c>
      <c r="T15" s="31">
        <v>0.75</v>
      </c>
      <c r="U15" s="31">
        <v>8.6718935882876005E-2</v>
      </c>
      <c r="V15" s="28">
        <v>0.71210206919628705</v>
      </c>
      <c r="W15" s="28">
        <v>0.39296709099999999</v>
      </c>
      <c r="X15" s="28">
        <v>2.0223879E-2</v>
      </c>
      <c r="Y15" s="31">
        <v>5.1464561443390702</v>
      </c>
      <c r="Z15" s="28">
        <v>0</v>
      </c>
      <c r="AA15" s="33">
        <f t="shared" si="0"/>
        <v>0</v>
      </c>
      <c r="AB15" s="34">
        <f t="shared" si="1"/>
        <v>0</v>
      </c>
      <c r="AC15" s="35">
        <f t="shared" si="2"/>
        <v>0</v>
      </c>
      <c r="AD15" s="36">
        <f t="shared" si="3"/>
        <v>-8.6718935882876005E-2</v>
      </c>
      <c r="AE15" s="37">
        <f t="shared" si="4"/>
        <v>0</v>
      </c>
      <c r="AF15" s="37">
        <f t="shared" si="5"/>
        <v>7.7181410000000117E-3</v>
      </c>
      <c r="AG15" s="37">
        <f t="shared" si="6"/>
        <v>-1.5631500000000062E-4</v>
      </c>
      <c r="AH15" s="35">
        <f t="shared" si="7"/>
        <v>-0.13814478236704009</v>
      </c>
      <c r="AI15" s="38">
        <f t="shared" si="8"/>
        <v>0</v>
      </c>
    </row>
    <row r="16" spans="2:35" x14ac:dyDescent="0.25">
      <c r="B16" t="s">
        <v>19</v>
      </c>
      <c r="C16" s="26">
        <v>46078</v>
      </c>
      <c r="D16" s="27" t="s">
        <v>23</v>
      </c>
      <c r="E16" s="27" t="s">
        <v>46</v>
      </c>
      <c r="F16" s="27" t="s">
        <v>47</v>
      </c>
      <c r="G16" s="28">
        <v>9.9172100000000007</v>
      </c>
      <c r="H16" s="28">
        <v>102.65625</v>
      </c>
      <c r="I16" s="29">
        <v>5.3488216470000003</v>
      </c>
      <c r="J16" s="30">
        <v>172.76432298700001</v>
      </c>
      <c r="K16" s="31">
        <v>0.58333333300000001</v>
      </c>
      <c r="L16" s="32"/>
      <c r="M16" s="28">
        <v>0.55975120657534105</v>
      </c>
      <c r="N16" s="28">
        <v>0.46536371100000001</v>
      </c>
      <c r="O16" s="28">
        <v>2.8633430000000001E-2</v>
      </c>
      <c r="P16" s="31">
        <v>6.1529142309938303</v>
      </c>
      <c r="Q16" s="28">
        <v>0</v>
      </c>
      <c r="R16" s="29">
        <v>5.3488216470000003</v>
      </c>
      <c r="S16" s="30">
        <v>172.76432298700001</v>
      </c>
      <c r="T16" s="31">
        <v>0.58333333300000001</v>
      </c>
      <c r="U16" s="31">
        <v>8.2134625996952204E-2</v>
      </c>
      <c r="V16" s="28">
        <v>0.55975120657534105</v>
      </c>
      <c r="W16" s="28">
        <v>0.45854962300000002</v>
      </c>
      <c r="X16" s="28">
        <v>2.8326638000000001E-2</v>
      </c>
      <c r="Y16" s="31">
        <v>6.1774422176332298</v>
      </c>
      <c r="Z16" s="28">
        <v>0</v>
      </c>
      <c r="AA16" s="33">
        <f t="shared" si="0"/>
        <v>0</v>
      </c>
      <c r="AB16" s="34">
        <f t="shared" si="1"/>
        <v>0</v>
      </c>
      <c r="AC16" s="35">
        <f t="shared" si="2"/>
        <v>0</v>
      </c>
      <c r="AD16" s="36">
        <f t="shared" si="3"/>
        <v>-8.2134625996952204E-2</v>
      </c>
      <c r="AE16" s="37">
        <f t="shared" si="4"/>
        <v>0</v>
      </c>
      <c r="AF16" s="37">
        <f t="shared" si="5"/>
        <v>6.8140879999999959E-3</v>
      </c>
      <c r="AG16" s="37">
        <f t="shared" si="6"/>
        <v>3.0679200000000018E-4</v>
      </c>
      <c r="AH16" s="35">
        <f t="shared" si="7"/>
        <v>-2.4527986639399479E-2</v>
      </c>
      <c r="AI16" s="38">
        <f t="shared" si="8"/>
        <v>0</v>
      </c>
    </row>
    <row r="17" spans="2:35" x14ac:dyDescent="0.25">
      <c r="B17" t="s">
        <v>19</v>
      </c>
      <c r="C17" s="26">
        <v>46078</v>
      </c>
      <c r="D17" s="27" t="s">
        <v>23</v>
      </c>
      <c r="E17" s="27" t="s">
        <v>48</v>
      </c>
      <c r="F17" s="27" t="s">
        <v>49</v>
      </c>
      <c r="G17" s="28">
        <v>10.667210000000001</v>
      </c>
      <c r="H17" s="28">
        <v>104.325</v>
      </c>
      <c r="I17" s="29">
        <v>5.3976119889999996</v>
      </c>
      <c r="J17" s="30">
        <v>183.83193711600001</v>
      </c>
      <c r="K17" s="31">
        <v>0.84166666700000003</v>
      </c>
      <c r="L17" s="32"/>
      <c r="M17" s="28">
        <v>0.79595662209441698</v>
      </c>
      <c r="N17" s="28">
        <v>0.55875470599999999</v>
      </c>
      <c r="O17" s="28">
        <v>4.6741629E-2</v>
      </c>
      <c r="P17" s="31">
        <v>8.3653217589186593</v>
      </c>
      <c r="Q17" s="28">
        <v>0</v>
      </c>
      <c r="R17" s="29">
        <v>5.3976119889999996</v>
      </c>
      <c r="S17" s="30">
        <v>183.83193711600001</v>
      </c>
      <c r="T17" s="31">
        <v>0.84166666700000003</v>
      </c>
      <c r="U17" s="31">
        <v>8.5246941768510304E-2</v>
      </c>
      <c r="V17" s="28">
        <v>0.79595662209441698</v>
      </c>
      <c r="W17" s="28">
        <v>0.54806489000000003</v>
      </c>
      <c r="X17" s="28">
        <v>4.6488504999999999E-2</v>
      </c>
      <c r="Y17" s="31">
        <v>8.4822994226103408</v>
      </c>
      <c r="Z17" s="28">
        <v>0</v>
      </c>
      <c r="AA17" s="33">
        <f t="shared" si="0"/>
        <v>0</v>
      </c>
      <c r="AB17" s="34">
        <f t="shared" si="1"/>
        <v>0</v>
      </c>
      <c r="AC17" s="35">
        <f t="shared" si="2"/>
        <v>0</v>
      </c>
      <c r="AD17" s="36">
        <f t="shared" si="3"/>
        <v>-8.5246941768510304E-2</v>
      </c>
      <c r="AE17" s="37">
        <f t="shared" si="4"/>
        <v>0</v>
      </c>
      <c r="AF17" s="37">
        <f t="shared" si="5"/>
        <v>1.0689815999999963E-2</v>
      </c>
      <c r="AG17" s="37">
        <f t="shared" si="6"/>
        <v>2.531240000000004E-4</v>
      </c>
      <c r="AH17" s="35">
        <f t="shared" si="7"/>
        <v>-0.1169776636916815</v>
      </c>
      <c r="AI17" s="38">
        <f t="shared" si="8"/>
        <v>0</v>
      </c>
    </row>
    <row r="18" spans="2:35" x14ac:dyDescent="0.25">
      <c r="B18" t="s">
        <v>19</v>
      </c>
      <c r="C18" s="26">
        <v>46078</v>
      </c>
      <c r="D18" s="27" t="s">
        <v>23</v>
      </c>
      <c r="E18" s="27" t="s">
        <v>50</v>
      </c>
      <c r="F18" s="27" t="s">
        <v>51</v>
      </c>
      <c r="G18" s="28">
        <v>12.167210000000001</v>
      </c>
      <c r="H18" s="28">
        <v>106.632812</v>
      </c>
      <c r="I18" s="29">
        <v>5.3262044230000001</v>
      </c>
      <c r="J18" s="30">
        <v>179.953175195</v>
      </c>
      <c r="K18" s="31">
        <v>1</v>
      </c>
      <c r="L18" s="32"/>
      <c r="M18" s="28">
        <v>0.93653116453498397</v>
      </c>
      <c r="N18" s="28">
        <v>0.61873915000000002</v>
      </c>
      <c r="O18" s="28">
        <v>3.8814409000000001E-2</v>
      </c>
      <c r="P18" s="31">
        <v>6.2731457998091802</v>
      </c>
      <c r="Q18" s="28">
        <v>0</v>
      </c>
      <c r="R18" s="29">
        <v>5.3262044230000001</v>
      </c>
      <c r="S18" s="30">
        <v>179.953175195</v>
      </c>
      <c r="T18" s="31">
        <v>1</v>
      </c>
      <c r="U18" s="31">
        <v>9.4675754213442001E-2</v>
      </c>
      <c r="V18" s="28">
        <v>0.93653116453498397</v>
      </c>
      <c r="W18" s="28">
        <v>0.60749518000000002</v>
      </c>
      <c r="X18" s="28">
        <v>3.8951225999999999E-2</v>
      </c>
      <c r="Y18" s="31">
        <v>6.41177531647247</v>
      </c>
      <c r="Z18" s="28">
        <v>0</v>
      </c>
      <c r="AA18" s="33">
        <f t="shared" si="0"/>
        <v>0</v>
      </c>
      <c r="AB18" s="34">
        <f t="shared" si="1"/>
        <v>0</v>
      </c>
      <c r="AC18" s="35">
        <f t="shared" si="2"/>
        <v>0</v>
      </c>
      <c r="AD18" s="36">
        <f t="shared" si="3"/>
        <v>-9.4675754213442001E-2</v>
      </c>
      <c r="AE18" s="37">
        <f t="shared" si="4"/>
        <v>0</v>
      </c>
      <c r="AF18" s="37">
        <f t="shared" si="5"/>
        <v>1.1243969999999992E-2</v>
      </c>
      <c r="AG18" s="37">
        <f t="shared" si="6"/>
        <v>-1.3681699999999741E-4</v>
      </c>
      <c r="AH18" s="35">
        <f t="shared" si="7"/>
        <v>-0.13862951666328982</v>
      </c>
      <c r="AI18" s="38">
        <f t="shared" si="8"/>
        <v>0</v>
      </c>
    </row>
    <row r="19" spans="2:35" x14ac:dyDescent="0.25">
      <c r="B19" t="s">
        <v>19</v>
      </c>
      <c r="C19" s="26">
        <v>46078</v>
      </c>
      <c r="D19" s="27" t="s">
        <v>23</v>
      </c>
      <c r="E19" s="27" t="s">
        <v>52</v>
      </c>
      <c r="F19" s="27" t="s">
        <v>53</v>
      </c>
      <c r="G19" s="28">
        <v>14.667210000000001</v>
      </c>
      <c r="H19" s="28">
        <v>109.613281</v>
      </c>
      <c r="I19" s="29">
        <v>5.4499843129999999</v>
      </c>
      <c r="J19" s="30">
        <v>192.607225747</v>
      </c>
      <c r="K19" s="31">
        <v>1.0833333329999999</v>
      </c>
      <c r="L19" s="32"/>
      <c r="M19" s="28">
        <v>0.99298397061939103</v>
      </c>
      <c r="N19" s="28">
        <v>0.65777179799999996</v>
      </c>
      <c r="O19" s="28">
        <v>4.9748535000000003E-2</v>
      </c>
      <c r="P19" s="31">
        <v>7.5631906310461803</v>
      </c>
      <c r="Q19" s="28">
        <v>0</v>
      </c>
      <c r="R19" s="29">
        <v>5.4499843129999999</v>
      </c>
      <c r="S19" s="30">
        <v>192.607225747</v>
      </c>
      <c r="T19" s="31">
        <v>1.0833333329999999</v>
      </c>
      <c r="U19" s="31">
        <v>0.107534489365395</v>
      </c>
      <c r="V19" s="28">
        <v>0.99298397061939103</v>
      </c>
      <c r="W19" s="28">
        <v>0.65545010000000004</v>
      </c>
      <c r="X19" s="28">
        <v>5.0176022000000001E-2</v>
      </c>
      <c r="Y19" s="31">
        <v>7.6552009069798004</v>
      </c>
      <c r="Z19" s="28">
        <v>0</v>
      </c>
      <c r="AA19" s="33">
        <f t="shared" si="0"/>
        <v>0</v>
      </c>
      <c r="AB19" s="34">
        <f t="shared" si="1"/>
        <v>0</v>
      </c>
      <c r="AC19" s="35">
        <f t="shared" si="2"/>
        <v>0</v>
      </c>
      <c r="AD19" s="36">
        <f t="shared" si="3"/>
        <v>-0.107534489365395</v>
      </c>
      <c r="AE19" s="37">
        <f t="shared" si="4"/>
        <v>0</v>
      </c>
      <c r="AF19" s="37">
        <f t="shared" si="5"/>
        <v>2.3216979999999277E-3</v>
      </c>
      <c r="AG19" s="37">
        <f t="shared" si="6"/>
        <v>-4.2748699999999723E-4</v>
      </c>
      <c r="AH19" s="35">
        <f t="shared" si="7"/>
        <v>-9.20102759336201E-2</v>
      </c>
      <c r="AI19" s="38">
        <f t="shared" si="8"/>
        <v>0</v>
      </c>
    </row>
    <row r="20" spans="2:35" x14ac:dyDescent="0.25">
      <c r="B20" t="s">
        <v>19</v>
      </c>
      <c r="C20" s="39">
        <v>46078</v>
      </c>
      <c r="D20" s="40" t="s">
        <v>54</v>
      </c>
      <c r="E20" s="40" t="s">
        <v>55</v>
      </c>
      <c r="F20" s="40" t="s">
        <v>56</v>
      </c>
      <c r="G20" s="41">
        <v>15.667210000000001</v>
      </c>
      <c r="H20" s="41">
        <v>114.749475</v>
      </c>
      <c r="I20" s="42">
        <v>5.8026868980000001</v>
      </c>
      <c r="J20" s="43">
        <v>230.291131103</v>
      </c>
      <c r="K20" s="44">
        <v>1.5888888889999999</v>
      </c>
      <c r="L20" s="45"/>
      <c r="M20" s="41">
        <v>1.4073854873845799</v>
      </c>
      <c r="N20" s="41">
        <v>1.076510273</v>
      </c>
      <c r="O20" s="41">
        <v>0.123687517</v>
      </c>
      <c r="P20" s="44">
        <v>11.489673633611501</v>
      </c>
      <c r="Q20" s="41">
        <v>0</v>
      </c>
      <c r="R20" s="42">
        <v>5.8026868980000001</v>
      </c>
      <c r="S20" s="43">
        <v>230.291131103</v>
      </c>
      <c r="T20" s="44">
        <v>1.5888888889999999</v>
      </c>
      <c r="U20" s="44">
        <v>0.14673994107598601</v>
      </c>
      <c r="V20" s="41">
        <v>1.4073854873845799</v>
      </c>
      <c r="W20" s="41">
        <v>1.053256543</v>
      </c>
      <c r="X20" s="41">
        <v>0.12680377700000001</v>
      </c>
      <c r="Y20" s="44">
        <v>12.039210944640701</v>
      </c>
      <c r="Z20" s="41">
        <v>0</v>
      </c>
      <c r="AA20" s="46">
        <f t="shared" si="0"/>
        <v>0</v>
      </c>
      <c r="AB20" s="47">
        <f t="shared" si="1"/>
        <v>0</v>
      </c>
      <c r="AC20" s="48">
        <f t="shared" si="2"/>
        <v>0</v>
      </c>
      <c r="AD20" s="49">
        <f t="shared" si="3"/>
        <v>-0.14673994107598601</v>
      </c>
      <c r="AE20" s="50">
        <f t="shared" si="4"/>
        <v>0</v>
      </c>
      <c r="AF20" s="50">
        <f t="shared" si="5"/>
        <v>2.3253729999999972E-2</v>
      </c>
      <c r="AG20" s="50">
        <f t="shared" si="6"/>
        <v>-3.1162600000000096E-3</v>
      </c>
      <c r="AH20" s="48">
        <f t="shared" si="7"/>
        <v>-0.54953731102919967</v>
      </c>
      <c r="AI20" s="51">
        <f t="shared" si="8"/>
        <v>0</v>
      </c>
    </row>
    <row r="21" spans="2:35" x14ac:dyDescent="0.25">
      <c r="B21" t="s">
        <v>19</v>
      </c>
      <c r="C21" s="39">
        <v>46078</v>
      </c>
      <c r="D21" s="40" t="s">
        <v>54</v>
      </c>
      <c r="E21" s="40" t="s">
        <v>57</v>
      </c>
      <c r="F21" s="40" t="s">
        <v>58</v>
      </c>
      <c r="G21" s="41">
        <v>8.7172099999999997</v>
      </c>
      <c r="H21" s="41">
        <v>103.87375</v>
      </c>
      <c r="I21" s="42">
        <v>6.690676882</v>
      </c>
      <c r="J21" s="43">
        <v>320.62625412699998</v>
      </c>
      <c r="K21" s="44">
        <v>2.4166666669999999</v>
      </c>
      <c r="L21" s="45"/>
      <c r="M21" s="41">
        <v>2.1530747662426801</v>
      </c>
      <c r="N21" s="41">
        <v>0.50455285000000005</v>
      </c>
      <c r="O21" s="41">
        <v>7.5881639000000001E-2</v>
      </c>
      <c r="P21" s="44">
        <v>15.039383683988699</v>
      </c>
      <c r="Q21" s="41">
        <v>0</v>
      </c>
      <c r="R21" s="42">
        <v>6.7875901179999998</v>
      </c>
      <c r="S21" s="43">
        <v>330.08829133900002</v>
      </c>
      <c r="T21" s="44">
        <v>2.5833333330000001</v>
      </c>
      <c r="U21" s="44">
        <v>-1.2920510350305101</v>
      </c>
      <c r="V21" s="41">
        <v>2.2883072797506698</v>
      </c>
      <c r="W21" s="41">
        <v>0.49775793200000001</v>
      </c>
      <c r="X21" s="41">
        <v>7.5065726999999999E-2</v>
      </c>
      <c r="Y21" s="44">
        <v>15.080769621969599</v>
      </c>
      <c r="Z21" s="41">
        <v>0</v>
      </c>
      <c r="AA21" s="46">
        <f t="shared" si="0"/>
        <v>-9.6913235999999792E-2</v>
      </c>
      <c r="AB21" s="47">
        <f t="shared" si="1"/>
        <v>-9.4620372120000411</v>
      </c>
      <c r="AC21" s="48">
        <f t="shared" si="2"/>
        <v>-0.16666666600000024</v>
      </c>
      <c r="AD21" s="49">
        <f t="shared" si="3"/>
        <v>1.2920510350305101</v>
      </c>
      <c r="AE21" s="50">
        <f t="shared" si="4"/>
        <v>-0.1352325135079897</v>
      </c>
      <c r="AF21" s="50">
        <f t="shared" si="5"/>
        <v>6.7949180000000386E-3</v>
      </c>
      <c r="AG21" s="50">
        <f t="shared" si="6"/>
        <v>8.1591200000000197E-4</v>
      </c>
      <c r="AH21" s="48">
        <f t="shared" si="7"/>
        <v>-4.1385937980900067E-2</v>
      </c>
      <c r="AI21" s="51">
        <f t="shared" si="8"/>
        <v>0</v>
      </c>
    </row>
    <row r="22" spans="2:35" x14ac:dyDescent="0.25">
      <c r="B22" t="s">
        <v>19</v>
      </c>
      <c r="C22" s="39">
        <v>46078</v>
      </c>
      <c r="D22" s="40" t="s">
        <v>54</v>
      </c>
      <c r="E22" s="40" t="s">
        <v>59</v>
      </c>
      <c r="F22" s="40" t="s">
        <v>60</v>
      </c>
      <c r="G22" s="41">
        <v>6.1672099999999999</v>
      </c>
      <c r="H22" s="41">
        <v>100.69</v>
      </c>
      <c r="I22" s="42">
        <v>5.2808620849999999</v>
      </c>
      <c r="J22" s="43">
        <v>173.14380468600001</v>
      </c>
      <c r="K22" s="44">
        <v>0.87837955199999995</v>
      </c>
      <c r="L22" s="45"/>
      <c r="M22" s="41">
        <v>0.84239699572946203</v>
      </c>
      <c r="N22" s="41">
        <v>0.50455285000000005</v>
      </c>
      <c r="O22" s="41">
        <v>7.5881639000000001E-2</v>
      </c>
      <c r="P22" s="44">
        <v>15.039383683988699</v>
      </c>
      <c r="Q22" s="41">
        <v>0</v>
      </c>
      <c r="R22" s="42">
        <v>5.3343486569999996</v>
      </c>
      <c r="S22" s="43">
        <v>179.73728940000001</v>
      </c>
      <c r="T22" s="44">
        <v>0.97080355399999996</v>
      </c>
      <c r="U22" s="44">
        <v>-1.1170182739094E-2</v>
      </c>
      <c r="V22" s="41">
        <v>0.92874862747044695</v>
      </c>
      <c r="W22" s="41">
        <v>0.49775793200000001</v>
      </c>
      <c r="X22" s="41">
        <v>7.5065726999999999E-2</v>
      </c>
      <c r="Y22" s="44">
        <v>15.080769621969599</v>
      </c>
      <c r="Z22" s="41">
        <v>0</v>
      </c>
      <c r="AA22" s="46">
        <f t="shared" si="0"/>
        <v>-5.3486571999999732E-2</v>
      </c>
      <c r="AB22" s="47">
        <f t="shared" si="1"/>
        <v>-6.5934847139999988</v>
      </c>
      <c r="AC22" s="48">
        <f t="shared" si="2"/>
        <v>-9.2424002000000005E-2</v>
      </c>
      <c r="AD22" s="49">
        <f t="shared" si="3"/>
        <v>1.1170182739094E-2</v>
      </c>
      <c r="AE22" s="50">
        <f t="shared" si="4"/>
        <v>-8.6351631740984924E-2</v>
      </c>
      <c r="AF22" s="50">
        <f t="shared" si="5"/>
        <v>6.7949180000000386E-3</v>
      </c>
      <c r="AG22" s="50">
        <f t="shared" si="6"/>
        <v>8.1591200000000197E-4</v>
      </c>
      <c r="AH22" s="48">
        <f t="shared" si="7"/>
        <v>-4.1385937980900067E-2</v>
      </c>
      <c r="AI22" s="51">
        <f t="shared" si="8"/>
        <v>0</v>
      </c>
    </row>
    <row r="23" spans="2:35" x14ac:dyDescent="0.25">
      <c r="B23" t="s">
        <v>19</v>
      </c>
      <c r="C23" s="39">
        <v>46078</v>
      </c>
      <c r="D23" s="40" t="s">
        <v>54</v>
      </c>
      <c r="E23" s="40" t="s">
        <v>61</v>
      </c>
      <c r="F23" s="40" t="s">
        <v>62</v>
      </c>
      <c r="G23" s="41">
        <v>6.9172099999999999</v>
      </c>
      <c r="H23" s="41">
        <v>102.1896</v>
      </c>
      <c r="I23" s="42">
        <v>5.0397363510000002</v>
      </c>
      <c r="J23" s="43">
        <v>153.26793232399999</v>
      </c>
      <c r="K23" s="44">
        <v>1.349583728</v>
      </c>
      <c r="L23" s="45"/>
      <c r="M23" s="41">
        <v>1.27436085570352</v>
      </c>
      <c r="N23" s="41">
        <v>0.50455285000000005</v>
      </c>
      <c r="O23" s="41">
        <v>7.5881639000000001E-2</v>
      </c>
      <c r="P23" s="44">
        <v>15.039383683988699</v>
      </c>
      <c r="Q23" s="41">
        <v>0</v>
      </c>
      <c r="R23" s="42">
        <v>5.1379376849999998</v>
      </c>
      <c r="S23" s="43">
        <v>163.66718266500001</v>
      </c>
      <c r="T23" s="44">
        <v>1.458990002</v>
      </c>
      <c r="U23" s="44">
        <v>-0.66397573529987897</v>
      </c>
      <c r="V23" s="41">
        <v>1.37256305240455</v>
      </c>
      <c r="W23" s="41">
        <v>0.49775793200000001</v>
      </c>
      <c r="X23" s="41">
        <v>7.5065726999999999E-2</v>
      </c>
      <c r="Y23" s="44">
        <v>15.080769621969599</v>
      </c>
      <c r="Z23" s="41">
        <v>0</v>
      </c>
      <c r="AA23" s="46">
        <f t="shared" si="0"/>
        <v>-9.820133399999964E-2</v>
      </c>
      <c r="AB23" s="47">
        <f t="shared" si="1"/>
        <v>-10.399250341000027</v>
      </c>
      <c r="AC23" s="48">
        <f t="shared" si="2"/>
        <v>-0.10940627399999991</v>
      </c>
      <c r="AD23" s="49">
        <f t="shared" si="3"/>
        <v>0.66397573529987897</v>
      </c>
      <c r="AE23" s="50">
        <f t="shared" si="4"/>
        <v>-9.8202196701030031E-2</v>
      </c>
      <c r="AF23" s="50">
        <f t="shared" si="5"/>
        <v>6.7949180000000386E-3</v>
      </c>
      <c r="AG23" s="50">
        <f t="shared" si="6"/>
        <v>8.1591200000000197E-4</v>
      </c>
      <c r="AH23" s="48">
        <f t="shared" si="7"/>
        <v>-4.1385937980900067E-2</v>
      </c>
      <c r="AI23" s="51">
        <f t="shared" si="8"/>
        <v>0</v>
      </c>
    </row>
    <row r="24" spans="2:35" x14ac:dyDescent="0.25">
      <c r="B24" t="s">
        <v>19</v>
      </c>
      <c r="C24" s="39">
        <v>46078</v>
      </c>
      <c r="D24" s="40" t="s">
        <v>54</v>
      </c>
      <c r="E24" s="40" t="s">
        <v>63</v>
      </c>
      <c r="F24" s="40" t="s">
        <v>64</v>
      </c>
      <c r="G24" s="41">
        <v>7.5672100000000002</v>
      </c>
      <c r="H24" s="41">
        <v>103.25</v>
      </c>
      <c r="I24" s="42">
        <v>5.6344793290000004</v>
      </c>
      <c r="J24" s="43">
        <v>215.29800565400001</v>
      </c>
      <c r="K24" s="44">
        <v>2.10651476</v>
      </c>
      <c r="L24" s="45"/>
      <c r="M24" s="41">
        <v>1.9299076552058101</v>
      </c>
      <c r="N24" s="41">
        <v>0.50455285000000005</v>
      </c>
      <c r="O24" s="41">
        <v>7.5881639000000001E-2</v>
      </c>
      <c r="P24" s="44">
        <v>15.039383683988699</v>
      </c>
      <c r="Q24" s="41">
        <v>0</v>
      </c>
      <c r="R24" s="42">
        <v>5.6889637000000004</v>
      </c>
      <c r="S24" s="43">
        <v>220.75234184600001</v>
      </c>
      <c r="T24" s="44">
        <v>2.1947377540000002</v>
      </c>
      <c r="U24" s="44">
        <v>-1.07355920096851</v>
      </c>
      <c r="V24" s="41">
        <v>2.0044295970944401</v>
      </c>
      <c r="W24" s="41">
        <v>0.49775793200000001</v>
      </c>
      <c r="X24" s="41">
        <v>7.5065726999999999E-2</v>
      </c>
      <c r="Y24" s="44">
        <v>15.080769621969599</v>
      </c>
      <c r="Z24" s="41">
        <v>0</v>
      </c>
      <c r="AA24" s="46">
        <f t="shared" si="0"/>
        <v>-5.4484371000000031E-2</v>
      </c>
      <c r="AB24" s="47">
        <f t="shared" si="1"/>
        <v>-5.4543361919999995</v>
      </c>
      <c r="AC24" s="48">
        <f t="shared" si="2"/>
        <v>-8.822299400000011E-2</v>
      </c>
      <c r="AD24" s="49">
        <f t="shared" si="3"/>
        <v>1.07355920096851</v>
      </c>
      <c r="AE24" s="50">
        <f t="shared" si="4"/>
        <v>-7.4521941888630039E-2</v>
      </c>
      <c r="AF24" s="50">
        <f t="shared" si="5"/>
        <v>6.7949180000000386E-3</v>
      </c>
      <c r="AG24" s="50">
        <f t="shared" si="6"/>
        <v>8.1591200000000197E-4</v>
      </c>
      <c r="AH24" s="48">
        <f t="shared" si="7"/>
        <v>-4.1385937980900067E-2</v>
      </c>
      <c r="AI24" s="51">
        <f t="shared" si="8"/>
        <v>0</v>
      </c>
    </row>
    <row r="25" spans="2:35" x14ac:dyDescent="0.25">
      <c r="B25" t="s">
        <v>19</v>
      </c>
      <c r="C25" s="39">
        <v>46078</v>
      </c>
      <c r="D25" s="40" t="s">
        <v>54</v>
      </c>
      <c r="E25" s="40" t="s">
        <v>65</v>
      </c>
      <c r="F25" s="40" t="s">
        <v>66</v>
      </c>
      <c r="G25" s="41">
        <v>8.86721</v>
      </c>
      <c r="H25" s="41">
        <v>106.25</v>
      </c>
      <c r="I25" s="42">
        <v>5.9510107220000004</v>
      </c>
      <c r="J25" s="43">
        <v>246.43036474100001</v>
      </c>
      <c r="K25" s="44">
        <v>2.5833333330000001</v>
      </c>
      <c r="L25" s="45"/>
      <c r="M25" s="41">
        <v>2.2971036668235398</v>
      </c>
      <c r="N25" s="41">
        <v>1.9857295079999999</v>
      </c>
      <c r="O25" s="41">
        <v>0.240699844</v>
      </c>
      <c r="P25" s="44">
        <v>12.121481955638</v>
      </c>
      <c r="Q25" s="41">
        <v>0</v>
      </c>
      <c r="R25" s="42">
        <v>5.9510107220000004</v>
      </c>
      <c r="S25" s="43">
        <v>246.43036474100001</v>
      </c>
      <c r="T25" s="44">
        <v>2.5833333330000001</v>
      </c>
      <c r="U25" s="44">
        <v>-4.2778031999994401E-2</v>
      </c>
      <c r="V25" s="41">
        <v>2.2971036668235398</v>
      </c>
      <c r="W25" s="41">
        <v>1.919839436</v>
      </c>
      <c r="X25" s="41">
        <v>0.23438508199999999</v>
      </c>
      <c r="Y25" s="44">
        <v>12.2085773218797</v>
      </c>
      <c r="Z25" s="41">
        <v>0</v>
      </c>
      <c r="AA25" s="46">
        <f t="shared" si="0"/>
        <v>0</v>
      </c>
      <c r="AB25" s="47">
        <f t="shared" si="1"/>
        <v>0</v>
      </c>
      <c r="AC25" s="48">
        <f t="shared" si="2"/>
        <v>0</v>
      </c>
      <c r="AD25" s="49">
        <f t="shared" si="3"/>
        <v>4.2778031999994401E-2</v>
      </c>
      <c r="AE25" s="50">
        <f t="shared" si="4"/>
        <v>0</v>
      </c>
      <c r="AF25" s="50">
        <f t="shared" si="5"/>
        <v>6.5890071999999966E-2</v>
      </c>
      <c r="AG25" s="50">
        <f t="shared" si="6"/>
        <v>6.3147620000000015E-3</v>
      </c>
      <c r="AH25" s="48">
        <f t="shared" si="7"/>
        <v>-8.7095366241699779E-2</v>
      </c>
      <c r="AI25" s="51">
        <f t="shared" si="8"/>
        <v>0</v>
      </c>
    </row>
    <row r="26" spans="2:35" x14ac:dyDescent="0.25">
      <c r="B26" t="s">
        <v>19</v>
      </c>
      <c r="C26" s="39">
        <v>46078</v>
      </c>
      <c r="D26" s="40" t="s">
        <v>54</v>
      </c>
      <c r="E26" s="40" t="s">
        <v>67</v>
      </c>
      <c r="F26" s="40" t="s">
        <v>68</v>
      </c>
      <c r="G26" s="41">
        <v>10.917210000000001</v>
      </c>
      <c r="H26" s="41">
        <v>111</v>
      </c>
      <c r="I26" s="42">
        <v>6.1598139950000004</v>
      </c>
      <c r="J26" s="43">
        <v>267.15818930900002</v>
      </c>
      <c r="K26" s="44">
        <v>2.6666666669999999</v>
      </c>
      <c r="L26" s="45"/>
      <c r="M26" s="41">
        <v>2.3117724765765701</v>
      </c>
      <c r="N26" s="41">
        <v>1.756665369</v>
      </c>
      <c r="O26" s="41">
        <v>0.25225651999999998</v>
      </c>
      <c r="P26" s="44">
        <v>14.359964308034399</v>
      </c>
      <c r="Q26" s="41">
        <v>0</v>
      </c>
      <c r="R26" s="42">
        <v>6.1598139950000004</v>
      </c>
      <c r="S26" s="43">
        <v>267.15818930900002</v>
      </c>
      <c r="T26" s="44">
        <v>2.6666666669999999</v>
      </c>
      <c r="U26" s="44">
        <v>0.14731815405406001</v>
      </c>
      <c r="V26" s="41">
        <v>2.3117724765765701</v>
      </c>
      <c r="W26" s="41">
        <v>1.7559363619999999</v>
      </c>
      <c r="X26" s="41">
        <v>0.26462306499999999</v>
      </c>
      <c r="Y26" s="44">
        <v>15.070196775160801</v>
      </c>
      <c r="Z26" s="41">
        <v>0</v>
      </c>
      <c r="AA26" s="46">
        <f t="shared" si="0"/>
        <v>0</v>
      </c>
      <c r="AB26" s="47">
        <f t="shared" si="1"/>
        <v>0</v>
      </c>
      <c r="AC26" s="48">
        <f t="shared" si="2"/>
        <v>0</v>
      </c>
      <c r="AD26" s="49">
        <f t="shared" si="3"/>
        <v>-0.14731815405406001</v>
      </c>
      <c r="AE26" s="50">
        <f t="shared" si="4"/>
        <v>0</v>
      </c>
      <c r="AF26" s="50">
        <f t="shared" si="5"/>
        <v>7.2900700000011476E-4</v>
      </c>
      <c r="AG26" s="50">
        <f t="shared" si="6"/>
        <v>-1.2366545000000007E-2</v>
      </c>
      <c r="AH26" s="48">
        <f t="shared" si="7"/>
        <v>-0.71023246712640109</v>
      </c>
      <c r="AI26" s="51">
        <f t="shared" si="8"/>
        <v>0</v>
      </c>
    </row>
    <row r="27" spans="2:35" x14ac:dyDescent="0.25">
      <c r="B27" t="s">
        <v>19</v>
      </c>
      <c r="C27" s="39">
        <v>46078</v>
      </c>
      <c r="D27" s="40" t="s">
        <v>54</v>
      </c>
      <c r="E27" s="40" t="s">
        <v>69</v>
      </c>
      <c r="F27" s="40" t="s">
        <v>70</v>
      </c>
      <c r="G27" s="41">
        <v>10.417210000000001</v>
      </c>
      <c r="H27" s="41">
        <v>103.26506999999999</v>
      </c>
      <c r="I27" s="42">
        <v>6.4740307660000003</v>
      </c>
      <c r="J27" s="43">
        <v>293.587943623</v>
      </c>
      <c r="K27" s="44">
        <v>0.878609639</v>
      </c>
      <c r="L27" s="45"/>
      <c r="M27" s="41">
        <v>0.82216524619602604</v>
      </c>
      <c r="N27" s="41">
        <v>1.9886788909999999</v>
      </c>
      <c r="O27" s="41">
        <v>0.188220108</v>
      </c>
      <c r="P27" s="44">
        <v>9.4645801718825595</v>
      </c>
      <c r="Q27" s="41">
        <v>0</v>
      </c>
      <c r="R27" s="42">
        <v>6.4500495950000003</v>
      </c>
      <c r="S27" s="43">
        <v>291.13234564999999</v>
      </c>
      <c r="T27" s="44">
        <v>0.87233357700000003</v>
      </c>
      <c r="U27" s="44">
        <v>-0.11003694957064999</v>
      </c>
      <c r="V27" s="41">
        <v>0.81671505476149797</v>
      </c>
      <c r="W27" s="41">
        <v>1.9380790640000001</v>
      </c>
      <c r="X27" s="41">
        <v>0.18546258199999999</v>
      </c>
      <c r="Y27" s="44">
        <v>9.5694022728476291</v>
      </c>
      <c r="Z27" s="41">
        <v>0</v>
      </c>
      <c r="AA27" s="46">
        <f t="shared" si="0"/>
        <v>2.3981170999999968E-2</v>
      </c>
      <c r="AB27" s="47">
        <f t="shared" si="1"/>
        <v>2.4555979730000104</v>
      </c>
      <c r="AC27" s="48">
        <f t="shared" si="2"/>
        <v>6.2760619999999712E-3</v>
      </c>
      <c r="AD27" s="49">
        <f t="shared" si="3"/>
        <v>0.11003694957064999</v>
      </c>
      <c r="AE27" s="50">
        <f t="shared" si="4"/>
        <v>5.4501914345280733E-3</v>
      </c>
      <c r="AF27" s="50">
        <f t="shared" si="5"/>
        <v>5.0599826999999875E-2</v>
      </c>
      <c r="AG27" s="50">
        <f t="shared" si="6"/>
        <v>2.7575260000000101E-3</v>
      </c>
      <c r="AH27" s="48">
        <f t="shared" si="7"/>
        <v>-0.10482210096506961</v>
      </c>
      <c r="AI27" s="51">
        <f t="shared" si="8"/>
        <v>0</v>
      </c>
    </row>
    <row r="28" spans="2:35" x14ac:dyDescent="0.25">
      <c r="B28" t="s">
        <v>19</v>
      </c>
      <c r="C28" s="39">
        <v>46078</v>
      </c>
      <c r="D28" s="40" t="s">
        <v>54</v>
      </c>
      <c r="E28" s="40" t="s">
        <v>71</v>
      </c>
      <c r="F28" s="40" t="s">
        <v>72</v>
      </c>
      <c r="G28" s="41">
        <v>10.917210000000001</v>
      </c>
      <c r="H28" s="41">
        <v>110.1875</v>
      </c>
      <c r="I28" s="42">
        <v>6.1052259439999998</v>
      </c>
      <c r="J28" s="43">
        <v>262.02352718899999</v>
      </c>
      <c r="K28" s="44">
        <v>2.4166666669999999</v>
      </c>
      <c r="L28" s="45"/>
      <c r="M28" s="41">
        <v>2.11736945479297</v>
      </c>
      <c r="N28" s="41">
        <v>2.3779842210000002</v>
      </c>
      <c r="O28" s="41">
        <v>0.29663607600000003</v>
      </c>
      <c r="P28" s="44">
        <v>12.474265950985</v>
      </c>
      <c r="Q28" s="41">
        <v>0</v>
      </c>
      <c r="R28" s="42">
        <v>6.1052259439999998</v>
      </c>
      <c r="S28" s="43">
        <v>262.02352718899999</v>
      </c>
      <c r="T28" s="44">
        <v>2.4166666669999999</v>
      </c>
      <c r="U28" s="44">
        <v>0.13408378627339401</v>
      </c>
      <c r="V28" s="41">
        <v>2.11736945479297</v>
      </c>
      <c r="W28" s="41">
        <v>2.3026480839999999</v>
      </c>
      <c r="X28" s="41">
        <v>0.29341244799999999</v>
      </c>
      <c r="Y28" s="44">
        <v>12.7423921196983</v>
      </c>
      <c r="Z28" s="41">
        <v>0</v>
      </c>
      <c r="AA28" s="46">
        <f t="shared" si="0"/>
        <v>0</v>
      </c>
      <c r="AB28" s="47">
        <f t="shared" si="1"/>
        <v>0</v>
      </c>
      <c r="AC28" s="48">
        <f t="shared" si="2"/>
        <v>0</v>
      </c>
      <c r="AD28" s="49">
        <f t="shared" si="3"/>
        <v>-0.13408378627339401</v>
      </c>
      <c r="AE28" s="50">
        <f t="shared" si="4"/>
        <v>0</v>
      </c>
      <c r="AF28" s="50">
        <f t="shared" si="5"/>
        <v>7.5336137000000303E-2</v>
      </c>
      <c r="AG28" s="50">
        <f t="shared" si="6"/>
        <v>3.2236280000000339E-3</v>
      </c>
      <c r="AH28" s="48">
        <f t="shared" si="7"/>
        <v>-0.26812616871329986</v>
      </c>
      <c r="AI28" s="51">
        <f t="shared" si="8"/>
        <v>0</v>
      </c>
    </row>
    <row r="29" spans="2:35" x14ac:dyDescent="0.25">
      <c r="B29" t="s">
        <v>19</v>
      </c>
      <c r="C29" s="39">
        <v>46078</v>
      </c>
      <c r="D29" s="40" t="s">
        <v>54</v>
      </c>
      <c r="E29" s="40" t="s">
        <v>73</v>
      </c>
      <c r="F29" s="40" t="s">
        <v>74</v>
      </c>
      <c r="G29" s="41">
        <v>8.61721</v>
      </c>
      <c r="H29" s="41">
        <v>102.27056</v>
      </c>
      <c r="I29" s="42">
        <v>5.5330544770000003</v>
      </c>
      <c r="J29" s="43">
        <v>195.25748501800001</v>
      </c>
      <c r="K29" s="44">
        <v>0.75</v>
      </c>
      <c r="L29" s="45"/>
      <c r="M29" s="41">
        <v>0.71735371254445102</v>
      </c>
      <c r="N29" s="41">
        <v>1.081421333</v>
      </c>
      <c r="O29" s="41">
        <v>9.8236611000000001E-2</v>
      </c>
      <c r="P29" s="44">
        <v>9.0840274740539098</v>
      </c>
      <c r="Q29" s="41">
        <v>0</v>
      </c>
      <c r="R29" s="42">
        <v>5.5330544770000003</v>
      </c>
      <c r="S29" s="43">
        <v>195.25748501800001</v>
      </c>
      <c r="T29" s="44">
        <v>0.75</v>
      </c>
      <c r="U29" s="44">
        <v>7.8584985747600006E-2</v>
      </c>
      <c r="V29" s="41">
        <v>0.71735371254445102</v>
      </c>
      <c r="W29" s="41">
        <v>1.0527491440000001</v>
      </c>
      <c r="X29" s="41">
        <v>9.7628349000000003E-2</v>
      </c>
      <c r="Y29" s="44">
        <v>9.2736574098795899</v>
      </c>
      <c r="Z29" s="41">
        <v>0</v>
      </c>
      <c r="AA29" s="46">
        <f t="shared" si="0"/>
        <v>0</v>
      </c>
      <c r="AB29" s="47">
        <f t="shared" si="1"/>
        <v>0</v>
      </c>
      <c r="AC29" s="48">
        <f t="shared" si="2"/>
        <v>0</v>
      </c>
      <c r="AD29" s="49">
        <f t="shared" si="3"/>
        <v>-7.8584985747600006E-2</v>
      </c>
      <c r="AE29" s="50">
        <f t="shared" si="4"/>
        <v>0</v>
      </c>
      <c r="AF29" s="50">
        <f t="shared" si="5"/>
        <v>2.8672188999999904E-2</v>
      </c>
      <c r="AG29" s="50">
        <f t="shared" si="6"/>
        <v>6.082619999999983E-4</v>
      </c>
      <c r="AH29" s="48">
        <f t="shared" si="7"/>
        <v>-0.18962993582568011</v>
      </c>
      <c r="AI29" s="51">
        <f t="shared" si="8"/>
        <v>0</v>
      </c>
    </row>
    <row r="30" spans="2:35" x14ac:dyDescent="0.25">
      <c r="B30" t="s">
        <v>19</v>
      </c>
      <c r="C30" s="39">
        <v>46078</v>
      </c>
      <c r="D30" s="40" t="s">
        <v>54</v>
      </c>
      <c r="E30" s="40" t="s">
        <v>75</v>
      </c>
      <c r="F30" s="40" t="s">
        <v>76</v>
      </c>
      <c r="G30" s="41">
        <v>11.067209999999999</v>
      </c>
      <c r="H30" s="41">
        <v>110.75</v>
      </c>
      <c r="I30" s="42">
        <v>6.5271280819999999</v>
      </c>
      <c r="J30" s="43">
        <v>303.76831997699998</v>
      </c>
      <c r="K30" s="44">
        <v>2.755555556</v>
      </c>
      <c r="L30" s="45"/>
      <c r="M30" s="41">
        <v>2.3712138058690702</v>
      </c>
      <c r="N30" s="41">
        <v>2.032786593</v>
      </c>
      <c r="O30" s="41">
        <v>0.34848229400000003</v>
      </c>
      <c r="P30" s="44">
        <v>17.143083056530202</v>
      </c>
      <c r="Q30" s="41">
        <v>0</v>
      </c>
      <c r="R30" s="42">
        <v>6.5271280819999999</v>
      </c>
      <c r="S30" s="43">
        <v>303.76831997699998</v>
      </c>
      <c r="T30" s="44">
        <v>2.755555556</v>
      </c>
      <c r="U30" s="44">
        <v>-0.67286029435666905</v>
      </c>
      <c r="V30" s="41">
        <v>2.3712138058690702</v>
      </c>
      <c r="W30" s="41">
        <v>2.0268362500000001</v>
      </c>
      <c r="X30" s="41">
        <v>0.35032592600000001</v>
      </c>
      <c r="Y30" s="44">
        <v>17.284372430185201</v>
      </c>
      <c r="Z30" s="41">
        <v>0</v>
      </c>
      <c r="AA30" s="46">
        <f t="shared" si="0"/>
        <v>0</v>
      </c>
      <c r="AB30" s="47">
        <f t="shared" si="1"/>
        <v>0</v>
      </c>
      <c r="AC30" s="48">
        <f t="shared" si="2"/>
        <v>0</v>
      </c>
      <c r="AD30" s="49">
        <f t="shared" si="3"/>
        <v>0.67286029435666905</v>
      </c>
      <c r="AE30" s="50">
        <f t="shared" si="4"/>
        <v>0</v>
      </c>
      <c r="AF30" s="50">
        <f t="shared" si="5"/>
        <v>5.9503429999998581E-3</v>
      </c>
      <c r="AG30" s="50">
        <f t="shared" si="6"/>
        <v>-1.843631999999984E-3</v>
      </c>
      <c r="AH30" s="48">
        <f t="shared" si="7"/>
        <v>-0.14128937365499894</v>
      </c>
      <c r="AI30" s="51">
        <f t="shared" si="8"/>
        <v>0</v>
      </c>
    </row>
    <row r="31" spans="2:35" x14ac:dyDescent="0.25">
      <c r="B31" t="s">
        <v>19</v>
      </c>
      <c r="C31" s="39">
        <v>46078</v>
      </c>
      <c r="D31" s="40" t="s">
        <v>54</v>
      </c>
      <c r="E31" s="40" t="s">
        <v>77</v>
      </c>
      <c r="F31" s="40" t="s">
        <v>78</v>
      </c>
      <c r="G31" s="41">
        <v>8.9172100000000007</v>
      </c>
      <c r="H31" s="41">
        <v>103.5</v>
      </c>
      <c r="I31" s="42">
        <v>5.6881267940000004</v>
      </c>
      <c r="J31" s="43">
        <v>216.762781711</v>
      </c>
      <c r="K31" s="44">
        <v>1.1767759259999999</v>
      </c>
      <c r="L31" s="45"/>
      <c r="M31" s="41">
        <v>1.1017138917874401</v>
      </c>
      <c r="N31" s="41">
        <v>2.032786593</v>
      </c>
      <c r="O31" s="41">
        <v>0.34848229400000003</v>
      </c>
      <c r="P31" s="44">
        <v>17.143083056530202</v>
      </c>
      <c r="Q31" s="41">
        <v>0</v>
      </c>
      <c r="R31" s="42">
        <v>5.8756560850000001</v>
      </c>
      <c r="S31" s="43">
        <v>236.20028932899999</v>
      </c>
      <c r="T31" s="44">
        <v>1.2636779440000001</v>
      </c>
      <c r="U31" s="44">
        <v>-0.94962831980677498</v>
      </c>
      <c r="V31" s="41">
        <v>1.17784230917874</v>
      </c>
      <c r="W31" s="41">
        <v>2.0268362500000001</v>
      </c>
      <c r="X31" s="41">
        <v>0.35032592600000001</v>
      </c>
      <c r="Y31" s="44">
        <v>17.284372430185201</v>
      </c>
      <c r="Z31" s="41">
        <v>0</v>
      </c>
      <c r="AA31" s="46">
        <f t="shared" si="0"/>
        <v>-0.18752929099999971</v>
      </c>
      <c r="AB31" s="47">
        <f t="shared" si="1"/>
        <v>-19.437507617999984</v>
      </c>
      <c r="AC31" s="48">
        <f t="shared" si="2"/>
        <v>-8.6902018000000192E-2</v>
      </c>
      <c r="AD31" s="49">
        <f t="shared" si="3"/>
        <v>0.94962831980677498</v>
      </c>
      <c r="AE31" s="50">
        <f t="shared" si="4"/>
        <v>-7.6128417391299941E-2</v>
      </c>
      <c r="AF31" s="50">
        <f t="shared" si="5"/>
        <v>5.9503429999998581E-3</v>
      </c>
      <c r="AG31" s="50">
        <f t="shared" si="6"/>
        <v>-1.843631999999984E-3</v>
      </c>
      <c r="AH31" s="48">
        <f t="shared" si="7"/>
        <v>-0.14128937365499894</v>
      </c>
      <c r="AI31" s="51">
        <f t="shared" si="8"/>
        <v>0</v>
      </c>
    </row>
    <row r="32" spans="2:35" x14ac:dyDescent="0.25">
      <c r="B32" t="s">
        <v>19</v>
      </c>
      <c r="C32" s="39">
        <v>46078</v>
      </c>
      <c r="D32" s="40" t="s">
        <v>54</v>
      </c>
      <c r="E32" s="40" t="s">
        <v>79</v>
      </c>
      <c r="F32" s="40" t="s">
        <v>80</v>
      </c>
      <c r="G32" s="41">
        <v>10.167210000000001</v>
      </c>
      <c r="H32" s="41">
        <v>108.25</v>
      </c>
      <c r="I32" s="42">
        <v>6.2838847539999998</v>
      </c>
      <c r="J32" s="43">
        <v>279.76474392699998</v>
      </c>
      <c r="K32" s="44">
        <v>2.4751328840000002</v>
      </c>
      <c r="L32" s="45"/>
      <c r="M32" s="41">
        <v>2.1762397699769198</v>
      </c>
      <c r="N32" s="41">
        <v>2.032786593</v>
      </c>
      <c r="O32" s="41">
        <v>0.34848229400000003</v>
      </c>
      <c r="P32" s="44">
        <v>17.143083056530202</v>
      </c>
      <c r="Q32" s="41">
        <v>0</v>
      </c>
      <c r="R32" s="42">
        <v>6.3391694750000003</v>
      </c>
      <c r="S32" s="43">
        <v>285.260690485</v>
      </c>
      <c r="T32" s="44">
        <v>2.5194598090000002</v>
      </c>
      <c r="U32" s="44">
        <v>-1.6556804240184699</v>
      </c>
      <c r="V32" s="41">
        <v>2.2104979898383301</v>
      </c>
      <c r="W32" s="41">
        <v>2.0268362500000001</v>
      </c>
      <c r="X32" s="41">
        <v>0.35032592600000001</v>
      </c>
      <c r="Y32" s="44">
        <v>17.284372430185201</v>
      </c>
      <c r="Z32" s="41">
        <v>0</v>
      </c>
      <c r="AA32" s="46">
        <f t="shared" si="0"/>
        <v>-5.5284721000000481E-2</v>
      </c>
      <c r="AB32" s="47">
        <f t="shared" si="1"/>
        <v>-5.4959465580000142</v>
      </c>
      <c r="AC32" s="48">
        <f t="shared" si="2"/>
        <v>-4.4326925000000017E-2</v>
      </c>
      <c r="AD32" s="49">
        <f t="shared" si="3"/>
        <v>1.6556804240184699</v>
      </c>
      <c r="AE32" s="50">
        <f t="shared" si="4"/>
        <v>-3.4258219861410311E-2</v>
      </c>
      <c r="AF32" s="50">
        <f t="shared" si="5"/>
        <v>5.9503429999998581E-3</v>
      </c>
      <c r="AG32" s="50">
        <f t="shared" si="6"/>
        <v>-1.843631999999984E-3</v>
      </c>
      <c r="AH32" s="48">
        <f t="shared" si="7"/>
        <v>-0.14128937365499894</v>
      </c>
      <c r="AI32" s="51">
        <f t="shared" si="8"/>
        <v>0</v>
      </c>
    </row>
    <row r="33" spans="2:35" x14ac:dyDescent="0.25">
      <c r="B33" t="s">
        <v>19</v>
      </c>
      <c r="C33" s="52">
        <v>46078</v>
      </c>
      <c r="D33" s="53" t="s">
        <v>81</v>
      </c>
      <c r="E33" s="53" t="s">
        <v>82</v>
      </c>
      <c r="F33" s="53" t="s">
        <v>83</v>
      </c>
      <c r="G33" s="54">
        <v>10.381690000000001</v>
      </c>
      <c r="H33" s="54">
        <v>104.75</v>
      </c>
      <c r="I33" s="55">
        <v>5.4520720359999997</v>
      </c>
      <c r="J33" s="56">
        <v>192.59849264900001</v>
      </c>
      <c r="K33" s="57">
        <v>1</v>
      </c>
      <c r="L33" s="58"/>
      <c r="M33" s="54">
        <v>0.94271945393794498</v>
      </c>
      <c r="N33" s="54">
        <v>1.5298918909999999</v>
      </c>
      <c r="O33" s="54">
        <v>3.5899874999999998E-2</v>
      </c>
      <c r="P33" s="57">
        <v>2.3465628657286599</v>
      </c>
      <c r="Q33" s="54">
        <v>0</v>
      </c>
      <c r="R33" s="55">
        <v>5.4520720359999997</v>
      </c>
      <c r="S33" s="56">
        <v>192.59849264900001</v>
      </c>
      <c r="T33" s="57">
        <v>1</v>
      </c>
      <c r="U33" s="57">
        <v>5.5609422434281198E-3</v>
      </c>
      <c r="V33" s="54">
        <v>0.94271945393794498</v>
      </c>
      <c r="W33" s="54">
        <v>1.529261596</v>
      </c>
      <c r="X33" s="54">
        <v>3.6870298000000003E-2</v>
      </c>
      <c r="Y33" s="57">
        <v>2.4109869819813401</v>
      </c>
      <c r="Z33" s="54">
        <v>0</v>
      </c>
      <c r="AA33" s="59">
        <f t="shared" si="0"/>
        <v>0</v>
      </c>
      <c r="AB33" s="60">
        <f t="shared" si="1"/>
        <v>0</v>
      </c>
      <c r="AC33" s="61">
        <f t="shared" si="2"/>
        <v>0</v>
      </c>
      <c r="AD33" s="62">
        <f t="shared" si="3"/>
        <v>-5.5609422434281198E-3</v>
      </c>
      <c r="AE33" s="63">
        <f t="shared" si="4"/>
        <v>0</v>
      </c>
      <c r="AF33" s="63">
        <f t="shared" si="5"/>
        <v>6.3029499999989191E-4</v>
      </c>
      <c r="AG33" s="63">
        <f t="shared" si="6"/>
        <v>-9.7042300000000498E-4</v>
      </c>
      <c r="AH33" s="61">
        <f t="shared" si="7"/>
        <v>-6.4424116252680186E-2</v>
      </c>
      <c r="AI33" s="64">
        <f t="shared" si="8"/>
        <v>0</v>
      </c>
    </row>
    <row r="34" spans="2:35" x14ac:dyDescent="0.25">
      <c r="B34" t="s">
        <v>19</v>
      </c>
      <c r="C34" s="52">
        <v>46078</v>
      </c>
      <c r="D34" s="53" t="s">
        <v>81</v>
      </c>
      <c r="E34" s="53" t="s">
        <v>84</v>
      </c>
      <c r="F34" s="53" t="s">
        <v>85</v>
      </c>
      <c r="G34" s="54">
        <v>14.781689999999999</v>
      </c>
      <c r="H34" s="54">
        <v>123.25</v>
      </c>
      <c r="I34" s="55">
        <v>5.1927100490000004</v>
      </c>
      <c r="J34" s="56">
        <v>170.38030829799999</v>
      </c>
      <c r="K34" s="57">
        <v>2.6666666669999999</v>
      </c>
      <c r="L34" s="58"/>
      <c r="M34" s="54">
        <v>2.2481608348884401</v>
      </c>
      <c r="N34" s="54">
        <v>2.445589172</v>
      </c>
      <c r="O34" s="54">
        <v>0.19117047100000001</v>
      </c>
      <c r="P34" s="57">
        <v>7.8169495182897402</v>
      </c>
      <c r="Q34" s="54">
        <v>0</v>
      </c>
      <c r="R34" s="55">
        <v>5.1927100490000004</v>
      </c>
      <c r="S34" s="56">
        <v>170.38030829799999</v>
      </c>
      <c r="T34" s="57">
        <v>2.6666666669999999</v>
      </c>
      <c r="U34" s="57">
        <v>0.27284956105477098</v>
      </c>
      <c r="V34" s="54">
        <v>2.2481608348884401</v>
      </c>
      <c r="W34" s="54">
        <v>2.5053630259999999</v>
      </c>
      <c r="X34" s="54">
        <v>0.202979726</v>
      </c>
      <c r="Y34" s="57">
        <v>8.1018089551705597</v>
      </c>
      <c r="Z34" s="54">
        <v>0</v>
      </c>
      <c r="AA34" s="59">
        <f t="shared" si="0"/>
        <v>0</v>
      </c>
      <c r="AB34" s="60">
        <f t="shared" si="1"/>
        <v>0</v>
      </c>
      <c r="AC34" s="61">
        <f t="shared" si="2"/>
        <v>0</v>
      </c>
      <c r="AD34" s="62">
        <f t="shared" si="3"/>
        <v>-0.27284956105477098</v>
      </c>
      <c r="AE34" s="63">
        <f t="shared" si="4"/>
        <v>0</v>
      </c>
      <c r="AF34" s="63">
        <f t="shared" si="5"/>
        <v>-5.9773853999999904E-2</v>
      </c>
      <c r="AG34" s="63">
        <f t="shared" si="6"/>
        <v>-1.1809254999999991E-2</v>
      </c>
      <c r="AH34" s="61">
        <f t="shared" si="7"/>
        <v>-0.28485943688081949</v>
      </c>
      <c r="AI34" s="64">
        <f t="shared" si="8"/>
        <v>0</v>
      </c>
    </row>
    <row r="35" spans="2:35" x14ac:dyDescent="0.25">
      <c r="B35" t="s">
        <v>19</v>
      </c>
      <c r="C35" s="52">
        <v>46078</v>
      </c>
      <c r="D35" s="53" t="s">
        <v>81</v>
      </c>
      <c r="E35" s="53" t="s">
        <v>86</v>
      </c>
      <c r="F35" s="53" t="s">
        <v>87</v>
      </c>
      <c r="G35" s="54">
        <v>12.131690000000001</v>
      </c>
      <c r="H35" s="54">
        <v>119.7</v>
      </c>
      <c r="I35" s="55">
        <v>5.2446407319999997</v>
      </c>
      <c r="J35" s="56">
        <v>173.467495181</v>
      </c>
      <c r="K35" s="57">
        <v>3.25</v>
      </c>
      <c r="L35" s="58"/>
      <c r="M35" s="54">
        <v>2.7293926842105298</v>
      </c>
      <c r="N35" s="54">
        <v>1.4153066050000001</v>
      </c>
      <c r="O35" s="54">
        <v>5.9578033000000002E-2</v>
      </c>
      <c r="P35" s="57">
        <v>4.2095495625839998</v>
      </c>
      <c r="Q35" s="54">
        <v>0</v>
      </c>
      <c r="R35" s="55">
        <v>5.2446407319999997</v>
      </c>
      <c r="S35" s="56">
        <v>173.467495181</v>
      </c>
      <c r="T35" s="57">
        <v>3.25</v>
      </c>
      <c r="U35" s="57">
        <v>0.27474344360902198</v>
      </c>
      <c r="V35" s="54">
        <v>2.7293926842105298</v>
      </c>
      <c r="W35" s="54">
        <v>1.4520391530000001</v>
      </c>
      <c r="X35" s="54">
        <v>6.3781686000000004E-2</v>
      </c>
      <c r="Y35" s="57">
        <v>4.3925596543470098</v>
      </c>
      <c r="Z35" s="54">
        <v>0</v>
      </c>
      <c r="AA35" s="59">
        <f t="shared" si="0"/>
        <v>0</v>
      </c>
      <c r="AB35" s="60">
        <f t="shared" si="1"/>
        <v>0</v>
      </c>
      <c r="AC35" s="61">
        <f t="shared" si="2"/>
        <v>0</v>
      </c>
      <c r="AD35" s="62">
        <f t="shared" si="3"/>
        <v>-0.27474344360902198</v>
      </c>
      <c r="AE35" s="63">
        <f t="shared" si="4"/>
        <v>0</v>
      </c>
      <c r="AF35" s="63">
        <f t="shared" si="5"/>
        <v>-3.6732548000000032E-2</v>
      </c>
      <c r="AG35" s="63">
        <f t="shared" si="6"/>
        <v>-4.2036530000000016E-3</v>
      </c>
      <c r="AH35" s="61">
        <f t="shared" si="7"/>
        <v>-0.18301009176300997</v>
      </c>
      <c r="AI35" s="64">
        <f t="shared" si="8"/>
        <v>0</v>
      </c>
    </row>
    <row r="36" spans="2:35" x14ac:dyDescent="0.25">
      <c r="B36" t="s">
        <v>19</v>
      </c>
      <c r="C36" s="52">
        <v>46078</v>
      </c>
      <c r="D36" s="53" t="s">
        <v>81</v>
      </c>
      <c r="E36" s="53" t="s">
        <v>88</v>
      </c>
      <c r="F36" s="53" t="s">
        <v>89</v>
      </c>
      <c r="G36" s="54">
        <v>8.6117600000000003</v>
      </c>
      <c r="H36" s="54">
        <v>110.3</v>
      </c>
      <c r="I36" s="55">
        <v>5.2947931739999996</v>
      </c>
      <c r="J36" s="56">
        <v>174.79483713900001</v>
      </c>
      <c r="K36" s="57">
        <v>3.8361111110000001</v>
      </c>
      <c r="L36" s="58"/>
      <c r="M36" s="54">
        <v>3.2869579048050701</v>
      </c>
      <c r="N36" s="54">
        <v>1.1277756969999999</v>
      </c>
      <c r="O36" s="54">
        <v>4.3666781000000002E-2</v>
      </c>
      <c r="P36" s="57">
        <v>3.8719384640188799</v>
      </c>
      <c r="Q36" s="54">
        <v>0</v>
      </c>
      <c r="R36" s="55">
        <v>5.2947931739999996</v>
      </c>
      <c r="S36" s="56">
        <v>174.79483713900001</v>
      </c>
      <c r="T36" s="57">
        <v>3.8361111110000001</v>
      </c>
      <c r="U36" s="57">
        <v>0.17444983771532199</v>
      </c>
      <c r="V36" s="54">
        <v>3.2869579048050701</v>
      </c>
      <c r="W36" s="54">
        <v>1.1242717440000001</v>
      </c>
      <c r="X36" s="54">
        <v>4.3728761999999997E-2</v>
      </c>
      <c r="Y36" s="57">
        <v>3.88951890264708</v>
      </c>
      <c r="Z36" s="54">
        <v>0</v>
      </c>
      <c r="AA36" s="59">
        <f t="shared" si="0"/>
        <v>0</v>
      </c>
      <c r="AB36" s="60">
        <f t="shared" si="1"/>
        <v>0</v>
      </c>
      <c r="AC36" s="61">
        <f t="shared" si="2"/>
        <v>0</v>
      </c>
      <c r="AD36" s="62">
        <f t="shared" si="3"/>
        <v>-0.17444983771532199</v>
      </c>
      <c r="AE36" s="63">
        <f t="shared" si="4"/>
        <v>0</v>
      </c>
      <c r="AF36" s="63">
        <f t="shared" si="5"/>
        <v>3.5039529999998376E-3</v>
      </c>
      <c r="AG36" s="63">
        <f t="shared" si="6"/>
        <v>-6.1980999999995678E-5</v>
      </c>
      <c r="AH36" s="61">
        <f t="shared" si="7"/>
        <v>-1.7580438628200135E-2</v>
      </c>
      <c r="AI36" s="64">
        <f t="shared" si="8"/>
        <v>0</v>
      </c>
    </row>
    <row r="37" spans="2:35" x14ac:dyDescent="0.25">
      <c r="B37" t="s">
        <v>19</v>
      </c>
      <c r="C37" s="52">
        <v>46078</v>
      </c>
      <c r="D37" s="53" t="s">
        <v>81</v>
      </c>
      <c r="E37" s="53" t="s">
        <v>90</v>
      </c>
      <c r="F37" s="53" t="s">
        <v>91</v>
      </c>
      <c r="G37" s="54">
        <v>8.7816899999999993</v>
      </c>
      <c r="H37" s="54">
        <v>111</v>
      </c>
      <c r="I37" s="55">
        <v>5.2954196260000002</v>
      </c>
      <c r="J37" s="56">
        <v>174.87053970100001</v>
      </c>
      <c r="K37" s="57">
        <v>3.8361111110000001</v>
      </c>
      <c r="L37" s="58"/>
      <c r="M37" s="54">
        <v>3.2779821990990898</v>
      </c>
      <c r="N37" s="54">
        <v>1.4795557930000001</v>
      </c>
      <c r="O37" s="54">
        <v>7.0656895999999997E-2</v>
      </c>
      <c r="P37" s="57">
        <v>4.7755479269040304</v>
      </c>
      <c r="Q37" s="54">
        <v>0</v>
      </c>
      <c r="R37" s="55">
        <v>5.2954196260000002</v>
      </c>
      <c r="S37" s="56">
        <v>174.87053970100001</v>
      </c>
      <c r="T37" s="57">
        <v>3.8361111110000001</v>
      </c>
      <c r="U37" s="57">
        <v>0.18514749279279499</v>
      </c>
      <c r="V37" s="54">
        <v>3.2779821990990898</v>
      </c>
      <c r="W37" s="54">
        <v>1.4932585229999999</v>
      </c>
      <c r="X37" s="54">
        <v>7.3713964000000007E-2</v>
      </c>
      <c r="Y37" s="57">
        <v>4.9364502438537201</v>
      </c>
      <c r="Z37" s="54">
        <v>0</v>
      </c>
      <c r="AA37" s="59">
        <f t="shared" si="0"/>
        <v>0</v>
      </c>
      <c r="AB37" s="60">
        <f t="shared" si="1"/>
        <v>0</v>
      </c>
      <c r="AC37" s="61">
        <f t="shared" si="2"/>
        <v>0</v>
      </c>
      <c r="AD37" s="62">
        <f t="shared" si="3"/>
        <v>-0.18514749279279499</v>
      </c>
      <c r="AE37" s="63">
        <f t="shared" si="4"/>
        <v>0</v>
      </c>
      <c r="AF37" s="63">
        <f t="shared" si="5"/>
        <v>-1.3702729999999885E-2</v>
      </c>
      <c r="AG37" s="63">
        <f t="shared" si="6"/>
        <v>-3.05706800000001E-3</v>
      </c>
      <c r="AH37" s="61">
        <f t="shared" si="7"/>
        <v>-0.16090231694968971</v>
      </c>
      <c r="AI37" s="64">
        <f t="shared" si="8"/>
        <v>0</v>
      </c>
    </row>
    <row r="38" spans="2:35" x14ac:dyDescent="0.25">
      <c r="B38" t="s">
        <v>19</v>
      </c>
      <c r="C38" s="52">
        <v>46078</v>
      </c>
      <c r="D38" s="53" t="s">
        <v>81</v>
      </c>
      <c r="E38" s="53" t="s">
        <v>92</v>
      </c>
      <c r="F38" s="53" t="s">
        <v>93</v>
      </c>
      <c r="G38" s="54">
        <v>16.031690000000001</v>
      </c>
      <c r="H38" s="54">
        <v>120.75</v>
      </c>
      <c r="I38" s="55">
        <v>5.957967934</v>
      </c>
      <c r="J38" s="56">
        <v>247.355988174</v>
      </c>
      <c r="K38" s="57">
        <v>2.25</v>
      </c>
      <c r="L38" s="58"/>
      <c r="M38" s="54">
        <v>1.90950254575569</v>
      </c>
      <c r="N38" s="54">
        <v>3.0766105719999999</v>
      </c>
      <c r="O38" s="54">
        <v>0.27250920299999998</v>
      </c>
      <c r="P38" s="57">
        <v>8.8574486963051395</v>
      </c>
      <c r="Q38" s="54">
        <v>0</v>
      </c>
      <c r="R38" s="55">
        <v>4.9425166760000003</v>
      </c>
      <c r="S38" s="56">
        <v>146.03668555199999</v>
      </c>
      <c r="T38" s="57">
        <v>2</v>
      </c>
      <c r="U38" s="57">
        <v>-1.80275420041408</v>
      </c>
      <c r="V38" s="54">
        <v>1.7359654550724599</v>
      </c>
      <c r="W38" s="54">
        <v>3.1511333979999998</v>
      </c>
      <c r="X38" s="54">
        <v>0.280185719</v>
      </c>
      <c r="Y38" s="57">
        <v>8.8915854586743794</v>
      </c>
      <c r="Z38" s="54">
        <v>0</v>
      </c>
      <c r="AA38" s="59">
        <f t="shared" si="0"/>
        <v>1.0154512579999997</v>
      </c>
      <c r="AB38" s="60">
        <f t="shared" si="1"/>
        <v>101.31930262200001</v>
      </c>
      <c r="AC38" s="61">
        <f t="shared" si="2"/>
        <v>0.25</v>
      </c>
      <c r="AD38" s="62">
        <f t="shared" si="3"/>
        <v>1.80275420041408</v>
      </c>
      <c r="AE38" s="63">
        <f t="shared" si="4"/>
        <v>0.17353709068323009</v>
      </c>
      <c r="AF38" s="63">
        <f t="shared" si="5"/>
        <v>-7.4522825999999931E-2</v>
      </c>
      <c r="AG38" s="63">
        <f t="shared" si="6"/>
        <v>-7.6765160000000221E-3</v>
      </c>
      <c r="AH38" s="61">
        <f t="shared" si="7"/>
        <v>-3.4136762369239904E-2</v>
      </c>
      <c r="AI38" s="64">
        <f t="shared" si="8"/>
        <v>0</v>
      </c>
    </row>
    <row r="39" spans="2:35" x14ac:dyDescent="0.25">
      <c r="B39" t="s">
        <v>19</v>
      </c>
      <c r="C39" s="65">
        <v>46078</v>
      </c>
      <c r="D39" s="66" t="s">
        <v>81</v>
      </c>
      <c r="E39" s="66" t="s">
        <v>94</v>
      </c>
      <c r="F39" s="66" t="s">
        <v>95</v>
      </c>
      <c r="G39" s="67">
        <v>15.06176</v>
      </c>
      <c r="H39" s="67">
        <v>119.34</v>
      </c>
      <c r="I39" s="68">
        <v>5.6450934339999996</v>
      </c>
      <c r="J39" s="69">
        <v>216.099126179</v>
      </c>
      <c r="K39" s="70">
        <v>2.25</v>
      </c>
      <c r="L39" s="71"/>
      <c r="M39" s="67">
        <v>1.9275998516842701</v>
      </c>
      <c r="N39" s="67">
        <v>3.2679609840000001</v>
      </c>
      <c r="O39" s="67">
        <v>0.33061795399999999</v>
      </c>
      <c r="P39" s="70">
        <v>10.1169492420109</v>
      </c>
      <c r="Q39" s="67">
        <v>0</v>
      </c>
      <c r="R39" s="68">
        <v>4.6944383600000004</v>
      </c>
      <c r="S39" s="69">
        <v>121.265774279</v>
      </c>
      <c r="T39" s="70">
        <v>2</v>
      </c>
      <c r="U39" s="70">
        <v>-1.6978604725992901</v>
      </c>
      <c r="V39" s="67">
        <v>1.7503934179654701</v>
      </c>
      <c r="W39" s="67">
        <v>3.3299110729999999</v>
      </c>
      <c r="X39" s="67">
        <v>0.349690907</v>
      </c>
      <c r="Y39" s="70">
        <v>10.5015088791832</v>
      </c>
      <c r="Z39" s="67">
        <v>0</v>
      </c>
      <c r="AA39" s="72">
        <f t="shared" si="0"/>
        <v>0.95065507399999927</v>
      </c>
      <c r="AB39" s="73">
        <f t="shared" si="1"/>
        <v>94.833351899999997</v>
      </c>
      <c r="AC39" s="74">
        <f t="shared" si="2"/>
        <v>0.25</v>
      </c>
      <c r="AD39" s="75">
        <f t="shared" si="3"/>
        <v>1.6978604725992901</v>
      </c>
      <c r="AE39" s="76">
        <f t="shared" si="4"/>
        <v>0.17720643371879996</v>
      </c>
      <c r="AF39" s="76">
        <f t="shared" si="5"/>
        <v>-6.1950088999999764E-2</v>
      </c>
      <c r="AG39" s="76">
        <f t="shared" si="6"/>
        <v>-1.9072953000000004E-2</v>
      </c>
      <c r="AH39" s="74">
        <f t="shared" si="7"/>
        <v>-0.38455963717230013</v>
      </c>
      <c r="AI39" s="77">
        <f t="shared" si="8"/>
        <v>0</v>
      </c>
    </row>
  </sheetData>
  <mergeCells count="4">
    <mergeCell ref="R2:Z2"/>
    <mergeCell ref="C2:H2"/>
    <mergeCell ref="AA2:AI2"/>
    <mergeCell ref="I2:Q2"/>
  </mergeCells>
  <conditionalFormatting sqref="AA4:AA39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B4:AB39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39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39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4:AE39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4:AF39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G4:AG39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4:AH39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I4:AI39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Howard Zeng</dc:creator>
  <cp:lastModifiedBy>Howard Zeng</cp:lastModifiedBy>
  <dcterms:created xsi:type="dcterms:W3CDTF">2015-06-05T18:17:20Z</dcterms:created>
  <dcterms:modified xsi:type="dcterms:W3CDTF">2026-02-26T21:31:43Z</dcterms:modified>
</cp:coreProperties>
</file>