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zeng\Desktop\howard-toolbox\dial\outputs\"/>
    </mc:Choice>
  </mc:AlternateContent>
  <xr:revisionPtr revIDLastSave="0" documentId="13_ncr:1_{5D2FA2FE-901D-417B-8018-90BB42578A64}" xr6:coauthVersionLast="47" xr6:coauthVersionMax="47" xr10:uidLastSave="{00000000-0000-0000-0000-000000000000}"/>
  <bookViews>
    <workbookView xWindow="10275" yWindow="-21750" windowWidth="49725" windowHeight="21285" activeTab="4" xr2:uid="{00000000-000D-0000-FFFF-FFFF00000000}"/>
  </bookViews>
  <sheets>
    <sheet name="STACR" sheetId="1" r:id="rId1"/>
    <sheet name="CAS" sheetId="2" r:id="rId2"/>
    <sheet name="JUMBO" sheetId="3" r:id="rId3"/>
    <sheet name="NONQM" sheetId="5" r:id="rId4"/>
    <sheet name="HE" sheetId="4" r:id="rId5"/>
  </sheets>
  <definedNames>
    <definedName name="_xlnm._FilterDatabase" localSheetId="1" hidden="1">CAS!$A$2:$O$31</definedName>
    <definedName name="_xlnm._FilterDatabase" localSheetId="4" hidden="1">HE!$A$2:$O$20</definedName>
    <definedName name="_xlnm._FilterDatabase" localSheetId="2" hidden="1">JUMBO!$A$2:$O$27</definedName>
    <definedName name="_xlnm._FilterDatabase" localSheetId="3" hidden="1">NONQM!$A$2:$O$27</definedName>
    <definedName name="_xlnm._FilterDatabase" localSheetId="0" hidden="1">STACR!$A$2:$O$34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4" i="1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0" i="4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3" i="2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3" i="1"/>
</calcChain>
</file>

<file path=xl/sharedStrings.xml><?xml version="1.0" encoding="utf-8"?>
<sst xmlns="http://schemas.openxmlformats.org/spreadsheetml/2006/main" count="666" uniqueCount="73">
  <si>
    <t>STACR</t>
  </si>
  <si>
    <t>Sheet</t>
  </si>
  <si>
    <t>Bucket_Type</t>
  </si>
  <si>
    <t>Status</t>
  </si>
  <si>
    <t>Transition</t>
  </si>
  <si>
    <t>Bucket</t>
  </si>
  <si>
    <t>Avg Bal</t>
  </si>
  <si>
    <t>Loan Num</t>
  </si>
  <si>
    <t>Model_Dialed</t>
  </si>
  <si>
    <t>Model_Undialed</t>
  </si>
  <si>
    <t>Actual</t>
  </si>
  <si>
    <t>Dialed Model Ratio</t>
  </si>
  <si>
    <t>Current_Dial</t>
  </si>
  <si>
    <t>Implied_Dial</t>
  </si>
  <si>
    <t>Proposed_Dial</t>
  </si>
  <si>
    <t>Dial Diff (New - Current)</t>
  </si>
  <si>
    <t>CtP</t>
  </si>
  <si>
    <t>WAC</t>
  </si>
  <si>
    <t>All Current</t>
  </si>
  <si>
    <t>ALL AVG</t>
  </si>
  <si>
    <t>CtM30</t>
  </si>
  <si>
    <t>M30</t>
  </si>
  <si>
    <t>STATUS</t>
  </si>
  <si>
    <t>M30tC</t>
  </si>
  <si>
    <t>M30tM60</t>
  </si>
  <si>
    <t>M30tP</t>
  </si>
  <si>
    <t>M60</t>
  </si>
  <si>
    <t>M60tC</t>
  </si>
  <si>
    <t>M60tM30</t>
  </si>
  <si>
    <t>M60tM90</t>
  </si>
  <si>
    <t>M60tP</t>
  </si>
  <si>
    <t>M60tD</t>
  </si>
  <si>
    <t>M90P</t>
  </si>
  <si>
    <t>M90PtC</t>
  </si>
  <si>
    <t>M90PtM30</t>
  </si>
  <si>
    <t>M90PtM60</t>
  </si>
  <si>
    <t>M90PtB</t>
  </si>
  <si>
    <t>M90PtW</t>
  </si>
  <si>
    <t>M90PtM270P</t>
  </si>
  <si>
    <t>M90PtFCLS</t>
  </si>
  <si>
    <t>M90PtP</t>
  </si>
  <si>
    <t>M90PtD</t>
  </si>
  <si>
    <t>M270P</t>
  </si>
  <si>
    <t>M270PtC</t>
  </si>
  <si>
    <t>M270PtM30</t>
  </si>
  <si>
    <t>M270PtM240</t>
  </si>
  <si>
    <t>M270PtM270P</t>
  </si>
  <si>
    <t>M270PtFCLS</t>
  </si>
  <si>
    <t>M270PtP</t>
  </si>
  <si>
    <t>M270PtD</t>
  </si>
  <si>
    <t>FCLS</t>
  </si>
  <si>
    <t>FCLStC</t>
  </si>
  <si>
    <t>FCLStB</t>
  </si>
  <si>
    <t>FCLStREO</t>
  </si>
  <si>
    <t>FCLStD</t>
  </si>
  <si>
    <t>REO</t>
  </si>
  <si>
    <t>REOtD</t>
  </si>
  <si>
    <t>CAS</t>
  </si>
  <si>
    <t>JUMBO</t>
  </si>
  <si>
    <t>C</t>
  </si>
  <si>
    <t>HE</t>
  </si>
  <si>
    <t>NONQM</t>
  </si>
  <si>
    <t>DOCTYPE-1YDoc</t>
  </si>
  <si>
    <t>DOCTYPE-2YDoc</t>
  </si>
  <si>
    <t>DOCTYPE-BankStatement</t>
  </si>
  <si>
    <t>DOCTYPE-CPA</t>
  </si>
  <si>
    <t>DOCTYPE-DSCR</t>
  </si>
  <si>
    <t>DOCTYPE-FULL</t>
  </si>
  <si>
    <t>DOCTYPE-Investor</t>
  </si>
  <si>
    <t>DOCTYPE-Other</t>
  </si>
  <si>
    <t>DOCTYPE-VOE</t>
  </si>
  <si>
    <t>Refi</t>
  </si>
  <si>
    <t>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</si>
</sst>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7F7F7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3" fontId="0" fillId="4" borderId="3" xfId="0" applyNumberFormat="1" applyFill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4" borderId="0" xfId="0" applyNumberFormat="1" applyFill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0" xfId="0" applyNumberFormat="1"/>
    <xf numFmtId="0" fontId="0" fillId="0" borderId="6" xfId="0" applyBorder="1" applyAlignment="1">
      <alignment horizontal="left" vertical="center"/>
    </xf>
    <xf numFmtId="165" fontId="0" fillId="0" borderId="0" xfId="1" applyNumberFormat="1" applyFont="1"/>
    <xf numFmtId="164" fontId="0" fillId="4" borderId="6" xfId="0" applyNumberFormat="1" applyFill="1" applyBorder="1" applyAlignment="1">
      <alignment horizontal="right" vertical="center"/>
    </xf>
    <xf numFmtId="2" fontId="0" fillId="4" borderId="6" xfId="0" applyNumberFormat="1" applyFill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zoomScale="145" zoomScaleNormal="145" workbookViewId="0">
      <pane ySplit="2" topLeftCell="A3" activePane="bottomLeft" state="frozen"/>
      <selection pane="bottomLeft" activeCell="A4" sqref="A4:XFD4"/>
    </sheetView>
  </sheetViews>
  <sheetFormatPr defaultRowHeight="15" x14ac:dyDescent="0.25"/>
  <cols>
    <col min="1" max="1" width="10" customWidth="1"/>
    <col min="2" max="4" width="13" customWidth="1"/>
    <col min="5" max="5" width="10" customWidth="1"/>
    <col min="6" max="6" width="19" customWidth="1"/>
    <col min="7" max="7" width="10" customWidth="1"/>
    <col min="8" max="10" width="22" customWidth="1"/>
    <col min="11" max="12" width="20" customWidth="1"/>
    <col min="13" max="14" width="21" customWidth="1"/>
    <col min="15" max="15" width="22" customWidth="1"/>
  </cols>
  <sheetData>
    <row r="1" spans="1:15" ht="17.2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72</v>
      </c>
      <c r="C3" s="2" t="s">
        <v>18</v>
      </c>
      <c r="D3" s="2"/>
      <c r="E3" s="2" t="s">
        <v>19</v>
      </c>
      <c r="F3" s="3">
        <v>297039.39790400001</v>
      </c>
      <c r="G3" s="3">
        <v>250000</v>
      </c>
      <c r="H3" s="4">
        <v>0.51666531659444692</v>
      </c>
      <c r="I3" s="4">
        <v>0.59928987815791968</v>
      </c>
      <c r="J3" s="5">
        <v>0.73646534121562468</v>
      </c>
      <c r="K3" s="5">
        <v>0.701547360995466</v>
      </c>
      <c r="L3" s="5">
        <v>0.86212922230984146</v>
      </c>
      <c r="M3" s="5">
        <v>1.2288966793154441</v>
      </c>
      <c r="N3" s="26">
        <v>0.95899999999999996</v>
      </c>
      <c r="O3" s="4">
        <f t="shared" ref="O3:O34" si="0">N3-L3</f>
        <v>9.6870777690158505E-2</v>
      </c>
    </row>
    <row r="4" spans="1:15" x14ac:dyDescent="0.25">
      <c r="A4" s="2" t="s">
        <v>16</v>
      </c>
      <c r="B4" s="2" t="s">
        <v>71</v>
      </c>
      <c r="C4" s="2"/>
      <c r="D4" s="2"/>
      <c r="E4" s="2" t="s">
        <v>19</v>
      </c>
      <c r="F4" s="3">
        <v>297039.39790400001</v>
      </c>
      <c r="G4" s="3">
        <v>250000</v>
      </c>
      <c r="H4" s="4">
        <v>0.51666531659444692</v>
      </c>
      <c r="I4" s="4">
        <v>0.59928987815791968</v>
      </c>
      <c r="J4" s="5">
        <v>0.73646534121562468</v>
      </c>
      <c r="K4" s="5">
        <v>0.701547360995466</v>
      </c>
      <c r="L4" s="5">
        <v>0.86212922230984146</v>
      </c>
      <c r="M4" s="5">
        <v>1.2288966793154441</v>
      </c>
      <c r="N4" s="26">
        <v>2.1440000000000001</v>
      </c>
      <c r="O4" s="4">
        <f t="shared" si="0"/>
        <v>1.2818707776901586</v>
      </c>
    </row>
    <row r="5" spans="1:15" x14ac:dyDescent="0.25">
      <c r="A5" s="6" t="s">
        <v>20</v>
      </c>
      <c r="B5" s="6" t="s">
        <v>17</v>
      </c>
      <c r="C5" s="6" t="s">
        <v>18</v>
      </c>
      <c r="D5" s="6"/>
      <c r="E5" s="6" t="s">
        <v>19</v>
      </c>
      <c r="F5" s="7">
        <v>297039.39790400001</v>
      </c>
      <c r="G5" s="7">
        <v>250000</v>
      </c>
      <c r="H5" s="8">
        <v>0.6806772829482618</v>
      </c>
      <c r="I5" s="8">
        <v>0.56984031861662898</v>
      </c>
      <c r="J5" s="9">
        <v>0.56030309294018066</v>
      </c>
      <c r="K5" s="9">
        <v>1.214837632568508</v>
      </c>
      <c r="L5" s="9">
        <v>1.194505303873032</v>
      </c>
      <c r="M5" s="9">
        <v>0.98326333647362596</v>
      </c>
      <c r="N5" s="9">
        <v>0.98326333647362596</v>
      </c>
      <c r="O5" s="8">
        <f t="shared" si="0"/>
        <v>-0.21124196739940604</v>
      </c>
    </row>
    <row r="6" spans="1:15" x14ac:dyDescent="0.25">
      <c r="A6" s="2" t="s">
        <v>21</v>
      </c>
      <c r="B6" s="2" t="s">
        <v>22</v>
      </c>
      <c r="C6" s="2" t="s">
        <v>21</v>
      </c>
      <c r="D6" s="2" t="s">
        <v>23</v>
      </c>
      <c r="E6" s="2"/>
      <c r="F6" s="3">
        <v>244431.8947722718</v>
      </c>
      <c r="G6" s="3">
        <v>65363</v>
      </c>
      <c r="H6" s="4">
        <v>36.414121604936653</v>
      </c>
      <c r="I6" s="4">
        <v>46.220713059607128</v>
      </c>
      <c r="J6" s="5">
        <v>37.465760707189247</v>
      </c>
      <c r="K6" s="5">
        <v>0.97193066195901912</v>
      </c>
      <c r="L6" s="5">
        <v>0.78783123830167434</v>
      </c>
      <c r="M6" s="5">
        <v>0.81058378867657599</v>
      </c>
      <c r="N6" s="5">
        <v>0.78783123830167434</v>
      </c>
      <c r="O6" s="4">
        <f t="shared" si="0"/>
        <v>0</v>
      </c>
    </row>
    <row r="7" spans="1:15" x14ac:dyDescent="0.25">
      <c r="A7" s="6" t="s">
        <v>21</v>
      </c>
      <c r="B7" s="6" t="s">
        <v>22</v>
      </c>
      <c r="C7" s="6" t="s">
        <v>21</v>
      </c>
      <c r="D7" s="6" t="s">
        <v>24</v>
      </c>
      <c r="E7" s="6"/>
      <c r="F7" s="7">
        <v>244431.8947722718</v>
      </c>
      <c r="G7" s="7">
        <v>65363</v>
      </c>
      <c r="H7" s="8">
        <v>18.93260463944873</v>
      </c>
      <c r="I7" s="8">
        <v>13.028464580179969</v>
      </c>
      <c r="J7" s="9">
        <v>17.13378574222379</v>
      </c>
      <c r="K7" s="9">
        <v>1.1049866576066729</v>
      </c>
      <c r="L7" s="9">
        <v>1.453172361404018</v>
      </c>
      <c r="M7" s="9">
        <v>1.3151039891753009</v>
      </c>
      <c r="N7" s="9">
        <v>1.3151039891753</v>
      </c>
      <c r="O7" s="8">
        <f t="shared" si="0"/>
        <v>-0.13806837222871793</v>
      </c>
    </row>
    <row r="8" spans="1:15" x14ac:dyDescent="0.25">
      <c r="A8" s="2" t="s">
        <v>21</v>
      </c>
      <c r="B8" s="2" t="s">
        <v>22</v>
      </c>
      <c r="C8" s="2" t="s">
        <v>21</v>
      </c>
      <c r="D8" s="2" t="s">
        <v>25</v>
      </c>
      <c r="E8" s="2"/>
      <c r="F8" s="3">
        <v>244431.8947722718</v>
      </c>
      <c r="G8" s="3">
        <v>65363</v>
      </c>
      <c r="H8" s="4">
        <v>0.74549085575464202</v>
      </c>
      <c r="I8" s="4">
        <v>1.2654071261858459</v>
      </c>
      <c r="J8" s="5">
        <v>0.87248261864980403</v>
      </c>
      <c r="K8" s="5">
        <v>0.85444780196115999</v>
      </c>
      <c r="L8" s="5">
        <v>0.58913122925242201</v>
      </c>
      <c r="M8" s="5">
        <v>0.68948767601745409</v>
      </c>
      <c r="N8" s="5">
        <v>0.68948767601745398</v>
      </c>
      <c r="O8" s="4">
        <f t="shared" si="0"/>
        <v>0.10035644676503197</v>
      </c>
    </row>
    <row r="9" spans="1:15" x14ac:dyDescent="0.25">
      <c r="A9" s="6" t="s">
        <v>26</v>
      </c>
      <c r="B9" s="6" t="s">
        <v>22</v>
      </c>
      <c r="C9" s="6" t="s">
        <v>26</v>
      </c>
      <c r="D9" s="6" t="s">
        <v>27</v>
      </c>
      <c r="E9" s="6"/>
      <c r="F9" s="7">
        <v>256139.01542854009</v>
      </c>
      <c r="G9" s="7">
        <v>18213</v>
      </c>
      <c r="H9" s="8">
        <v>15.748229499640029</v>
      </c>
      <c r="I9" s="8">
        <v>17.31316013271438</v>
      </c>
      <c r="J9" s="9">
        <v>14.79479169604773</v>
      </c>
      <c r="K9" s="9">
        <v>1.064444151913744</v>
      </c>
      <c r="L9" s="9">
        <v>0.90961034143516595</v>
      </c>
      <c r="M9" s="9">
        <v>0.85454022157930476</v>
      </c>
      <c r="N9" s="9">
        <v>0.85454022157930498</v>
      </c>
      <c r="O9" s="8">
        <f t="shared" si="0"/>
        <v>-5.5070119855860966E-2</v>
      </c>
    </row>
    <row r="10" spans="1:15" x14ac:dyDescent="0.25">
      <c r="A10" s="2" t="s">
        <v>26</v>
      </c>
      <c r="B10" s="2" t="s">
        <v>22</v>
      </c>
      <c r="C10" s="2" t="s">
        <v>26</v>
      </c>
      <c r="D10" s="2" t="s">
        <v>28</v>
      </c>
      <c r="E10" s="2"/>
      <c r="F10" s="3">
        <v>256139.01542854009</v>
      </c>
      <c r="G10" s="3">
        <v>18213</v>
      </c>
      <c r="H10" s="4">
        <v>14.19021990027891</v>
      </c>
      <c r="I10" s="4">
        <v>14.18573100519226</v>
      </c>
      <c r="J10" s="5">
        <v>14.13412204258718</v>
      </c>
      <c r="K10" s="5">
        <v>1.003968966556444</v>
      </c>
      <c r="L10" s="5">
        <v>1.0003164373471489</v>
      </c>
      <c r="M10" s="5">
        <v>0.99636191024726295</v>
      </c>
      <c r="N10" s="5">
        <v>1.0003164373471489</v>
      </c>
      <c r="O10" s="4">
        <f t="shared" si="0"/>
        <v>0</v>
      </c>
    </row>
    <row r="11" spans="1:15" x14ac:dyDescent="0.25">
      <c r="A11" s="6" t="s">
        <v>26</v>
      </c>
      <c r="B11" s="6" t="s">
        <v>22</v>
      </c>
      <c r="C11" s="6" t="s">
        <v>26</v>
      </c>
      <c r="D11" s="6" t="s">
        <v>29</v>
      </c>
      <c r="E11" s="6"/>
      <c r="F11" s="7">
        <v>256139.01542854009</v>
      </c>
      <c r="G11" s="7">
        <v>18213</v>
      </c>
      <c r="H11" s="8">
        <v>36.170527577691161</v>
      </c>
      <c r="I11" s="8">
        <v>36.183183667679863</v>
      </c>
      <c r="J11" s="9">
        <v>37.291864969974043</v>
      </c>
      <c r="K11" s="9">
        <v>0.9699307773106618</v>
      </c>
      <c r="L11" s="9">
        <v>0.99965022176862761</v>
      </c>
      <c r="M11" s="9">
        <v>1.0306407891709231</v>
      </c>
      <c r="N11" s="9">
        <v>0.99965022176862761</v>
      </c>
      <c r="O11" s="8">
        <f t="shared" si="0"/>
        <v>0</v>
      </c>
    </row>
    <row r="12" spans="1:15" x14ac:dyDescent="0.25">
      <c r="A12" s="2" t="s">
        <v>26</v>
      </c>
      <c r="B12" s="2" t="s">
        <v>22</v>
      </c>
      <c r="C12" s="2" t="s">
        <v>26</v>
      </c>
      <c r="D12" s="2" t="s">
        <v>30</v>
      </c>
      <c r="E12" s="2"/>
      <c r="F12" s="3">
        <v>256139.01542854009</v>
      </c>
      <c r="G12" s="3">
        <v>18213</v>
      </c>
      <c r="H12" s="4">
        <v>1.173813118670338</v>
      </c>
      <c r="I12" s="4">
        <v>0.94579786366649343</v>
      </c>
      <c r="J12" s="5">
        <v>1.1619292736734721</v>
      </c>
      <c r="K12" s="5">
        <v>1.0102276836173469</v>
      </c>
      <c r="L12" s="5">
        <v>1.241082438186017</v>
      </c>
      <c r="M12" s="5">
        <v>1.228517549372675</v>
      </c>
      <c r="N12" s="5">
        <v>1.241082438186017</v>
      </c>
      <c r="O12" s="4">
        <f t="shared" si="0"/>
        <v>0</v>
      </c>
    </row>
    <row r="13" spans="1:15" x14ac:dyDescent="0.25">
      <c r="A13" s="6" t="s">
        <v>26</v>
      </c>
      <c r="B13" s="6" t="s">
        <v>22</v>
      </c>
      <c r="C13" s="6" t="s">
        <v>26</v>
      </c>
      <c r="D13" s="6" t="s">
        <v>31</v>
      </c>
      <c r="E13" s="6"/>
      <c r="F13" s="7">
        <v>256139.01542854009</v>
      </c>
      <c r="G13" s="7">
        <v>18213</v>
      </c>
      <c r="H13" s="8">
        <v>1.5622384341302351E-2</v>
      </c>
      <c r="I13" s="8">
        <v>2.5187293933090771E-2</v>
      </c>
      <c r="J13" s="9">
        <v>1.1128579635936589E-2</v>
      </c>
      <c r="K13" s="9">
        <v>1.403807570451695</v>
      </c>
      <c r="L13" s="9">
        <v>0.62024862149950322</v>
      </c>
      <c r="M13" s="9">
        <v>0.44183307923031739</v>
      </c>
      <c r="N13" s="9">
        <v>0.44183307923031701</v>
      </c>
      <c r="O13" s="8">
        <f t="shared" si="0"/>
        <v>-0.17841554226918621</v>
      </c>
    </row>
    <row r="14" spans="1:15" x14ac:dyDescent="0.25">
      <c r="A14" s="2" t="s">
        <v>32</v>
      </c>
      <c r="B14" s="2" t="s">
        <v>22</v>
      </c>
      <c r="C14" s="2" t="s">
        <v>32</v>
      </c>
      <c r="D14" s="2" t="s">
        <v>33</v>
      </c>
      <c r="E14" s="2"/>
      <c r="F14" s="3">
        <v>271579.11586500128</v>
      </c>
      <c r="G14" s="3">
        <v>22578</v>
      </c>
      <c r="H14" s="4">
        <v>13.485642355468579</v>
      </c>
      <c r="I14" s="4">
        <v>12.22952820314854</v>
      </c>
      <c r="J14" s="5">
        <v>12.504446640683041</v>
      </c>
      <c r="K14" s="5">
        <v>1.0784677437539081</v>
      </c>
      <c r="L14" s="5">
        <v>1.1027115790122339</v>
      </c>
      <c r="M14" s="5">
        <v>1.0224798890822071</v>
      </c>
      <c r="N14" s="5">
        <v>1.02247988908221</v>
      </c>
      <c r="O14" s="4">
        <f t="shared" si="0"/>
        <v>-8.0231689930023942E-2</v>
      </c>
    </row>
    <row r="15" spans="1:15" x14ac:dyDescent="0.25">
      <c r="A15" s="6" t="s">
        <v>32</v>
      </c>
      <c r="B15" s="6" t="s">
        <v>22</v>
      </c>
      <c r="C15" s="6" t="s">
        <v>32</v>
      </c>
      <c r="D15" s="6" t="s">
        <v>34</v>
      </c>
      <c r="E15" s="6"/>
      <c r="F15" s="7">
        <v>271579.11586500128</v>
      </c>
      <c r="G15" s="7">
        <v>22578</v>
      </c>
      <c r="H15" s="8">
        <v>1.0810313249372641</v>
      </c>
      <c r="I15" s="8">
        <v>0.97698862677859222</v>
      </c>
      <c r="J15" s="9">
        <v>1.073943031130171</v>
      </c>
      <c r="K15" s="9">
        <v>1.0066002512252761</v>
      </c>
      <c r="L15" s="9">
        <v>1.1064932541760799</v>
      </c>
      <c r="M15" s="9">
        <v>1.0992380071723711</v>
      </c>
      <c r="N15" s="9">
        <v>1.1064932541760799</v>
      </c>
      <c r="O15" s="8">
        <f t="shared" si="0"/>
        <v>0</v>
      </c>
    </row>
    <row r="16" spans="1:15" x14ac:dyDescent="0.25">
      <c r="A16" s="2" t="s">
        <v>32</v>
      </c>
      <c r="B16" s="2" t="s">
        <v>22</v>
      </c>
      <c r="C16" s="2" t="s">
        <v>32</v>
      </c>
      <c r="D16" s="2" t="s">
        <v>35</v>
      </c>
      <c r="E16" s="2"/>
      <c r="F16" s="3">
        <v>271579.11586500128</v>
      </c>
      <c r="G16" s="3">
        <v>22578</v>
      </c>
      <c r="H16" s="4">
        <v>2.34077251756037</v>
      </c>
      <c r="I16" s="4">
        <v>2.4213781076208858</v>
      </c>
      <c r="J16" s="5">
        <v>2.3478405358098589</v>
      </c>
      <c r="K16" s="5">
        <v>0.99698956630925895</v>
      </c>
      <c r="L16" s="5">
        <v>0.96671086196458822</v>
      </c>
      <c r="M16" s="5">
        <v>0.96962986838793197</v>
      </c>
      <c r="N16" s="5">
        <v>0.96671086196458822</v>
      </c>
      <c r="O16" s="4">
        <f t="shared" si="0"/>
        <v>0</v>
      </c>
    </row>
    <row r="17" spans="1:15" x14ac:dyDescent="0.25">
      <c r="A17" s="6" t="s">
        <v>32</v>
      </c>
      <c r="B17" s="6" t="s">
        <v>22</v>
      </c>
      <c r="C17" s="6" t="s">
        <v>32</v>
      </c>
      <c r="D17" s="6" t="s">
        <v>36</v>
      </c>
      <c r="E17" s="6"/>
      <c r="F17" s="7">
        <v>271579.11586500128</v>
      </c>
      <c r="G17" s="7">
        <v>22578</v>
      </c>
      <c r="H17" s="8">
        <v>3.1201013979583681</v>
      </c>
      <c r="I17" s="8">
        <v>3.128250812022602</v>
      </c>
      <c r="J17" s="9">
        <v>2.862986167014077</v>
      </c>
      <c r="K17" s="9">
        <v>1.0898066619764519</v>
      </c>
      <c r="L17" s="9">
        <v>0.99739489748299182</v>
      </c>
      <c r="M17" s="9">
        <v>0.91520352396647675</v>
      </c>
      <c r="N17" s="9">
        <v>0.91520352396647697</v>
      </c>
      <c r="O17" s="8">
        <f t="shared" si="0"/>
        <v>-8.2191373516514843E-2</v>
      </c>
    </row>
    <row r="18" spans="1:15" x14ac:dyDescent="0.25">
      <c r="A18" s="2" t="s">
        <v>32</v>
      </c>
      <c r="B18" s="2" t="s">
        <v>22</v>
      </c>
      <c r="C18" s="2" t="s">
        <v>32</v>
      </c>
      <c r="D18" s="2" t="s">
        <v>37</v>
      </c>
      <c r="E18" s="2"/>
      <c r="F18" s="3">
        <v>271579.11586500128</v>
      </c>
      <c r="G18" s="3">
        <v>22578</v>
      </c>
      <c r="H18" s="4">
        <v>50.829688803761812</v>
      </c>
      <c r="I18" s="4">
        <v>55.070615635091933</v>
      </c>
      <c r="J18" s="5">
        <v>51.183012327385804</v>
      </c>
      <c r="K18" s="5">
        <v>0.99309685953292481</v>
      </c>
      <c r="L18" s="5">
        <v>0.92299111273003953</v>
      </c>
      <c r="M18" s="5">
        <v>0.92940693938367958</v>
      </c>
      <c r="N18" s="5">
        <v>0.92299111273003953</v>
      </c>
      <c r="O18" s="4">
        <f t="shared" si="0"/>
        <v>0</v>
      </c>
    </row>
    <row r="19" spans="1:15" x14ac:dyDescent="0.25">
      <c r="A19" s="6" t="s">
        <v>32</v>
      </c>
      <c r="B19" s="6" t="s">
        <v>22</v>
      </c>
      <c r="C19" s="6" t="s">
        <v>32</v>
      </c>
      <c r="D19" s="6" t="s">
        <v>38</v>
      </c>
      <c r="E19" s="6"/>
      <c r="F19" s="7">
        <v>271579.11586500128</v>
      </c>
      <c r="G19" s="7">
        <v>22578</v>
      </c>
      <c r="H19" s="8">
        <v>3.9067573518493002</v>
      </c>
      <c r="I19" s="8">
        <v>4.2323481216485339</v>
      </c>
      <c r="J19" s="9">
        <v>3.8282315081008109</v>
      </c>
      <c r="K19" s="9">
        <v>1.020512302764951</v>
      </c>
      <c r="L19" s="9">
        <v>0.92307089104182338</v>
      </c>
      <c r="M19" s="9">
        <v>0.90451716117569358</v>
      </c>
      <c r="N19" s="9">
        <v>0.92307089104182338</v>
      </c>
      <c r="O19" s="8">
        <f t="shared" si="0"/>
        <v>0</v>
      </c>
    </row>
    <row r="20" spans="1:15" x14ac:dyDescent="0.25">
      <c r="A20" s="2" t="s">
        <v>32</v>
      </c>
      <c r="B20" s="2" t="s">
        <v>22</v>
      </c>
      <c r="C20" s="2" t="s">
        <v>32</v>
      </c>
      <c r="D20" s="2" t="s">
        <v>39</v>
      </c>
      <c r="E20" s="2"/>
      <c r="F20" s="3">
        <v>271579.11586500128</v>
      </c>
      <c r="G20" s="3">
        <v>22578</v>
      </c>
      <c r="H20" s="4">
        <v>3.4255875933268429</v>
      </c>
      <c r="I20" s="4">
        <v>2.5344204821052672</v>
      </c>
      <c r="J20" s="5">
        <v>4.3282234342629966</v>
      </c>
      <c r="K20" s="5">
        <v>0.79145350173220608</v>
      </c>
      <c r="L20" s="5">
        <v>1.3516255954818159</v>
      </c>
      <c r="M20" s="5">
        <v>1.7077763791853791</v>
      </c>
      <c r="N20" s="5">
        <v>1.7077763791853799</v>
      </c>
      <c r="O20" s="4">
        <f t="shared" si="0"/>
        <v>0.35615078370356401</v>
      </c>
    </row>
    <row r="21" spans="1:15" x14ac:dyDescent="0.25">
      <c r="A21" s="6" t="s">
        <v>32</v>
      </c>
      <c r="B21" s="6" t="s">
        <v>22</v>
      </c>
      <c r="C21" s="6" t="s">
        <v>32</v>
      </c>
      <c r="D21" s="6" t="s">
        <v>40</v>
      </c>
      <c r="E21" s="6"/>
      <c r="F21" s="7">
        <v>271579.11586500128</v>
      </c>
      <c r="G21" s="7">
        <v>22578</v>
      </c>
      <c r="H21" s="8">
        <v>1.1931172066117059</v>
      </c>
      <c r="I21" s="8">
        <v>0.9597310669189163</v>
      </c>
      <c r="J21" s="9">
        <v>1.2982458171318769</v>
      </c>
      <c r="K21" s="9">
        <v>0.91902256942955229</v>
      </c>
      <c r="L21" s="9">
        <v>1.243178685922967</v>
      </c>
      <c r="M21" s="9">
        <v>1.352718341503433</v>
      </c>
      <c r="N21" s="9">
        <v>1.3527183415034301</v>
      </c>
      <c r="O21" s="8">
        <f t="shared" si="0"/>
        <v>0.10953965558046308</v>
      </c>
    </row>
    <row r="22" spans="1:15" x14ac:dyDescent="0.25">
      <c r="A22" s="2" t="s">
        <v>32</v>
      </c>
      <c r="B22" s="2" t="s">
        <v>22</v>
      </c>
      <c r="C22" s="2" t="s">
        <v>32</v>
      </c>
      <c r="D22" s="2" t="s">
        <v>41</v>
      </c>
      <c r="E22" s="2"/>
      <c r="F22" s="3">
        <v>271579.11586500128</v>
      </c>
      <c r="G22" s="3">
        <v>22578</v>
      </c>
      <c r="H22" s="4">
        <v>1.3430785791942569E-2</v>
      </c>
      <c r="I22" s="4">
        <v>8.2754076373936815E-3</v>
      </c>
      <c r="J22" s="5">
        <v>7.981046971655862E-3</v>
      </c>
      <c r="K22" s="5">
        <v>1.682835076605999</v>
      </c>
      <c r="L22" s="5">
        <v>1.6229757349056171</v>
      </c>
      <c r="M22" s="5">
        <v>0.96442946636154736</v>
      </c>
      <c r="N22" s="5">
        <v>1</v>
      </c>
      <c r="O22" s="4">
        <f t="shared" si="0"/>
        <v>-0.62297573490561708</v>
      </c>
    </row>
    <row r="23" spans="1:15" x14ac:dyDescent="0.25">
      <c r="A23" s="6" t="s">
        <v>42</v>
      </c>
      <c r="B23" s="6" t="s">
        <v>22</v>
      </c>
      <c r="C23" s="6" t="s">
        <v>42</v>
      </c>
      <c r="D23" s="6" t="s">
        <v>43</v>
      </c>
      <c r="E23" s="6"/>
      <c r="F23" s="7">
        <v>293565.54720744683</v>
      </c>
      <c r="G23" s="7">
        <v>4512</v>
      </c>
      <c r="H23" s="8">
        <v>10.534417286636989</v>
      </c>
      <c r="I23" s="8">
        <v>10.89383877417534</v>
      </c>
      <c r="J23" s="9">
        <v>11.30722180157488</v>
      </c>
      <c r="K23" s="9">
        <v>0.9316538997377537</v>
      </c>
      <c r="L23" s="9">
        <v>0.96700690225098695</v>
      </c>
      <c r="M23" s="9">
        <v>1.037946497645944</v>
      </c>
      <c r="N23" s="9">
        <v>1.037946497645944</v>
      </c>
      <c r="O23" s="8">
        <f t="shared" si="0"/>
        <v>7.0939595394957089E-2</v>
      </c>
    </row>
    <row r="24" spans="1:15" x14ac:dyDescent="0.25">
      <c r="A24" s="2" t="s">
        <v>42</v>
      </c>
      <c r="B24" s="2" t="s">
        <v>22</v>
      </c>
      <c r="C24" s="2" t="s">
        <v>42</v>
      </c>
      <c r="D24" s="2" t="s">
        <v>44</v>
      </c>
      <c r="E24" s="2"/>
      <c r="F24" s="3">
        <v>293565.54720744683</v>
      </c>
      <c r="G24" s="3">
        <v>4512</v>
      </c>
      <c r="H24" s="4">
        <v>0.98270880317681975</v>
      </c>
      <c r="I24" s="4">
        <v>1.1985880732024641</v>
      </c>
      <c r="J24" s="5">
        <v>0.79279359394175941</v>
      </c>
      <c r="K24" s="5">
        <v>1.239551896844681</v>
      </c>
      <c r="L24" s="5">
        <v>0.81988868832238204</v>
      </c>
      <c r="M24" s="5">
        <v>0.66143958184359597</v>
      </c>
      <c r="N24" s="5">
        <v>0.66143958184359597</v>
      </c>
      <c r="O24" s="4">
        <f t="shared" si="0"/>
        <v>-0.15844910647878607</v>
      </c>
    </row>
    <row r="25" spans="1:15" x14ac:dyDescent="0.25">
      <c r="A25" s="6" t="s">
        <v>42</v>
      </c>
      <c r="B25" s="6" t="s">
        <v>22</v>
      </c>
      <c r="C25" s="6" t="s">
        <v>42</v>
      </c>
      <c r="D25" s="6" t="s">
        <v>45</v>
      </c>
      <c r="E25" s="6"/>
      <c r="F25" s="7">
        <v>293565.54720744683</v>
      </c>
      <c r="G25" s="7">
        <v>4512</v>
      </c>
      <c r="H25" s="8">
        <v>0.5207469263464265</v>
      </c>
      <c r="I25" s="8">
        <v>0.62391988795006015</v>
      </c>
      <c r="J25" s="9">
        <v>0.56536063034549788</v>
      </c>
      <c r="K25" s="9">
        <v>0.92108806024960121</v>
      </c>
      <c r="L25" s="9">
        <v>0.8346374853627172</v>
      </c>
      <c r="M25" s="9">
        <v>0.90614298608598054</v>
      </c>
      <c r="N25" s="9">
        <v>0.90614298608598054</v>
      </c>
      <c r="O25" s="8">
        <f t="shared" si="0"/>
        <v>7.1505500723263338E-2</v>
      </c>
    </row>
    <row r="26" spans="1:15" x14ac:dyDescent="0.25">
      <c r="A26" s="2" t="s">
        <v>42</v>
      </c>
      <c r="B26" s="2" t="s">
        <v>22</v>
      </c>
      <c r="C26" s="2" t="s">
        <v>42</v>
      </c>
      <c r="D26" s="2" t="s">
        <v>46</v>
      </c>
      <c r="E26" s="2"/>
      <c r="F26" s="3">
        <v>293565.54720744683</v>
      </c>
      <c r="G26" s="3">
        <v>4512</v>
      </c>
      <c r="H26" s="4">
        <v>81.159266457864121</v>
      </c>
      <c r="I26" s="4">
        <v>82.108503793543221</v>
      </c>
      <c r="J26" s="5">
        <v>78.459774822525986</v>
      </c>
      <c r="K26" s="5">
        <v>1.0344060589192909</v>
      </c>
      <c r="L26" s="5">
        <v>0.98843923233498565</v>
      </c>
      <c r="M26" s="5">
        <v>0.95556210620775972</v>
      </c>
      <c r="N26" s="5">
        <v>0.98843923233498565</v>
      </c>
      <c r="O26" s="4">
        <f t="shared" si="0"/>
        <v>0</v>
      </c>
    </row>
    <row r="27" spans="1:15" x14ac:dyDescent="0.25">
      <c r="A27" s="6" t="s">
        <v>42</v>
      </c>
      <c r="B27" s="6" t="s">
        <v>22</v>
      </c>
      <c r="C27" s="6" t="s">
        <v>42</v>
      </c>
      <c r="D27" s="6" t="s">
        <v>47</v>
      </c>
      <c r="E27" s="6"/>
      <c r="F27" s="7">
        <v>293565.54720744683</v>
      </c>
      <c r="G27" s="7">
        <v>4512</v>
      </c>
      <c r="H27" s="8">
        <v>5.7035739487186037</v>
      </c>
      <c r="I27" s="8">
        <v>4.2217777927678988</v>
      </c>
      <c r="J27" s="9">
        <v>6.2779838893519866</v>
      </c>
      <c r="K27" s="9">
        <v>0.90850407539152278</v>
      </c>
      <c r="L27" s="9">
        <v>1.350988666075484</v>
      </c>
      <c r="M27" s="9">
        <v>1.487047447193091</v>
      </c>
      <c r="N27" s="9">
        <v>1.4870474471930899</v>
      </c>
      <c r="O27" s="8">
        <f t="shared" si="0"/>
        <v>0.13605878111760594</v>
      </c>
    </row>
    <row r="28" spans="1:15" x14ac:dyDescent="0.25">
      <c r="A28" s="2" t="s">
        <v>42</v>
      </c>
      <c r="B28" s="2" t="s">
        <v>22</v>
      </c>
      <c r="C28" s="2" t="s">
        <v>42</v>
      </c>
      <c r="D28" s="2" t="s">
        <v>48</v>
      </c>
      <c r="E28" s="2"/>
      <c r="F28" s="3">
        <v>293565.54720744683</v>
      </c>
      <c r="G28" s="3">
        <v>4512</v>
      </c>
      <c r="H28" s="4">
        <v>0.97365989310058398</v>
      </c>
      <c r="I28" s="4">
        <v>0.87689996533627723</v>
      </c>
      <c r="J28" s="5">
        <v>0.95616905602323066</v>
      </c>
      <c r="K28" s="5">
        <v>1.0182926198742499</v>
      </c>
      <c r="L28" s="5">
        <v>1.110343176632697</v>
      </c>
      <c r="M28" s="5">
        <v>1.090396959539798</v>
      </c>
      <c r="N28" s="5">
        <v>1.110343176632697</v>
      </c>
      <c r="O28" s="4">
        <f t="shared" si="0"/>
        <v>0</v>
      </c>
    </row>
    <row r="29" spans="1:15" x14ac:dyDescent="0.25">
      <c r="A29" s="6" t="s">
        <v>42</v>
      </c>
      <c r="B29" s="6" t="s">
        <v>22</v>
      </c>
      <c r="C29" s="6" t="s">
        <v>42</v>
      </c>
      <c r="D29" s="6" t="s">
        <v>49</v>
      </c>
      <c r="E29" s="6"/>
      <c r="F29" s="7">
        <v>293565.54720744683</v>
      </c>
      <c r="G29" s="7">
        <v>4512</v>
      </c>
      <c r="H29" s="8">
        <v>0.12562668415649081</v>
      </c>
      <c r="I29" s="8">
        <v>7.6471713025587376E-2</v>
      </c>
      <c r="J29" s="9">
        <v>0.46811673235505219</v>
      </c>
      <c r="K29" s="9">
        <v>0.26836614774369311</v>
      </c>
      <c r="L29" s="9">
        <v>1.6427863217142289</v>
      </c>
      <c r="M29" s="9">
        <v>6.1214364610666001</v>
      </c>
      <c r="N29" s="9">
        <v>1.6427863217142289</v>
      </c>
      <c r="O29" s="8">
        <f t="shared" si="0"/>
        <v>0</v>
      </c>
    </row>
    <row r="30" spans="1:15" x14ac:dyDescent="0.25">
      <c r="A30" s="2" t="s">
        <v>50</v>
      </c>
      <c r="B30" s="2" t="s">
        <v>22</v>
      </c>
      <c r="C30" s="2" t="s">
        <v>50</v>
      </c>
      <c r="D30" s="2" t="s">
        <v>51</v>
      </c>
      <c r="E30" s="2"/>
      <c r="F30" s="3">
        <v>250854.58190649669</v>
      </c>
      <c r="G30" s="3">
        <v>8235</v>
      </c>
      <c r="H30" s="4">
        <v>4.9072174033745322</v>
      </c>
      <c r="I30" s="4">
        <v>4.9079627927565843</v>
      </c>
      <c r="J30" s="5">
        <v>4.6064601743881237</v>
      </c>
      <c r="K30" s="5">
        <v>1.0652903135163561</v>
      </c>
      <c r="L30" s="5">
        <v>0.99984812652142507</v>
      </c>
      <c r="M30" s="5">
        <v>0.93856868295468066</v>
      </c>
      <c r="N30" s="5">
        <v>0.99984812652142507</v>
      </c>
      <c r="O30" s="4">
        <f t="shared" si="0"/>
        <v>0</v>
      </c>
    </row>
    <row r="31" spans="1:15" x14ac:dyDescent="0.25">
      <c r="A31" s="6" t="s">
        <v>50</v>
      </c>
      <c r="B31" s="6" t="s">
        <v>22</v>
      </c>
      <c r="C31" s="6" t="s">
        <v>50</v>
      </c>
      <c r="D31" s="6" t="s">
        <v>52</v>
      </c>
      <c r="E31" s="6"/>
      <c r="F31" s="7">
        <v>250854.58190649669</v>
      </c>
      <c r="G31" s="7">
        <v>8235</v>
      </c>
      <c r="H31" s="8">
        <v>1.4804726519506199</v>
      </c>
      <c r="I31" s="8">
        <v>1.095900930072528</v>
      </c>
      <c r="J31" s="9">
        <v>1.2096648701305861</v>
      </c>
      <c r="K31" s="9">
        <v>1.223870088738545</v>
      </c>
      <c r="L31" s="9">
        <v>1.3509183278571011</v>
      </c>
      <c r="M31" s="9">
        <v>1.1038085988762949</v>
      </c>
      <c r="N31" s="9">
        <v>1.1038085988762949</v>
      </c>
      <c r="O31" s="8">
        <f t="shared" si="0"/>
        <v>-0.24710972898080619</v>
      </c>
    </row>
    <row r="32" spans="1:15" x14ac:dyDescent="0.25">
      <c r="A32" s="2" t="s">
        <v>50</v>
      </c>
      <c r="B32" s="2" t="s">
        <v>22</v>
      </c>
      <c r="C32" s="2" t="s">
        <v>50</v>
      </c>
      <c r="D32" s="2" t="s">
        <v>53</v>
      </c>
      <c r="E32" s="2"/>
      <c r="F32" s="3">
        <v>250854.58190649669</v>
      </c>
      <c r="G32" s="3">
        <v>8235</v>
      </c>
      <c r="H32" s="4">
        <v>1.4058529331177001</v>
      </c>
      <c r="I32" s="4">
        <v>1.954971072968672</v>
      </c>
      <c r="J32" s="5">
        <v>1.36847830193659</v>
      </c>
      <c r="K32" s="5">
        <v>1.027311087890995</v>
      </c>
      <c r="L32" s="5">
        <v>0.71911700001927747</v>
      </c>
      <c r="M32" s="5">
        <v>0.69999925874019275</v>
      </c>
      <c r="N32" s="5">
        <v>0.71911700001927747</v>
      </c>
      <c r="O32" s="4">
        <f t="shared" si="0"/>
        <v>0</v>
      </c>
    </row>
    <row r="33" spans="1:15" x14ac:dyDescent="0.25">
      <c r="A33" s="6" t="s">
        <v>50</v>
      </c>
      <c r="B33" s="6" t="s">
        <v>22</v>
      </c>
      <c r="C33" s="6" t="s">
        <v>50</v>
      </c>
      <c r="D33" s="6" t="s">
        <v>54</v>
      </c>
      <c r="E33" s="6"/>
      <c r="F33" s="7">
        <v>250854.58190649669</v>
      </c>
      <c r="G33" s="7">
        <v>8235</v>
      </c>
      <c r="H33" s="8">
        <v>3.5480799497955098</v>
      </c>
      <c r="I33" s="8">
        <v>3.548104783601389</v>
      </c>
      <c r="J33" s="9">
        <v>4.0401640863785619</v>
      </c>
      <c r="K33" s="9">
        <v>0.87820194277699848</v>
      </c>
      <c r="L33" s="9">
        <v>0.99999300082511844</v>
      </c>
      <c r="M33" s="9">
        <v>1.138682291755128</v>
      </c>
      <c r="N33" s="9">
        <v>1.13868229175513</v>
      </c>
      <c r="O33" s="8">
        <f t="shared" si="0"/>
        <v>0.13868929093001159</v>
      </c>
    </row>
    <row r="34" spans="1:15" x14ac:dyDescent="0.25">
      <c r="A34" s="2" t="s">
        <v>55</v>
      </c>
      <c r="B34" s="2" t="s">
        <v>22</v>
      </c>
      <c r="C34" s="2" t="s">
        <v>55</v>
      </c>
      <c r="D34" s="2" t="s">
        <v>56</v>
      </c>
      <c r="E34" s="2"/>
      <c r="F34" s="3">
        <v>217528.40904716071</v>
      </c>
      <c r="G34" s="3">
        <v>1039</v>
      </c>
      <c r="H34" s="4">
        <v>7.3562135776500206</v>
      </c>
      <c r="I34" s="4">
        <v>7.3562135776500206</v>
      </c>
      <c r="J34" s="5">
        <v>8.9083364549111348</v>
      </c>
      <c r="K34" s="5">
        <v>0.82576737136983258</v>
      </c>
      <c r="L34" s="5">
        <v>1</v>
      </c>
      <c r="M34" s="5">
        <v>1.2109948087935949</v>
      </c>
      <c r="N34" s="5">
        <v>1.21099480879359</v>
      </c>
      <c r="O34" s="4">
        <f t="shared" si="0"/>
        <v>0.21099480879359001</v>
      </c>
    </row>
  </sheetData>
  <autoFilter ref="A2:O34" xr:uid="{00000000-0009-0000-0000-000000000000}"/>
  <mergeCells count="1">
    <mergeCell ref="A1:O1"/>
  </mergeCells>
  <conditionalFormatting sqref="G3:G34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3:K34">
    <cfRule type="colorScale" priority="3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3:O34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zoomScale="160" zoomScaleNormal="160" workbookViewId="0">
      <pane ySplit="2" topLeftCell="A3" activePane="bottomLeft" state="frozen"/>
      <selection pane="bottomLeft" activeCell="L14" sqref="L14"/>
    </sheetView>
  </sheetViews>
  <sheetFormatPr defaultRowHeight="15" x14ac:dyDescent="0.25"/>
  <cols>
    <col min="1" max="1" width="10" customWidth="1"/>
    <col min="2" max="3" width="13" customWidth="1"/>
    <col min="4" max="4" width="15.5703125" customWidth="1"/>
    <col min="5" max="5" width="10" customWidth="1"/>
    <col min="6" max="6" width="19" customWidth="1"/>
    <col min="7" max="7" width="10" customWidth="1"/>
    <col min="8" max="10" width="22" customWidth="1"/>
    <col min="11" max="14" width="20" customWidth="1"/>
    <col min="15" max="15" width="22" customWidth="1"/>
  </cols>
  <sheetData>
    <row r="1" spans="1:15" ht="17.25" x14ac:dyDescent="0.25">
      <c r="A1" s="23" t="s">
        <v>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72</v>
      </c>
      <c r="C3" s="2" t="s">
        <v>18</v>
      </c>
      <c r="D3" s="2"/>
      <c r="E3" s="2" t="s">
        <v>19</v>
      </c>
      <c r="F3" s="3">
        <v>303330.53888000001</v>
      </c>
      <c r="G3" s="3">
        <v>250000</v>
      </c>
      <c r="H3" s="4">
        <v>0.49649273590955112</v>
      </c>
      <c r="I3" s="4">
        <v>0.57589364442127666</v>
      </c>
      <c r="J3" s="5">
        <v>0.70249768093316955</v>
      </c>
      <c r="K3" s="5">
        <v>0.70675355860254252</v>
      </c>
      <c r="L3" s="5">
        <v>0.86212574269417985</v>
      </c>
      <c r="M3" s="5">
        <v>1.2198392667436351</v>
      </c>
      <c r="N3" s="26">
        <v>1.105</v>
      </c>
      <c r="O3" s="4">
        <f t="shared" ref="O3:O31" si="0">N3-L3</f>
        <v>0.24287425730582013</v>
      </c>
    </row>
    <row r="4" spans="1:15" x14ac:dyDescent="0.25">
      <c r="A4" s="2" t="s">
        <v>16</v>
      </c>
      <c r="B4" s="2" t="s">
        <v>71</v>
      </c>
      <c r="C4" s="2"/>
      <c r="D4" s="2"/>
      <c r="E4" s="2" t="s">
        <v>19</v>
      </c>
      <c r="F4" s="3">
        <v>297039.39790400001</v>
      </c>
      <c r="G4" s="3">
        <v>250000</v>
      </c>
      <c r="H4" s="4">
        <v>0.51666531659444692</v>
      </c>
      <c r="I4" s="4">
        <v>0.59928987815791968</v>
      </c>
      <c r="J4" s="5">
        <v>0.73646534121562468</v>
      </c>
      <c r="K4" s="5">
        <v>0.701547360995466</v>
      </c>
      <c r="L4" s="5">
        <v>0.86212922230984146</v>
      </c>
      <c r="M4" s="5">
        <v>1.2198392667436351</v>
      </c>
      <c r="N4" s="26">
        <v>2.008</v>
      </c>
      <c r="O4" s="4">
        <f t="shared" si="0"/>
        <v>1.1458707776901584</v>
      </c>
    </row>
    <row r="5" spans="1:15" x14ac:dyDescent="0.25">
      <c r="A5" s="6" t="s">
        <v>20</v>
      </c>
      <c r="B5" s="6" t="s">
        <v>17</v>
      </c>
      <c r="C5" s="6" t="s">
        <v>18</v>
      </c>
      <c r="D5" s="6"/>
      <c r="E5" s="6" t="s">
        <v>19</v>
      </c>
      <c r="F5" s="7">
        <v>303330.53888000001</v>
      </c>
      <c r="G5" s="7">
        <v>250000</v>
      </c>
      <c r="H5" s="8">
        <v>0.55174590943214985</v>
      </c>
      <c r="I5" s="8">
        <v>0.4324839408400824</v>
      </c>
      <c r="J5" s="9">
        <v>0.53044467222065561</v>
      </c>
      <c r="K5" s="9">
        <v>1.0401573214456441</v>
      </c>
      <c r="L5" s="9">
        <v>1.2757604556608639</v>
      </c>
      <c r="M5" s="9">
        <v>1.226507211320468</v>
      </c>
      <c r="N5" s="9">
        <v>1.226507211320468</v>
      </c>
      <c r="O5" s="8">
        <f t="shared" si="0"/>
        <v>-4.9253244340395907E-2</v>
      </c>
    </row>
    <row r="6" spans="1:15" x14ac:dyDescent="0.25">
      <c r="A6" s="2" t="s">
        <v>21</v>
      </c>
      <c r="B6" s="2" t="s">
        <v>22</v>
      </c>
      <c r="C6" s="2" t="s">
        <v>21</v>
      </c>
      <c r="D6" s="2" t="s">
        <v>23</v>
      </c>
      <c r="E6" s="2"/>
      <c r="F6" s="3">
        <v>251206.08660217229</v>
      </c>
      <c r="G6" s="3">
        <v>62331</v>
      </c>
      <c r="H6" s="4">
        <v>36.101347336034152</v>
      </c>
      <c r="I6" s="4">
        <v>45.818706567799133</v>
      </c>
      <c r="J6" s="5">
        <v>35.281392226255157</v>
      </c>
      <c r="K6" s="5">
        <v>1.0232404408681131</v>
      </c>
      <c r="L6" s="5">
        <v>0.78791720762815609</v>
      </c>
      <c r="M6" s="5">
        <v>0.77002156693463986</v>
      </c>
      <c r="N6" s="5">
        <v>0.78791720762815609</v>
      </c>
      <c r="O6" s="4">
        <f t="shared" si="0"/>
        <v>0</v>
      </c>
    </row>
    <row r="7" spans="1:15" x14ac:dyDescent="0.25">
      <c r="A7" s="6" t="s">
        <v>21</v>
      </c>
      <c r="B7" s="6" t="s">
        <v>22</v>
      </c>
      <c r="C7" s="6" t="s">
        <v>21</v>
      </c>
      <c r="D7" s="6" t="s">
        <v>24</v>
      </c>
      <c r="E7" s="6"/>
      <c r="F7" s="7">
        <v>251206.08660217229</v>
      </c>
      <c r="G7" s="7">
        <v>62331</v>
      </c>
      <c r="H7" s="8">
        <v>18.9028055983771</v>
      </c>
      <c r="I7" s="8">
        <v>13.00762064742654</v>
      </c>
      <c r="J7" s="9">
        <v>18.516017921357651</v>
      </c>
      <c r="K7" s="9">
        <v>1.020889355295628</v>
      </c>
      <c r="L7" s="9">
        <v>1.4532100920483779</v>
      </c>
      <c r="M7" s="9">
        <v>1.4234746248554611</v>
      </c>
      <c r="N7" s="9">
        <v>1.4532100920483779</v>
      </c>
      <c r="O7" s="8">
        <f t="shared" si="0"/>
        <v>0</v>
      </c>
    </row>
    <row r="8" spans="1:15" x14ac:dyDescent="0.25">
      <c r="A8" s="2" t="s">
        <v>21</v>
      </c>
      <c r="B8" s="2" t="s">
        <v>22</v>
      </c>
      <c r="C8" s="2" t="s">
        <v>21</v>
      </c>
      <c r="D8" s="2" t="s">
        <v>25</v>
      </c>
      <c r="E8" s="2"/>
      <c r="F8" s="3">
        <v>251206.08660217229</v>
      </c>
      <c r="G8" s="3">
        <v>62331</v>
      </c>
      <c r="H8" s="4">
        <v>0.81199769808455635</v>
      </c>
      <c r="I8" s="4">
        <v>1.3775964561675049</v>
      </c>
      <c r="J8" s="5">
        <v>0.91098081240184725</v>
      </c>
      <c r="K8" s="5">
        <v>0.89134445756731484</v>
      </c>
      <c r="L8" s="5">
        <v>0.58943073964021842</v>
      </c>
      <c r="M8" s="5">
        <v>0.66128277865653784</v>
      </c>
      <c r="N8" s="5">
        <v>0.58943073964021842</v>
      </c>
      <c r="O8" s="4">
        <f t="shared" si="0"/>
        <v>0</v>
      </c>
    </row>
    <row r="9" spans="1:15" x14ac:dyDescent="0.25">
      <c r="A9" s="6" t="s">
        <v>26</v>
      </c>
      <c r="B9" s="6" t="s">
        <v>22</v>
      </c>
      <c r="C9" s="6" t="s">
        <v>26</v>
      </c>
      <c r="D9" s="6" t="s">
        <v>27</v>
      </c>
      <c r="E9" s="6"/>
      <c r="F9" s="7">
        <v>259328.93180812741</v>
      </c>
      <c r="G9" s="7">
        <v>15823</v>
      </c>
      <c r="H9" s="8">
        <v>15.963072833830539</v>
      </c>
      <c r="I9" s="8">
        <v>16.292501946609921</v>
      </c>
      <c r="J9" s="9">
        <v>14.461158170472469</v>
      </c>
      <c r="K9" s="9">
        <v>1.1038585323286729</v>
      </c>
      <c r="L9" s="9">
        <v>0.97978032386560943</v>
      </c>
      <c r="M9" s="9">
        <v>0.88759591484851674</v>
      </c>
      <c r="N9" s="9">
        <v>0.88759591484851696</v>
      </c>
      <c r="O9" s="8">
        <f t="shared" si="0"/>
        <v>-9.2184409017092461E-2</v>
      </c>
    </row>
    <row r="10" spans="1:15" x14ac:dyDescent="0.25">
      <c r="A10" s="2" t="s">
        <v>26</v>
      </c>
      <c r="B10" s="2" t="s">
        <v>22</v>
      </c>
      <c r="C10" s="2" t="s">
        <v>26</v>
      </c>
      <c r="D10" s="2" t="s">
        <v>28</v>
      </c>
      <c r="E10" s="2"/>
      <c r="F10" s="3">
        <v>259328.93180812741</v>
      </c>
      <c r="G10" s="3">
        <v>15823</v>
      </c>
      <c r="H10" s="4">
        <v>13.35060112076547</v>
      </c>
      <c r="I10" s="4">
        <v>13.34901998679844</v>
      </c>
      <c r="J10" s="5">
        <v>13.350320119936089</v>
      </c>
      <c r="K10" s="5">
        <v>1.0000210482465479</v>
      </c>
      <c r="L10" s="5">
        <v>1.0001184456962831</v>
      </c>
      <c r="M10" s="5">
        <v>1.0000973953997321</v>
      </c>
      <c r="N10" s="5">
        <v>1.0000973953997321</v>
      </c>
      <c r="O10" s="4">
        <f t="shared" si="0"/>
        <v>-2.1050296550972902E-5</v>
      </c>
    </row>
    <row r="11" spans="1:15" x14ac:dyDescent="0.25">
      <c r="A11" s="6" t="s">
        <v>26</v>
      </c>
      <c r="B11" s="6" t="s">
        <v>22</v>
      </c>
      <c r="C11" s="6" t="s">
        <v>26</v>
      </c>
      <c r="D11" s="6" t="s">
        <v>29</v>
      </c>
      <c r="E11" s="6"/>
      <c r="F11" s="7">
        <v>259328.93180812741</v>
      </c>
      <c r="G11" s="7">
        <v>15823</v>
      </c>
      <c r="H11" s="8">
        <v>37.493400575155427</v>
      </c>
      <c r="I11" s="8">
        <v>37.498513956605663</v>
      </c>
      <c r="J11" s="9">
        <v>38.029023681156339</v>
      </c>
      <c r="K11" s="9">
        <v>0.9859154126466223</v>
      </c>
      <c r="L11" s="9">
        <v>0.99986363775758824</v>
      </c>
      <c r="M11" s="9">
        <v>1.0141474866221261</v>
      </c>
      <c r="N11" s="9">
        <v>0.99986363775758824</v>
      </c>
      <c r="O11" s="8">
        <f t="shared" si="0"/>
        <v>0</v>
      </c>
    </row>
    <row r="12" spans="1:15" x14ac:dyDescent="0.25">
      <c r="A12" s="2" t="s">
        <v>26</v>
      </c>
      <c r="B12" s="2" t="s">
        <v>22</v>
      </c>
      <c r="C12" s="2" t="s">
        <v>26</v>
      </c>
      <c r="D12" s="2" t="s">
        <v>30</v>
      </c>
      <c r="E12" s="2"/>
      <c r="F12" s="3">
        <v>259328.93180812741</v>
      </c>
      <c r="G12" s="3">
        <v>15823</v>
      </c>
      <c r="H12" s="4">
        <v>1.1030876640790539</v>
      </c>
      <c r="I12" s="4">
        <v>0.99359904357488216</v>
      </c>
      <c r="J12" s="5">
        <v>1.1594139468183109</v>
      </c>
      <c r="K12" s="5">
        <v>0.95141831535334787</v>
      </c>
      <c r="L12" s="5">
        <v>1.1101939672870871</v>
      </c>
      <c r="M12" s="5">
        <v>1.1668831147892831</v>
      </c>
      <c r="N12" s="5">
        <v>1.1101939672870871</v>
      </c>
      <c r="O12" s="4">
        <f t="shared" si="0"/>
        <v>0</v>
      </c>
    </row>
    <row r="13" spans="1:15" x14ac:dyDescent="0.25">
      <c r="A13" s="6" t="s">
        <v>26</v>
      </c>
      <c r="B13" s="6" t="s">
        <v>22</v>
      </c>
      <c r="C13" s="6" t="s">
        <v>26</v>
      </c>
      <c r="D13" s="6" t="s">
        <v>31</v>
      </c>
      <c r="E13" s="6"/>
      <c r="F13" s="7">
        <v>259328.93180812741</v>
      </c>
      <c r="G13" s="7">
        <v>15823</v>
      </c>
      <c r="H13" s="8">
        <v>1.851104464645004E-2</v>
      </c>
      <c r="I13" s="8">
        <v>2.9833626358611219E-2</v>
      </c>
      <c r="J13" s="9">
        <v>1.171050178934561E-2</v>
      </c>
      <c r="K13" s="9">
        <v>1.5807217298998799</v>
      </c>
      <c r="L13" s="9">
        <v>0.62047584909526032</v>
      </c>
      <c r="M13" s="9">
        <v>0.39252693080556322</v>
      </c>
      <c r="N13" s="9">
        <v>0.392526930805563</v>
      </c>
      <c r="O13" s="8">
        <f t="shared" si="0"/>
        <v>-0.22794891828969732</v>
      </c>
    </row>
    <row r="14" spans="1:15" x14ac:dyDescent="0.25">
      <c r="A14" s="2" t="s">
        <v>32</v>
      </c>
      <c r="B14" s="2" t="s">
        <v>22</v>
      </c>
      <c r="C14" s="2" t="s">
        <v>32</v>
      </c>
      <c r="D14" s="2" t="s">
        <v>33</v>
      </c>
      <c r="E14" s="2"/>
      <c r="F14" s="3">
        <v>274580.05843677669</v>
      </c>
      <c r="G14" s="3">
        <v>19012</v>
      </c>
      <c r="H14" s="4">
        <v>13.168180452523879</v>
      </c>
      <c r="I14" s="4">
        <v>13.43970394545722</v>
      </c>
      <c r="J14" s="5">
        <v>12.01493163793187</v>
      </c>
      <c r="K14" s="5">
        <v>1.0959846338993</v>
      </c>
      <c r="L14" s="5">
        <v>0.9797969141258418</v>
      </c>
      <c r="M14" s="5">
        <v>0.89398782046780623</v>
      </c>
      <c r="N14" s="5">
        <v>0.893987820467806</v>
      </c>
      <c r="O14" s="4">
        <f t="shared" si="0"/>
        <v>-8.5809093658035795E-2</v>
      </c>
    </row>
    <row r="15" spans="1:15" x14ac:dyDescent="0.25">
      <c r="A15" s="6" t="s">
        <v>32</v>
      </c>
      <c r="B15" s="6" t="s">
        <v>22</v>
      </c>
      <c r="C15" s="6" t="s">
        <v>32</v>
      </c>
      <c r="D15" s="6" t="s">
        <v>34</v>
      </c>
      <c r="E15" s="6"/>
      <c r="F15" s="7">
        <v>274580.05843677669</v>
      </c>
      <c r="G15" s="7">
        <v>19012</v>
      </c>
      <c r="H15" s="8">
        <v>1.018817521093619</v>
      </c>
      <c r="I15" s="8">
        <v>0.98784211412454292</v>
      </c>
      <c r="J15" s="9">
        <v>0.99865163506419385</v>
      </c>
      <c r="K15" s="9">
        <v>1.0201931137159039</v>
      </c>
      <c r="L15" s="9">
        <v>1.031356637387876</v>
      </c>
      <c r="M15" s="9">
        <v>1.0109425593271359</v>
      </c>
      <c r="N15" s="9">
        <v>1.031356637387876</v>
      </c>
      <c r="O15" s="8">
        <f t="shared" si="0"/>
        <v>0</v>
      </c>
    </row>
    <row r="16" spans="1:15" x14ac:dyDescent="0.25">
      <c r="A16" s="2" t="s">
        <v>32</v>
      </c>
      <c r="B16" s="2" t="s">
        <v>22</v>
      </c>
      <c r="C16" s="2" t="s">
        <v>32</v>
      </c>
      <c r="D16" s="2" t="s">
        <v>35</v>
      </c>
      <c r="E16" s="2"/>
      <c r="F16" s="3">
        <v>274580.05843677669</v>
      </c>
      <c r="G16" s="3">
        <v>19012</v>
      </c>
      <c r="H16" s="4">
        <v>2.2544385024894629</v>
      </c>
      <c r="I16" s="4">
        <v>2.4097713021482359</v>
      </c>
      <c r="J16" s="5">
        <v>2.213942780966426</v>
      </c>
      <c r="K16" s="5">
        <v>1.0182912231838981</v>
      </c>
      <c r="L16" s="5">
        <v>0.93554043924404817</v>
      </c>
      <c r="M16" s="5">
        <v>0.91873564059492485</v>
      </c>
      <c r="N16" s="5">
        <v>0.93554043924404817</v>
      </c>
      <c r="O16" s="4">
        <f t="shared" si="0"/>
        <v>0</v>
      </c>
    </row>
    <row r="17" spans="1:15" x14ac:dyDescent="0.25">
      <c r="A17" s="6" t="s">
        <v>32</v>
      </c>
      <c r="B17" s="6" t="s">
        <v>22</v>
      </c>
      <c r="C17" s="6" t="s">
        <v>32</v>
      </c>
      <c r="D17" s="6" t="s">
        <v>36</v>
      </c>
      <c r="E17" s="6"/>
      <c r="F17" s="7">
        <v>274580.05843677669</v>
      </c>
      <c r="G17" s="7">
        <v>19012</v>
      </c>
      <c r="H17" s="8">
        <v>2.9854258986611928</v>
      </c>
      <c r="I17" s="8">
        <v>3.2775385615314292</v>
      </c>
      <c r="J17" s="9">
        <v>2.583756657520702</v>
      </c>
      <c r="K17" s="9">
        <v>1.155459392807495</v>
      </c>
      <c r="L17" s="9">
        <v>0.91087437801685334</v>
      </c>
      <c r="M17" s="9">
        <v>0.78832227569992097</v>
      </c>
      <c r="N17" s="9">
        <v>0.78832227569992097</v>
      </c>
      <c r="O17" s="8">
        <f t="shared" si="0"/>
        <v>-0.12255210231693237</v>
      </c>
    </row>
    <row r="18" spans="1:15" x14ac:dyDescent="0.25">
      <c r="A18" s="2" t="s">
        <v>32</v>
      </c>
      <c r="B18" s="2" t="s">
        <v>22</v>
      </c>
      <c r="C18" s="2" t="s">
        <v>32</v>
      </c>
      <c r="D18" s="2" t="s">
        <v>37</v>
      </c>
      <c r="E18" s="2"/>
      <c r="F18" s="3">
        <v>274580.05843677669</v>
      </c>
      <c r="G18" s="3">
        <v>19012</v>
      </c>
      <c r="H18" s="4">
        <v>54.310717401043433</v>
      </c>
      <c r="I18" s="4">
        <v>53.248949162414213</v>
      </c>
      <c r="J18" s="5">
        <v>56.240828387218187</v>
      </c>
      <c r="K18" s="5">
        <v>0.96568132010990404</v>
      </c>
      <c r="L18" s="5">
        <v>1.0199397031365021</v>
      </c>
      <c r="M18" s="5">
        <v>1.0561866341376711</v>
      </c>
      <c r="N18" s="5">
        <v>1.05618663413767</v>
      </c>
      <c r="O18" s="4">
        <f t="shared" si="0"/>
        <v>3.6246931001167937E-2</v>
      </c>
    </row>
    <row r="19" spans="1:15" x14ac:dyDescent="0.25">
      <c r="A19" s="6" t="s">
        <v>32</v>
      </c>
      <c r="B19" s="6" t="s">
        <v>22</v>
      </c>
      <c r="C19" s="6" t="s">
        <v>32</v>
      </c>
      <c r="D19" s="6" t="s">
        <v>38</v>
      </c>
      <c r="E19" s="6"/>
      <c r="F19" s="7">
        <v>274580.05843677669</v>
      </c>
      <c r="G19" s="7">
        <v>19012</v>
      </c>
      <c r="H19" s="8">
        <v>4.1643290768954602</v>
      </c>
      <c r="I19" s="8">
        <v>4.0828652669421546</v>
      </c>
      <c r="J19" s="9">
        <v>4.2494075336902384</v>
      </c>
      <c r="K19" s="9">
        <v>0.97997874853841205</v>
      </c>
      <c r="L19" s="9">
        <v>1.0199526079424901</v>
      </c>
      <c r="M19" s="9">
        <v>1.0407905370026611</v>
      </c>
      <c r="N19" s="9">
        <v>1.0407905370026611</v>
      </c>
      <c r="O19" s="8">
        <f t="shared" si="0"/>
        <v>2.0837929060171012E-2</v>
      </c>
    </row>
    <row r="20" spans="1:15" x14ac:dyDescent="0.25">
      <c r="A20" s="2" t="s">
        <v>32</v>
      </c>
      <c r="B20" s="2" t="s">
        <v>22</v>
      </c>
      <c r="C20" s="2" t="s">
        <v>32</v>
      </c>
      <c r="D20" s="2" t="s">
        <v>40</v>
      </c>
      <c r="E20" s="2"/>
      <c r="F20" s="3">
        <v>274580.05843677669</v>
      </c>
      <c r="G20" s="3">
        <v>19012</v>
      </c>
      <c r="H20" s="4">
        <v>1.305272416989018</v>
      </c>
      <c r="I20" s="4">
        <v>1.1112828546208491</v>
      </c>
      <c r="J20" s="5">
        <v>1.298527874091788</v>
      </c>
      <c r="K20" s="5">
        <v>1.0051939916206629</v>
      </c>
      <c r="L20" s="5">
        <v>1.1745636239788431</v>
      </c>
      <c r="M20" s="5">
        <v>1.1684944734748239</v>
      </c>
      <c r="N20" s="5">
        <v>1.1745636239788431</v>
      </c>
      <c r="O20" s="4">
        <f t="shared" si="0"/>
        <v>0</v>
      </c>
    </row>
    <row r="21" spans="1:15" x14ac:dyDescent="0.25">
      <c r="A21" s="6" t="s">
        <v>32</v>
      </c>
      <c r="B21" s="6" t="s">
        <v>22</v>
      </c>
      <c r="C21" s="6" t="s">
        <v>32</v>
      </c>
      <c r="D21" s="6" t="s">
        <v>41</v>
      </c>
      <c r="E21" s="6"/>
      <c r="F21" s="7">
        <v>274580.05843677669</v>
      </c>
      <c r="G21" s="7">
        <v>19012</v>
      </c>
      <c r="H21" s="8">
        <v>1.3350751613368751E-2</v>
      </c>
      <c r="I21" s="8">
        <v>8.2204686280904337E-3</v>
      </c>
      <c r="J21" s="9">
        <v>3.4145987056507662E-2</v>
      </c>
      <c r="K21" s="9">
        <v>0.39099035536078658</v>
      </c>
      <c r="L21" s="9">
        <v>1.6240864380587079</v>
      </c>
      <c r="M21" s="9">
        <v>4.1537762141474852</v>
      </c>
      <c r="N21" s="9">
        <v>1.6240864380587079</v>
      </c>
      <c r="O21" s="8">
        <f t="shared" si="0"/>
        <v>0</v>
      </c>
    </row>
    <row r="22" spans="1:15" x14ac:dyDescent="0.25">
      <c r="A22" s="2" t="s">
        <v>42</v>
      </c>
      <c r="B22" s="2" t="s">
        <v>22</v>
      </c>
      <c r="C22" s="2" t="s">
        <v>42</v>
      </c>
      <c r="D22" s="2" t="s">
        <v>43</v>
      </c>
      <c r="E22" s="2"/>
      <c r="F22" s="3">
        <v>291094.31946072693</v>
      </c>
      <c r="G22" s="3">
        <v>5118</v>
      </c>
      <c r="H22" s="4">
        <v>7.4668845583718078</v>
      </c>
      <c r="I22" s="4">
        <v>9.1878695886290398</v>
      </c>
      <c r="J22" s="5">
        <v>7.2719719570096117</v>
      </c>
      <c r="K22" s="5">
        <v>1.0268032663649529</v>
      </c>
      <c r="L22" s="5">
        <v>0.81268943647315883</v>
      </c>
      <c r="M22" s="5">
        <v>0.7914753128417763</v>
      </c>
      <c r="N22" s="5">
        <v>0.81268943647315883</v>
      </c>
      <c r="O22" s="4">
        <f t="shared" si="0"/>
        <v>0</v>
      </c>
    </row>
    <row r="23" spans="1:15" x14ac:dyDescent="0.25">
      <c r="A23" s="6" t="s">
        <v>42</v>
      </c>
      <c r="B23" s="6" t="s">
        <v>22</v>
      </c>
      <c r="C23" s="6" t="s">
        <v>42</v>
      </c>
      <c r="D23" s="6" t="s">
        <v>44</v>
      </c>
      <c r="E23" s="6"/>
      <c r="F23" s="7">
        <v>291094.31946072693</v>
      </c>
      <c r="G23" s="7">
        <v>5118</v>
      </c>
      <c r="H23" s="8">
        <v>0.67826342944598361</v>
      </c>
      <c r="I23" s="8">
        <v>1.1684439405358511</v>
      </c>
      <c r="J23" s="9">
        <v>0.641514031954738</v>
      </c>
      <c r="K23" s="9">
        <v>1.0572854149102049</v>
      </c>
      <c r="L23" s="9">
        <v>0.58048435694307299</v>
      </c>
      <c r="M23" s="9">
        <v>0.54903278599787875</v>
      </c>
      <c r="N23" s="9">
        <v>0.58048435694307299</v>
      </c>
      <c r="O23" s="8">
        <f t="shared" si="0"/>
        <v>0</v>
      </c>
    </row>
    <row r="24" spans="1:15" x14ac:dyDescent="0.25">
      <c r="A24" s="2" t="s">
        <v>42</v>
      </c>
      <c r="B24" s="2" t="s">
        <v>22</v>
      </c>
      <c r="C24" s="2" t="s">
        <v>42</v>
      </c>
      <c r="D24" s="2" t="s">
        <v>45</v>
      </c>
      <c r="E24" s="2"/>
      <c r="F24" s="3">
        <v>291094.31946072693</v>
      </c>
      <c r="G24" s="3">
        <v>5118</v>
      </c>
      <c r="H24" s="4">
        <v>0.31613202885648589</v>
      </c>
      <c r="I24" s="4">
        <v>0.52312498470300395</v>
      </c>
      <c r="J24" s="5">
        <v>0.27342555087042641</v>
      </c>
      <c r="K24" s="5">
        <v>1.1561905163950741</v>
      </c>
      <c r="L24" s="5">
        <v>0.60431452922472229</v>
      </c>
      <c r="M24" s="5">
        <v>0.5226772929334651</v>
      </c>
      <c r="N24" s="5">
        <v>0.52267729293346499</v>
      </c>
      <c r="O24" s="4">
        <f t="shared" si="0"/>
        <v>-8.1637236291257298E-2</v>
      </c>
    </row>
    <row r="25" spans="1:15" x14ac:dyDescent="0.25">
      <c r="A25" s="6" t="s">
        <v>42</v>
      </c>
      <c r="B25" s="6" t="s">
        <v>22</v>
      </c>
      <c r="C25" s="6" t="s">
        <v>42</v>
      </c>
      <c r="D25" s="6" t="s">
        <v>46</v>
      </c>
      <c r="E25" s="6"/>
      <c r="F25" s="7">
        <v>291094.31946072693</v>
      </c>
      <c r="G25" s="7">
        <v>5118</v>
      </c>
      <c r="H25" s="8">
        <v>82.705489671585553</v>
      </c>
      <c r="I25" s="8">
        <v>82.693942406003103</v>
      </c>
      <c r="J25" s="9">
        <v>87.854935383013952</v>
      </c>
      <c r="K25" s="9">
        <v>0.94138695010156481</v>
      </c>
      <c r="L25" s="9">
        <v>1.0001396385907659</v>
      </c>
      <c r="M25" s="9">
        <v>1.0624107743185329</v>
      </c>
      <c r="N25" s="9">
        <v>1</v>
      </c>
      <c r="O25" s="8">
        <f t="shared" si="0"/>
        <v>-1.3963859076593366E-4</v>
      </c>
    </row>
    <row r="26" spans="1:15" x14ac:dyDescent="0.25">
      <c r="A26" s="2" t="s">
        <v>42</v>
      </c>
      <c r="B26" s="2" t="s">
        <v>22</v>
      </c>
      <c r="C26" s="2" t="s">
        <v>42</v>
      </c>
      <c r="D26" s="2" t="s">
        <v>48</v>
      </c>
      <c r="E26" s="2"/>
      <c r="F26" s="3">
        <v>291094.31946072693</v>
      </c>
      <c r="G26" s="3">
        <v>5118</v>
      </c>
      <c r="H26" s="4">
        <v>1.3671911064464779</v>
      </c>
      <c r="I26" s="4">
        <v>0.93230195571934815</v>
      </c>
      <c r="J26" s="5">
        <v>1.230642451941911</v>
      </c>
      <c r="K26" s="5">
        <v>1.1109572112428741</v>
      </c>
      <c r="L26" s="5">
        <v>1.466468130908914</v>
      </c>
      <c r="M26" s="5">
        <v>1.320004151436504</v>
      </c>
      <c r="N26" s="5">
        <v>1.3200041514365</v>
      </c>
      <c r="O26" s="4">
        <f t="shared" si="0"/>
        <v>-0.14646397947241407</v>
      </c>
    </row>
    <row r="27" spans="1:15" x14ac:dyDescent="0.25">
      <c r="A27" s="6" t="s">
        <v>42</v>
      </c>
      <c r="B27" s="6" t="s">
        <v>22</v>
      </c>
      <c r="C27" s="6" t="s">
        <v>42</v>
      </c>
      <c r="D27" s="6" t="s">
        <v>49</v>
      </c>
      <c r="E27" s="6"/>
      <c r="F27" s="7">
        <v>291094.31946072693</v>
      </c>
      <c r="G27" s="7">
        <v>5118</v>
      </c>
      <c r="H27" s="8">
        <v>0.26847605780621231</v>
      </c>
      <c r="I27" s="8">
        <v>0.16400237028543591</v>
      </c>
      <c r="J27" s="9">
        <v>0.76716320090286561</v>
      </c>
      <c r="K27" s="9">
        <v>0.34995950990642649</v>
      </c>
      <c r="L27" s="9">
        <v>1.6370254731010681</v>
      </c>
      <c r="M27" s="9">
        <v>4.6777567883175477</v>
      </c>
      <c r="N27" s="9">
        <v>1.6370254731010681</v>
      </c>
      <c r="O27" s="8">
        <f t="shared" si="0"/>
        <v>0</v>
      </c>
    </row>
    <row r="28" spans="1:15" x14ac:dyDescent="0.25">
      <c r="A28" s="2" t="s">
        <v>50</v>
      </c>
      <c r="B28" s="2" t="s">
        <v>22</v>
      </c>
      <c r="C28" s="2" t="s">
        <v>50</v>
      </c>
      <c r="D28" s="2" t="s">
        <v>51</v>
      </c>
      <c r="E28" s="2"/>
      <c r="F28" s="3">
        <v>258794.42626480089</v>
      </c>
      <c r="G28" s="3">
        <v>3716</v>
      </c>
      <c r="H28" s="4">
        <v>5.793440409932324</v>
      </c>
      <c r="I28" s="4">
        <v>5.7933789973742229</v>
      </c>
      <c r="J28" s="5">
        <v>8.6495205388264154</v>
      </c>
      <c r="K28" s="5">
        <v>0.66979902341712805</v>
      </c>
      <c r="L28" s="5">
        <v>1.00001060047308</v>
      </c>
      <c r="M28" s="5">
        <v>1.493000983147607</v>
      </c>
      <c r="N28" s="5">
        <v>1.00001060047308</v>
      </c>
      <c r="O28" s="4">
        <f t="shared" si="0"/>
        <v>0</v>
      </c>
    </row>
    <row r="29" spans="1:15" x14ac:dyDescent="0.25">
      <c r="A29" s="6" t="s">
        <v>50</v>
      </c>
      <c r="B29" s="6" t="s">
        <v>22</v>
      </c>
      <c r="C29" s="6" t="s">
        <v>50</v>
      </c>
      <c r="D29" s="6" t="s">
        <v>53</v>
      </c>
      <c r="E29" s="6"/>
      <c r="F29" s="7">
        <v>258794.42626480089</v>
      </c>
      <c r="G29" s="7">
        <v>3716</v>
      </c>
      <c r="H29" s="8">
        <v>0.90218188753677275</v>
      </c>
      <c r="I29" s="8">
        <v>1.255062020166456</v>
      </c>
      <c r="J29" s="9">
        <v>1.0247354280006491</v>
      </c>
      <c r="K29" s="9">
        <v>0.88040470045718089</v>
      </c>
      <c r="L29" s="9">
        <v>0.71883450621597023</v>
      </c>
      <c r="M29" s="9">
        <v>0.81648190410920141</v>
      </c>
      <c r="N29" s="9">
        <v>0.71883450621597023</v>
      </c>
      <c r="O29" s="8">
        <f t="shared" si="0"/>
        <v>0</v>
      </c>
    </row>
    <row r="30" spans="1:15" x14ac:dyDescent="0.25">
      <c r="A30" s="2" t="s">
        <v>50</v>
      </c>
      <c r="B30" s="2" t="s">
        <v>22</v>
      </c>
      <c r="C30" s="2" t="s">
        <v>50</v>
      </c>
      <c r="D30" s="2" t="s">
        <v>54</v>
      </c>
      <c r="E30" s="2"/>
      <c r="F30" s="3">
        <v>258794.42626480089</v>
      </c>
      <c r="G30" s="3">
        <v>3716</v>
      </c>
      <c r="H30" s="4">
        <v>3.664022607506833</v>
      </c>
      <c r="I30" s="4">
        <v>3.6639118684926242</v>
      </c>
      <c r="J30" s="5">
        <v>1.969674502193637</v>
      </c>
      <c r="K30" s="5">
        <v>1.8602173117569389</v>
      </c>
      <c r="L30" s="5">
        <v>1.000030224257074</v>
      </c>
      <c r="M30" s="5">
        <v>0.53758784951450911</v>
      </c>
      <c r="N30" s="5">
        <v>1.000030224257074</v>
      </c>
      <c r="O30" s="4">
        <f t="shared" si="0"/>
        <v>0</v>
      </c>
    </row>
    <row r="31" spans="1:15" x14ac:dyDescent="0.25">
      <c r="A31" s="6" t="s">
        <v>55</v>
      </c>
      <c r="B31" s="6" t="s">
        <v>22</v>
      </c>
      <c r="C31" s="6" t="s">
        <v>55</v>
      </c>
      <c r="D31" s="6" t="s">
        <v>56</v>
      </c>
      <c r="E31" s="6"/>
      <c r="F31" s="7">
        <v>183447.81627296589</v>
      </c>
      <c r="G31" s="7">
        <v>762</v>
      </c>
      <c r="H31" s="8">
        <v>7.7660267821655866</v>
      </c>
      <c r="I31" s="8">
        <v>7.7660267821655866</v>
      </c>
      <c r="J31" s="9">
        <v>5.6688456390188291</v>
      </c>
      <c r="K31" s="9">
        <v>1.3699485356792569</v>
      </c>
      <c r="L31" s="9">
        <v>1</v>
      </c>
      <c r="M31" s="9">
        <v>0.72995442818162026</v>
      </c>
      <c r="N31" s="9">
        <v>0.72995442818162026</v>
      </c>
      <c r="O31" s="8">
        <f t="shared" si="0"/>
        <v>-0.27004557181837974</v>
      </c>
    </row>
  </sheetData>
  <autoFilter ref="A2:O31" xr:uid="{00000000-0009-0000-0000-000001000000}"/>
  <mergeCells count="1">
    <mergeCell ref="A1:O1"/>
  </mergeCells>
  <conditionalFormatting sqref="G5:G31 G3">
    <cfRule type="colorScale" priority="5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5:K31 K3">
    <cfRule type="colorScale" priority="6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5:O31 O3">
    <cfRule type="colorScale" priority="4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conditionalFormatting sqref="G4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4">
    <cfRule type="colorScale" priority="3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4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zoomScale="115" zoomScaleNormal="115" workbookViewId="0">
      <pane ySplit="2" topLeftCell="A3" activePane="bottomLeft" state="frozen"/>
      <selection pane="bottomLeft" sqref="A1:O27"/>
    </sheetView>
  </sheetViews>
  <sheetFormatPr defaultRowHeight="15" x14ac:dyDescent="0.25"/>
  <cols>
    <col min="1" max="1" width="10" customWidth="1"/>
    <col min="2" max="2" width="13" customWidth="1"/>
    <col min="3" max="3" width="10" customWidth="1"/>
    <col min="4" max="4" width="13" customWidth="1"/>
    <col min="5" max="5" width="10" customWidth="1"/>
    <col min="6" max="6" width="19" customWidth="1"/>
    <col min="7" max="7" width="10" customWidth="1"/>
    <col min="8" max="8" width="21" customWidth="1"/>
    <col min="9" max="14" width="20" customWidth="1"/>
    <col min="15" max="15" width="22" customWidth="1"/>
  </cols>
  <sheetData>
    <row r="1" spans="1:15" ht="17.25" x14ac:dyDescent="0.25">
      <c r="A1" s="23" t="s">
        <v>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17</v>
      </c>
      <c r="C3" s="2" t="s">
        <v>59</v>
      </c>
      <c r="D3" s="2"/>
      <c r="E3" s="2" t="s">
        <v>19</v>
      </c>
      <c r="F3" s="3">
        <v>1019398.2872173589</v>
      </c>
      <c r="G3" s="3">
        <v>35071</v>
      </c>
      <c r="H3" s="4">
        <v>3.0904100551061831</v>
      </c>
      <c r="I3" s="4">
        <v>3.090410055106144</v>
      </c>
      <c r="J3" s="5">
        <v>3.0581180654203748</v>
      </c>
      <c r="K3" s="5">
        <v>1.010559431975812</v>
      </c>
      <c r="L3" s="5">
        <v>1.0000000000000131</v>
      </c>
      <c r="M3" s="5">
        <v>0.9895509045369516</v>
      </c>
      <c r="N3" s="5">
        <v>1</v>
      </c>
      <c r="O3" s="4">
        <f t="shared" ref="O3:O27" si="0">N3-L3</f>
        <v>-1.3100631690576847E-14</v>
      </c>
    </row>
    <row r="4" spans="1:15" x14ac:dyDescent="0.25">
      <c r="A4" s="6" t="s">
        <v>20</v>
      </c>
      <c r="B4" s="6" t="s">
        <v>17</v>
      </c>
      <c r="C4" s="6" t="s">
        <v>59</v>
      </c>
      <c r="D4" s="6"/>
      <c r="E4" s="6" t="s">
        <v>19</v>
      </c>
      <c r="F4" s="7">
        <v>1019398.2872173589</v>
      </c>
      <c r="G4" s="7">
        <v>35071</v>
      </c>
      <c r="H4" s="8">
        <v>0.30975801805057168</v>
      </c>
      <c r="I4" s="8">
        <v>0.40757633954022848</v>
      </c>
      <c r="J4" s="9">
        <v>0.2412792022889961</v>
      </c>
      <c r="K4" s="9">
        <v>1.2838156588380709</v>
      </c>
      <c r="L4" s="9">
        <v>0.75999999999999535</v>
      </c>
      <c r="M4" s="9">
        <v>0.59198530160306673</v>
      </c>
      <c r="N4" s="9">
        <v>0.75999999999999535</v>
      </c>
      <c r="O4" s="8">
        <f t="shared" si="0"/>
        <v>0</v>
      </c>
    </row>
    <row r="5" spans="1:15" x14ac:dyDescent="0.25">
      <c r="A5" s="2" t="s">
        <v>23</v>
      </c>
      <c r="B5" s="2" t="s">
        <v>17</v>
      </c>
      <c r="C5" s="2" t="s">
        <v>21</v>
      </c>
      <c r="D5" s="2"/>
      <c r="E5" s="2" t="s">
        <v>19</v>
      </c>
      <c r="F5" s="3">
        <v>1149271.2385321099</v>
      </c>
      <c r="G5" s="3">
        <v>109</v>
      </c>
      <c r="H5" s="4">
        <v>56.627714361176331</v>
      </c>
      <c r="I5" s="4">
        <v>56.627714361176331</v>
      </c>
      <c r="J5" s="5">
        <v>41.116278258522598</v>
      </c>
      <c r="K5" s="5">
        <v>1.377257785958254</v>
      </c>
      <c r="L5" s="5">
        <v>1</v>
      </c>
      <c r="M5" s="5">
        <v>0.72608048412972337</v>
      </c>
      <c r="N5" s="5">
        <v>1</v>
      </c>
      <c r="O5" s="4">
        <f t="shared" si="0"/>
        <v>0</v>
      </c>
    </row>
    <row r="6" spans="1:15" x14ac:dyDescent="0.25">
      <c r="A6" s="6" t="s">
        <v>21</v>
      </c>
      <c r="B6" s="6" t="s">
        <v>22</v>
      </c>
      <c r="C6" s="6" t="s">
        <v>21</v>
      </c>
      <c r="D6" s="6" t="s">
        <v>23</v>
      </c>
      <c r="E6" s="6"/>
      <c r="F6" s="7">
        <v>1149271.2385321099</v>
      </c>
      <c r="G6" s="7">
        <v>109</v>
      </c>
      <c r="H6" s="8">
        <v>56.627714361176331</v>
      </c>
      <c r="I6" s="8">
        <v>56.627714361176331</v>
      </c>
      <c r="J6" s="9">
        <v>41.116278258522598</v>
      </c>
      <c r="K6" s="9">
        <v>1.377257785958254</v>
      </c>
      <c r="L6" s="9">
        <v>1</v>
      </c>
      <c r="M6" s="9">
        <v>0.72608048412972337</v>
      </c>
      <c r="N6" s="9">
        <v>1</v>
      </c>
      <c r="O6" s="8">
        <f t="shared" si="0"/>
        <v>0</v>
      </c>
    </row>
    <row r="7" spans="1:15" x14ac:dyDescent="0.25">
      <c r="A7" s="2" t="s">
        <v>21</v>
      </c>
      <c r="B7" s="2" t="s">
        <v>22</v>
      </c>
      <c r="C7" s="2" t="s">
        <v>21</v>
      </c>
      <c r="D7" s="2" t="s">
        <v>24</v>
      </c>
      <c r="E7" s="2"/>
      <c r="F7" s="3">
        <v>1149271.2385321099</v>
      </c>
      <c r="G7" s="3">
        <v>109</v>
      </c>
      <c r="H7" s="4">
        <v>16.999275824344771</v>
      </c>
      <c r="I7" s="4">
        <v>16.999275824344771</v>
      </c>
      <c r="J7" s="5">
        <v>19.016465816745011</v>
      </c>
      <c r="K7" s="5">
        <v>0.8939240334224462</v>
      </c>
      <c r="L7" s="5">
        <v>1</v>
      </c>
      <c r="M7" s="5">
        <v>1.118663289733284</v>
      </c>
      <c r="N7" s="5">
        <v>1</v>
      </c>
      <c r="O7" s="4">
        <f t="shared" si="0"/>
        <v>0</v>
      </c>
    </row>
    <row r="8" spans="1:15" x14ac:dyDescent="0.25">
      <c r="A8" s="6" t="s">
        <v>21</v>
      </c>
      <c r="B8" s="6" t="s">
        <v>22</v>
      </c>
      <c r="C8" s="6" t="s">
        <v>21</v>
      </c>
      <c r="D8" s="6" t="s">
        <v>25</v>
      </c>
      <c r="E8" s="6"/>
      <c r="F8" s="7">
        <v>1149271.2385321099</v>
      </c>
      <c r="G8" s="7">
        <v>109</v>
      </c>
      <c r="H8" s="8">
        <v>1.1787976093728749</v>
      </c>
      <c r="I8" s="8">
        <v>1.1787976093728749</v>
      </c>
      <c r="J8" s="9">
        <v>2.2093674602348252</v>
      </c>
      <c r="K8" s="9">
        <v>0.53354529320694577</v>
      </c>
      <c r="L8" s="9">
        <v>1</v>
      </c>
      <c r="M8" s="9">
        <v>1.87425512460126</v>
      </c>
      <c r="N8" s="9">
        <v>1</v>
      </c>
      <c r="O8" s="8">
        <f t="shared" si="0"/>
        <v>0</v>
      </c>
    </row>
    <row r="9" spans="1:15" x14ac:dyDescent="0.25">
      <c r="A9" s="2" t="s">
        <v>26</v>
      </c>
      <c r="B9" s="2" t="s">
        <v>22</v>
      </c>
      <c r="C9" s="2" t="s">
        <v>26</v>
      </c>
      <c r="D9" s="2" t="s">
        <v>27</v>
      </c>
      <c r="E9" s="2"/>
      <c r="F9" s="3">
        <v>1281663.642857143</v>
      </c>
      <c r="G9" s="3">
        <v>42</v>
      </c>
      <c r="H9" s="4">
        <v>15.61766140059135</v>
      </c>
      <c r="I9" s="4">
        <v>15.61766140059135</v>
      </c>
      <c r="J9" s="5">
        <v>12.990732778330001</v>
      </c>
      <c r="K9" s="5">
        <v>1.20221558453141</v>
      </c>
      <c r="L9" s="5">
        <v>1</v>
      </c>
      <c r="M9" s="5">
        <v>0.83179756847834574</v>
      </c>
      <c r="N9" s="5">
        <v>1</v>
      </c>
      <c r="O9" s="4">
        <f t="shared" si="0"/>
        <v>0</v>
      </c>
    </row>
    <row r="10" spans="1:15" x14ac:dyDescent="0.25">
      <c r="A10" s="6" t="s">
        <v>26</v>
      </c>
      <c r="B10" s="6" t="s">
        <v>22</v>
      </c>
      <c r="C10" s="6" t="s">
        <v>26</v>
      </c>
      <c r="D10" s="6" t="s">
        <v>28</v>
      </c>
      <c r="E10" s="6"/>
      <c r="F10" s="7">
        <v>1281663.642857143</v>
      </c>
      <c r="G10" s="7">
        <v>42</v>
      </c>
      <c r="H10" s="8">
        <v>13.63976486741659</v>
      </c>
      <c r="I10" s="8">
        <v>13.63976486741659</v>
      </c>
      <c r="J10" s="9">
        <v>10.125535664302831</v>
      </c>
      <c r="K10" s="9">
        <v>1.3470660041723059</v>
      </c>
      <c r="L10" s="9">
        <v>1</v>
      </c>
      <c r="M10" s="9">
        <v>0.74235412140360713</v>
      </c>
      <c r="N10" s="9">
        <v>1</v>
      </c>
      <c r="O10" s="8">
        <f t="shared" si="0"/>
        <v>0</v>
      </c>
    </row>
    <row r="11" spans="1:15" x14ac:dyDescent="0.25">
      <c r="A11" s="2" t="s">
        <v>26</v>
      </c>
      <c r="B11" s="2" t="s">
        <v>22</v>
      </c>
      <c r="C11" s="2" t="s">
        <v>26</v>
      </c>
      <c r="D11" s="2" t="s">
        <v>29</v>
      </c>
      <c r="E11" s="2"/>
      <c r="F11" s="3">
        <v>1281663.642857143</v>
      </c>
      <c r="G11" s="3">
        <v>42</v>
      </c>
      <c r="H11" s="4">
        <v>39.027848479205012</v>
      </c>
      <c r="I11" s="4">
        <v>39.027848479205012</v>
      </c>
      <c r="J11" s="5">
        <v>43.869994469163338</v>
      </c>
      <c r="K11" s="5">
        <v>0.88962510598532396</v>
      </c>
      <c r="L11" s="5">
        <v>1</v>
      </c>
      <c r="M11" s="5">
        <v>1.1240689963357411</v>
      </c>
      <c r="N11" s="5">
        <v>1</v>
      </c>
      <c r="O11" s="4">
        <f t="shared" si="0"/>
        <v>0</v>
      </c>
    </row>
    <row r="12" spans="1:15" x14ac:dyDescent="0.25">
      <c r="A12" s="6" t="s">
        <v>26</v>
      </c>
      <c r="B12" s="6" t="s">
        <v>22</v>
      </c>
      <c r="C12" s="6" t="s">
        <v>26</v>
      </c>
      <c r="D12" s="6" t="s">
        <v>30</v>
      </c>
      <c r="E12" s="6"/>
      <c r="F12" s="7">
        <v>1281663.642857143</v>
      </c>
      <c r="G12" s="7">
        <v>42</v>
      </c>
      <c r="H12" s="8">
        <v>1.1676457853559139</v>
      </c>
      <c r="I12" s="8">
        <v>1.1676457853559139</v>
      </c>
      <c r="J12" s="9">
        <v>2.1870470735761489</v>
      </c>
      <c r="K12" s="9">
        <v>0.5338914737882795</v>
      </c>
      <c r="L12" s="9">
        <v>1</v>
      </c>
      <c r="M12" s="9">
        <v>1.8730398387979521</v>
      </c>
      <c r="N12" s="9">
        <v>1</v>
      </c>
      <c r="O12" s="8">
        <f t="shared" si="0"/>
        <v>0</v>
      </c>
    </row>
    <row r="13" spans="1:15" x14ac:dyDescent="0.25">
      <c r="A13" s="2" t="s">
        <v>26</v>
      </c>
      <c r="B13" s="2" t="s">
        <v>22</v>
      </c>
      <c r="C13" s="2" t="s">
        <v>26</v>
      </c>
      <c r="D13" s="2" t="s">
        <v>31</v>
      </c>
      <c r="E13" s="2"/>
      <c r="F13" s="3">
        <v>1281663.642857143</v>
      </c>
      <c r="G13" s="3">
        <v>42</v>
      </c>
      <c r="H13" s="4"/>
      <c r="I13" s="4"/>
      <c r="J13" s="5"/>
      <c r="K13" s="5"/>
      <c r="L13" s="5"/>
      <c r="M13" s="5"/>
      <c r="N13" s="5"/>
      <c r="O13" s="4">
        <f t="shared" si="0"/>
        <v>0</v>
      </c>
    </row>
    <row r="14" spans="1:15" x14ac:dyDescent="0.25">
      <c r="A14" s="6" t="s">
        <v>32</v>
      </c>
      <c r="B14" s="6" t="s">
        <v>22</v>
      </c>
      <c r="C14" s="6" t="s">
        <v>32</v>
      </c>
      <c r="D14" s="6" t="s">
        <v>33</v>
      </c>
      <c r="E14" s="6"/>
      <c r="F14" s="7">
        <v>1209749.8985507251</v>
      </c>
      <c r="G14" s="7">
        <v>69</v>
      </c>
      <c r="H14" s="8">
        <v>6.3098699775139142</v>
      </c>
      <c r="I14" s="8">
        <v>6.4178250320935479</v>
      </c>
      <c r="J14" s="9">
        <v>5.4061312369030494</v>
      </c>
      <c r="K14" s="9">
        <v>1.167169219726264</v>
      </c>
      <c r="L14" s="9">
        <v>0.98317887227529821</v>
      </c>
      <c r="M14" s="9">
        <v>0.84236189205356449</v>
      </c>
      <c r="N14" s="9">
        <v>0.98317887227529821</v>
      </c>
      <c r="O14" s="8">
        <f t="shared" si="0"/>
        <v>0</v>
      </c>
    </row>
    <row r="15" spans="1:15" x14ac:dyDescent="0.25">
      <c r="A15" s="2" t="s">
        <v>32</v>
      </c>
      <c r="B15" s="2" t="s">
        <v>22</v>
      </c>
      <c r="C15" s="2" t="s">
        <v>32</v>
      </c>
      <c r="D15" s="2" t="s">
        <v>34</v>
      </c>
      <c r="E15" s="2"/>
      <c r="F15" s="3">
        <v>1209749.8985507251</v>
      </c>
      <c r="G15" s="3">
        <v>69</v>
      </c>
      <c r="H15" s="4">
        <v>1.105571129953371</v>
      </c>
      <c r="I15" s="4">
        <v>1.146386750623489</v>
      </c>
      <c r="J15" s="5">
        <v>0.57755257617741185</v>
      </c>
      <c r="K15" s="5">
        <v>1.914234609203376</v>
      </c>
      <c r="L15" s="5">
        <v>0.96439629065154497</v>
      </c>
      <c r="M15" s="5">
        <v>0.50380255691484244</v>
      </c>
      <c r="N15" s="5">
        <v>0.96439629065154497</v>
      </c>
      <c r="O15" s="4">
        <f t="shared" si="0"/>
        <v>0</v>
      </c>
    </row>
    <row r="16" spans="1:15" x14ac:dyDescent="0.25">
      <c r="A16" s="6" t="s">
        <v>32</v>
      </c>
      <c r="B16" s="6" t="s">
        <v>22</v>
      </c>
      <c r="C16" s="6" t="s">
        <v>32</v>
      </c>
      <c r="D16" s="6" t="s">
        <v>35</v>
      </c>
      <c r="E16" s="6"/>
      <c r="F16" s="7">
        <v>1209749.8985507251</v>
      </c>
      <c r="G16" s="7">
        <v>69</v>
      </c>
      <c r="H16" s="8">
        <v>2.2299908671022761</v>
      </c>
      <c r="I16" s="8">
        <v>2.3143103865914458</v>
      </c>
      <c r="J16" s="9">
        <v>2.4562495406683862</v>
      </c>
      <c r="K16" s="9">
        <v>0.90788449226354195</v>
      </c>
      <c r="L16" s="9">
        <v>0.96356602814484305</v>
      </c>
      <c r="M16" s="9">
        <v>1.061331079400283</v>
      </c>
      <c r="N16" s="9">
        <v>0.96356602814484305</v>
      </c>
      <c r="O16" s="8">
        <f t="shared" si="0"/>
        <v>0</v>
      </c>
    </row>
    <row r="17" spans="1:15" x14ac:dyDescent="0.25">
      <c r="A17" s="2" t="s">
        <v>32</v>
      </c>
      <c r="B17" s="2" t="s">
        <v>22</v>
      </c>
      <c r="C17" s="2" t="s">
        <v>32</v>
      </c>
      <c r="D17" s="2" t="s">
        <v>36</v>
      </c>
      <c r="E17" s="2"/>
      <c r="F17" s="3">
        <v>1209749.8985507251</v>
      </c>
      <c r="G17" s="3">
        <v>69</v>
      </c>
      <c r="H17" s="4">
        <v>2.304572733282257</v>
      </c>
      <c r="I17" s="4">
        <v>2.3045235517117342</v>
      </c>
      <c r="J17" s="5">
        <v>2.636577573864229</v>
      </c>
      <c r="K17" s="5">
        <v>0.87407734789484026</v>
      </c>
      <c r="L17" s="5">
        <v>1.0000213413182459</v>
      </c>
      <c r="M17" s="5">
        <v>1.1440879273747731</v>
      </c>
      <c r="N17" s="5">
        <v>1.0000213413182459</v>
      </c>
      <c r="O17" s="4">
        <f t="shared" si="0"/>
        <v>0</v>
      </c>
    </row>
    <row r="18" spans="1:15" x14ac:dyDescent="0.25">
      <c r="A18" s="6" t="s">
        <v>32</v>
      </c>
      <c r="B18" s="6" t="s">
        <v>22</v>
      </c>
      <c r="C18" s="6" t="s">
        <v>32</v>
      </c>
      <c r="D18" s="6" t="s">
        <v>37</v>
      </c>
      <c r="E18" s="6"/>
      <c r="F18" s="7">
        <v>1209749.8985507251</v>
      </c>
      <c r="G18" s="7">
        <v>69</v>
      </c>
      <c r="H18" s="8">
        <v>64.283639038762843</v>
      </c>
      <c r="I18" s="8">
        <v>63.745585399917204</v>
      </c>
      <c r="J18" s="9">
        <v>58.441472158932903</v>
      </c>
      <c r="K18" s="9">
        <v>1.099966114199554</v>
      </c>
      <c r="L18" s="9">
        <v>1.0084406415827869</v>
      </c>
      <c r="M18" s="9">
        <v>0.91679246166290307</v>
      </c>
      <c r="N18" s="9">
        <v>1.0084406415827869</v>
      </c>
      <c r="O18" s="8">
        <f t="shared" si="0"/>
        <v>0</v>
      </c>
    </row>
    <row r="19" spans="1:15" x14ac:dyDescent="0.25">
      <c r="A19" s="2" t="s">
        <v>32</v>
      </c>
      <c r="B19" s="2" t="s">
        <v>22</v>
      </c>
      <c r="C19" s="2" t="s">
        <v>32</v>
      </c>
      <c r="D19" s="2" t="s">
        <v>38</v>
      </c>
      <c r="E19" s="2"/>
      <c r="F19" s="3">
        <v>1209749.8985507251</v>
      </c>
      <c r="G19" s="3">
        <v>69</v>
      </c>
      <c r="H19" s="4">
        <v>5.8179529807236516</v>
      </c>
      <c r="I19" s="4">
        <v>5.9894499455227592</v>
      </c>
      <c r="J19" s="5">
        <v>7.2164778112410906</v>
      </c>
      <c r="K19" s="5">
        <v>0.80620395889820917</v>
      </c>
      <c r="L19" s="5">
        <v>0.97136682560853438</v>
      </c>
      <c r="M19" s="5">
        <v>1.2048648668707149</v>
      </c>
      <c r="N19" s="5">
        <v>0.97136682560853438</v>
      </c>
      <c r="O19" s="4">
        <f t="shared" si="0"/>
        <v>0</v>
      </c>
    </row>
    <row r="20" spans="1:15" x14ac:dyDescent="0.25">
      <c r="A20" s="6" t="s">
        <v>32</v>
      </c>
      <c r="B20" s="6" t="s">
        <v>22</v>
      </c>
      <c r="C20" s="6" t="s">
        <v>32</v>
      </c>
      <c r="D20" s="6" t="s">
        <v>40</v>
      </c>
      <c r="E20" s="6"/>
      <c r="F20" s="7">
        <v>1209749.8985507251</v>
      </c>
      <c r="G20" s="7">
        <v>69</v>
      </c>
      <c r="H20" s="8">
        <v>1.6191428936586221</v>
      </c>
      <c r="I20" s="8">
        <v>1.600605511316461</v>
      </c>
      <c r="J20" s="9">
        <v>2.161067364863797</v>
      </c>
      <c r="K20" s="9">
        <v>0.74923295774292986</v>
      </c>
      <c r="L20" s="9">
        <v>1.0115814810152159</v>
      </c>
      <c r="M20" s="9">
        <v>1.3501561437748451</v>
      </c>
      <c r="N20" s="9">
        <v>1.0115814810152159</v>
      </c>
      <c r="O20" s="8">
        <f t="shared" si="0"/>
        <v>0</v>
      </c>
    </row>
    <row r="21" spans="1:15" x14ac:dyDescent="0.25">
      <c r="A21" s="2" t="s">
        <v>32</v>
      </c>
      <c r="B21" s="2" t="s">
        <v>22</v>
      </c>
      <c r="C21" s="2" t="s">
        <v>32</v>
      </c>
      <c r="D21" s="2" t="s">
        <v>41</v>
      </c>
      <c r="E21" s="2"/>
      <c r="F21" s="3">
        <v>1209749.8985507251</v>
      </c>
      <c r="G21" s="3">
        <v>69</v>
      </c>
      <c r="H21" s="4"/>
      <c r="I21" s="4"/>
      <c r="J21" s="5"/>
      <c r="K21" s="5"/>
      <c r="L21" s="5"/>
      <c r="M21" s="5"/>
      <c r="N21" s="5"/>
      <c r="O21" s="4">
        <f t="shared" si="0"/>
        <v>0</v>
      </c>
    </row>
    <row r="22" spans="1:15" x14ac:dyDescent="0.25">
      <c r="A22" s="6" t="s">
        <v>42</v>
      </c>
      <c r="B22" s="6" t="s">
        <v>22</v>
      </c>
      <c r="C22" s="6" t="s">
        <v>42</v>
      </c>
      <c r="D22" s="6" t="s">
        <v>43</v>
      </c>
      <c r="E22" s="6"/>
      <c r="F22" s="7">
        <v>1412733.84</v>
      </c>
      <c r="G22" s="7">
        <v>25</v>
      </c>
      <c r="H22" s="8">
        <v>3.9933221503203651</v>
      </c>
      <c r="I22" s="8">
        <v>4.0612025440822519</v>
      </c>
      <c r="J22" s="9">
        <v>2.8279739424379771</v>
      </c>
      <c r="K22" s="9">
        <v>1.412078835096249</v>
      </c>
      <c r="L22" s="9">
        <v>0.98328564186959877</v>
      </c>
      <c r="M22" s="9">
        <v>0.69633905517929306</v>
      </c>
      <c r="N22" s="9">
        <v>0.98328564186959877</v>
      </c>
      <c r="O22" s="8">
        <f t="shared" si="0"/>
        <v>0</v>
      </c>
    </row>
    <row r="23" spans="1:15" x14ac:dyDescent="0.25">
      <c r="A23" s="2" t="s">
        <v>42</v>
      </c>
      <c r="B23" s="2" t="s">
        <v>22</v>
      </c>
      <c r="C23" s="2" t="s">
        <v>42</v>
      </c>
      <c r="D23" s="2" t="s">
        <v>44</v>
      </c>
      <c r="E23" s="2"/>
      <c r="F23" s="3">
        <v>1412733.84</v>
      </c>
      <c r="G23" s="3">
        <v>25</v>
      </c>
      <c r="H23" s="4"/>
      <c r="I23" s="4"/>
      <c r="J23" s="5"/>
      <c r="K23" s="5"/>
      <c r="L23" s="5"/>
      <c r="M23" s="5"/>
      <c r="N23" s="5"/>
      <c r="O23" s="4">
        <f t="shared" si="0"/>
        <v>0</v>
      </c>
    </row>
    <row r="24" spans="1:15" x14ac:dyDescent="0.25">
      <c r="A24" s="6" t="s">
        <v>42</v>
      </c>
      <c r="B24" s="6" t="s">
        <v>22</v>
      </c>
      <c r="C24" s="6" t="s">
        <v>42</v>
      </c>
      <c r="D24" s="6" t="s">
        <v>45</v>
      </c>
      <c r="E24" s="6"/>
      <c r="F24" s="7">
        <v>1412733.84</v>
      </c>
      <c r="G24" s="7">
        <v>25</v>
      </c>
      <c r="H24" s="8"/>
      <c r="I24" s="8"/>
      <c r="J24" s="9"/>
      <c r="K24" s="9"/>
      <c r="L24" s="9"/>
      <c r="M24" s="9"/>
      <c r="N24" s="9"/>
      <c r="O24" s="8">
        <f t="shared" si="0"/>
        <v>0</v>
      </c>
    </row>
    <row r="25" spans="1:15" x14ac:dyDescent="0.25">
      <c r="A25" s="2" t="s">
        <v>42</v>
      </c>
      <c r="B25" s="2" t="s">
        <v>22</v>
      </c>
      <c r="C25" s="2" t="s">
        <v>42</v>
      </c>
      <c r="D25" s="2" t="s">
        <v>46</v>
      </c>
      <c r="E25" s="2"/>
      <c r="F25" s="3">
        <v>1412733.84</v>
      </c>
      <c r="G25" s="3">
        <v>25</v>
      </c>
      <c r="H25" s="4">
        <v>93.447382827175204</v>
      </c>
      <c r="I25" s="4">
        <v>88.125919292034041</v>
      </c>
      <c r="J25" s="5">
        <v>86.764323452686895</v>
      </c>
      <c r="K25" s="5">
        <v>1.0770254305980109</v>
      </c>
      <c r="L25" s="5">
        <v>1.0603847719024271</v>
      </c>
      <c r="M25" s="5">
        <v>0.98454942824669944</v>
      </c>
      <c r="N25" s="5">
        <v>1.0603847719024271</v>
      </c>
      <c r="O25" s="4">
        <f t="shared" si="0"/>
        <v>0</v>
      </c>
    </row>
    <row r="26" spans="1:15" x14ac:dyDescent="0.25">
      <c r="A26" s="6" t="s">
        <v>42</v>
      </c>
      <c r="B26" s="6" t="s">
        <v>22</v>
      </c>
      <c r="C26" s="6" t="s">
        <v>42</v>
      </c>
      <c r="D26" s="6" t="s">
        <v>48</v>
      </c>
      <c r="E26" s="6"/>
      <c r="F26" s="7">
        <v>1412733.84</v>
      </c>
      <c r="G26" s="7">
        <v>25</v>
      </c>
      <c r="H26" s="8">
        <v>1.0308817390736731</v>
      </c>
      <c r="I26" s="8">
        <v>1.0285682066350259</v>
      </c>
      <c r="J26" s="9">
        <v>0.68601408014526677</v>
      </c>
      <c r="K26" s="9">
        <v>1.502712216716279</v>
      </c>
      <c r="L26" s="9">
        <v>1.002249274694399</v>
      </c>
      <c r="M26" s="9">
        <v>0.66696022268622401</v>
      </c>
      <c r="N26" s="9">
        <v>1.002249274694399</v>
      </c>
      <c r="O26" s="8">
        <f t="shared" si="0"/>
        <v>0</v>
      </c>
    </row>
    <row r="27" spans="1:15" x14ac:dyDescent="0.25">
      <c r="A27" s="2" t="s">
        <v>42</v>
      </c>
      <c r="B27" s="2" t="s">
        <v>22</v>
      </c>
      <c r="C27" s="2" t="s">
        <v>42</v>
      </c>
      <c r="D27" s="2" t="s">
        <v>49</v>
      </c>
      <c r="E27" s="2"/>
      <c r="F27" s="3">
        <v>1412733.84</v>
      </c>
      <c r="G27" s="3">
        <v>25</v>
      </c>
      <c r="H27" s="4"/>
      <c r="I27" s="4"/>
      <c r="J27" s="5"/>
      <c r="K27" s="5"/>
      <c r="L27" s="5"/>
      <c r="M27" s="5"/>
      <c r="N27" s="5"/>
      <c r="O27" s="4">
        <f t="shared" si="0"/>
        <v>0</v>
      </c>
    </row>
  </sheetData>
  <autoFilter ref="A2:O27" xr:uid="{00000000-0009-0000-0000-000002000000}"/>
  <mergeCells count="1">
    <mergeCell ref="A1:O1"/>
  </mergeCells>
  <conditionalFormatting sqref="G3:G27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3:K27">
    <cfRule type="colorScale" priority="3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3:O27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5"/>
  <sheetViews>
    <sheetView zoomScale="130" zoomScaleNormal="130" workbookViewId="0">
      <pane ySplit="2" topLeftCell="A9" activePane="bottomLeft" state="frozen"/>
      <selection pane="bottomLeft" activeCell="T33" sqref="T33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11" bestFit="1" customWidth="1"/>
    <col min="4" max="4" width="14.7109375" bestFit="1" customWidth="1"/>
    <col min="5" max="5" width="23.7109375" bestFit="1" customWidth="1"/>
    <col min="6" max="6" width="12" bestFit="1" customWidth="1"/>
    <col min="7" max="7" width="14.42578125" bestFit="1" customWidth="1"/>
    <col min="8" max="8" width="18.28515625" bestFit="1" customWidth="1"/>
    <col min="9" max="9" width="20.7109375" bestFit="1" customWidth="1"/>
    <col min="10" max="10" width="11.140625" bestFit="1" customWidth="1"/>
    <col min="11" max="11" width="22.85546875" bestFit="1" customWidth="1"/>
    <col min="12" max="12" width="16.7109375" bestFit="1" customWidth="1"/>
    <col min="13" max="13" width="16.85546875" bestFit="1" customWidth="1"/>
    <col min="14" max="14" width="18.5703125" bestFit="1" customWidth="1"/>
    <col min="15" max="15" width="19.28515625" bestFit="1" customWidth="1"/>
  </cols>
  <sheetData>
    <row r="1" spans="1:15" ht="17.25" x14ac:dyDescent="0.25">
      <c r="A1" s="23" t="s">
        <v>61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17</v>
      </c>
      <c r="C3" s="2" t="s">
        <v>59</v>
      </c>
      <c r="D3" s="2"/>
      <c r="E3" s="2" t="s">
        <v>19</v>
      </c>
      <c r="F3" s="3">
        <v>408789.07597484282</v>
      </c>
      <c r="G3" s="3">
        <v>143100</v>
      </c>
      <c r="H3" s="4">
        <v>1.506144138948283</v>
      </c>
      <c r="I3" s="4">
        <v>1.2515688766459629</v>
      </c>
      <c r="J3" s="5">
        <v>1.978612767031358</v>
      </c>
      <c r="K3" s="5">
        <v>0.76121218059663531</v>
      </c>
      <c r="L3" s="5">
        <v>1.2034049160638669</v>
      </c>
      <c r="M3" s="5">
        <v>1.5809060164022111</v>
      </c>
      <c r="N3" s="5">
        <v>1.5809060164022111</v>
      </c>
      <c r="O3" s="4">
        <f t="shared" ref="O3:O45" si="0">N3-L3</f>
        <v>0.37750110033834416</v>
      </c>
    </row>
    <row r="4" spans="1:15" x14ac:dyDescent="0.25">
      <c r="A4" s="6" t="s">
        <v>20</v>
      </c>
      <c r="B4" s="6" t="s">
        <v>17</v>
      </c>
      <c r="C4" s="6" t="s">
        <v>59</v>
      </c>
      <c r="D4" s="6"/>
      <c r="E4" s="6" t="s">
        <v>19</v>
      </c>
      <c r="F4" s="7">
        <v>408789.07597484282</v>
      </c>
      <c r="G4" s="7">
        <v>143100</v>
      </c>
      <c r="H4" s="8">
        <v>1.334644238236097</v>
      </c>
      <c r="I4" s="8">
        <v>1.0687645812171129</v>
      </c>
      <c r="J4" s="9">
        <v>1.2850023989749491</v>
      </c>
      <c r="K4" s="9">
        <v>1.0386317094043931</v>
      </c>
      <c r="L4" s="9">
        <v>1.248772893199922</v>
      </c>
      <c r="M4" s="9">
        <v>1.2023250223277271</v>
      </c>
      <c r="N4" s="9">
        <v>1.248772893199922</v>
      </c>
      <c r="O4" s="8">
        <f t="shared" si="0"/>
        <v>0</v>
      </c>
    </row>
    <row r="5" spans="1:15" x14ac:dyDescent="0.25">
      <c r="A5" s="2" t="s">
        <v>23</v>
      </c>
      <c r="B5" s="2" t="s">
        <v>17</v>
      </c>
      <c r="C5" s="2" t="s">
        <v>21</v>
      </c>
      <c r="D5" s="2"/>
      <c r="E5" s="2" t="s">
        <v>19</v>
      </c>
      <c r="F5" s="3">
        <v>426533.71064467769</v>
      </c>
      <c r="G5" s="3">
        <v>3335</v>
      </c>
      <c r="H5" s="4">
        <v>32.759875221762179</v>
      </c>
      <c r="I5" s="4">
        <v>38.540890217639891</v>
      </c>
      <c r="J5" s="5">
        <v>33.542992859551518</v>
      </c>
      <c r="K5" s="5">
        <v>0.97665331650433385</v>
      </c>
      <c r="L5" s="5">
        <v>0.85000307561054256</v>
      </c>
      <c r="M5" s="5">
        <v>0.87032221285327571</v>
      </c>
      <c r="N5" s="5">
        <v>0.85000307561054256</v>
      </c>
      <c r="O5" s="4">
        <f t="shared" si="0"/>
        <v>0</v>
      </c>
    </row>
    <row r="6" spans="1:15" x14ac:dyDescent="0.25">
      <c r="A6" s="6" t="s">
        <v>21</v>
      </c>
      <c r="B6" s="6" t="s">
        <v>22</v>
      </c>
      <c r="C6" s="6" t="s">
        <v>21</v>
      </c>
      <c r="D6" s="6" t="s">
        <v>23</v>
      </c>
      <c r="E6" s="6"/>
      <c r="F6" s="7">
        <v>426533.71064467769</v>
      </c>
      <c r="G6" s="7">
        <v>3335</v>
      </c>
      <c r="H6" s="8">
        <v>32.759875221762179</v>
      </c>
      <c r="I6" s="8">
        <v>38.540890217639891</v>
      </c>
      <c r="J6" s="9">
        <v>33.542992859551518</v>
      </c>
      <c r="K6" s="9">
        <v>0.97665331650433385</v>
      </c>
      <c r="L6" s="9">
        <v>0.85000307561054256</v>
      </c>
      <c r="M6" s="9">
        <v>0.87032221285327571</v>
      </c>
      <c r="N6" s="9">
        <v>0.85000307561054256</v>
      </c>
      <c r="O6" s="8">
        <f t="shared" si="0"/>
        <v>0</v>
      </c>
    </row>
    <row r="7" spans="1:15" x14ac:dyDescent="0.25">
      <c r="A7" s="2" t="s">
        <v>21</v>
      </c>
      <c r="B7" s="2" t="s">
        <v>22</v>
      </c>
      <c r="C7" s="2" t="s">
        <v>21</v>
      </c>
      <c r="D7" s="2" t="s">
        <v>24</v>
      </c>
      <c r="E7" s="2"/>
      <c r="F7" s="3">
        <v>426533.71064467769</v>
      </c>
      <c r="G7" s="3">
        <v>3335</v>
      </c>
      <c r="H7" s="4">
        <v>28.396832840545489</v>
      </c>
      <c r="I7" s="4">
        <v>24.90949382153962</v>
      </c>
      <c r="J7" s="5">
        <v>24.84104610366801</v>
      </c>
      <c r="K7" s="5">
        <v>1.1431415859878959</v>
      </c>
      <c r="L7" s="5">
        <v>1.140000396796113</v>
      </c>
      <c r="M7" s="5">
        <v>0.99725214336501611</v>
      </c>
      <c r="N7" s="5">
        <v>1</v>
      </c>
      <c r="O7" s="4">
        <f t="shared" si="0"/>
        <v>-0.14000039679611298</v>
      </c>
    </row>
    <row r="8" spans="1:15" x14ac:dyDescent="0.25">
      <c r="A8" s="6" t="s">
        <v>21</v>
      </c>
      <c r="B8" s="6" t="s">
        <v>22</v>
      </c>
      <c r="C8" s="6" t="s">
        <v>21</v>
      </c>
      <c r="D8" s="6" t="s">
        <v>25</v>
      </c>
      <c r="E8" s="6"/>
      <c r="F8" s="7">
        <v>426533.71064467769</v>
      </c>
      <c r="G8" s="7">
        <v>3335</v>
      </c>
      <c r="H8" s="8">
        <v>1.589702383966048</v>
      </c>
      <c r="I8" s="8">
        <v>1.5896974804253401</v>
      </c>
      <c r="J8" s="9">
        <v>1.807284460918632</v>
      </c>
      <c r="K8" s="9">
        <v>0.87960828433063154</v>
      </c>
      <c r="L8" s="9">
        <v>1.0000030845747501</v>
      </c>
      <c r="M8" s="9">
        <v>1.136873199569439</v>
      </c>
      <c r="N8" s="9">
        <v>1</v>
      </c>
      <c r="O8" s="8">
        <f t="shared" si="0"/>
        <v>-3.0845747500674037E-6</v>
      </c>
    </row>
    <row r="9" spans="1:15" x14ac:dyDescent="0.25">
      <c r="A9" s="2" t="s">
        <v>26</v>
      </c>
      <c r="B9" s="2" t="s">
        <v>22</v>
      </c>
      <c r="C9" s="2" t="s">
        <v>26</v>
      </c>
      <c r="D9" s="2" t="s">
        <v>27</v>
      </c>
      <c r="E9" s="2"/>
      <c r="F9" s="3">
        <v>460436.64433811803</v>
      </c>
      <c r="G9" s="3">
        <v>1254</v>
      </c>
      <c r="H9" s="4">
        <v>13.73010728807772</v>
      </c>
      <c r="I9" s="4">
        <v>13.73011271856457</v>
      </c>
      <c r="J9" s="5">
        <v>12.77093567415279</v>
      </c>
      <c r="K9" s="5">
        <v>1.0751058214055691</v>
      </c>
      <c r="L9" s="5">
        <v>0.99999960448344705</v>
      </c>
      <c r="M9" s="5">
        <v>0.93014062855326196</v>
      </c>
      <c r="N9" s="5">
        <v>1</v>
      </c>
      <c r="O9" s="4">
        <f t="shared" si="0"/>
        <v>3.9551655295344545E-7</v>
      </c>
    </row>
    <row r="10" spans="1:15" x14ac:dyDescent="0.25">
      <c r="A10" s="6" t="s">
        <v>26</v>
      </c>
      <c r="B10" s="6" t="s">
        <v>22</v>
      </c>
      <c r="C10" s="6" t="s">
        <v>26</v>
      </c>
      <c r="D10" s="6" t="s">
        <v>28</v>
      </c>
      <c r="E10" s="6"/>
      <c r="F10" s="7">
        <v>460436.64433811803</v>
      </c>
      <c r="G10" s="7">
        <v>1254</v>
      </c>
      <c r="H10" s="8">
        <v>10.89793977669777</v>
      </c>
      <c r="I10" s="8">
        <v>12.973728123463349</v>
      </c>
      <c r="J10" s="9">
        <v>12.98246570633593</v>
      </c>
      <c r="K10" s="9">
        <v>0.83943528318963023</v>
      </c>
      <c r="L10" s="9">
        <v>0.84000062842295409</v>
      </c>
      <c r="M10" s="9">
        <v>1.0006734828099859</v>
      </c>
      <c r="N10" s="9">
        <v>1.0006734828099859</v>
      </c>
      <c r="O10" s="8">
        <f t="shared" si="0"/>
        <v>0.16067285438703183</v>
      </c>
    </row>
    <row r="11" spans="1:15" x14ac:dyDescent="0.25">
      <c r="A11" s="2" t="s">
        <v>26</v>
      </c>
      <c r="B11" s="2" t="s">
        <v>22</v>
      </c>
      <c r="C11" s="2" t="s">
        <v>26</v>
      </c>
      <c r="D11" s="2" t="s">
        <v>29</v>
      </c>
      <c r="E11" s="2"/>
      <c r="F11" s="3">
        <v>460436.64433811803</v>
      </c>
      <c r="G11" s="3">
        <v>1254</v>
      </c>
      <c r="H11" s="4">
        <v>40.075107418794389</v>
      </c>
      <c r="I11" s="4">
        <v>40.075121520102492</v>
      </c>
      <c r="J11" s="5">
        <v>34.244313766265748</v>
      </c>
      <c r="K11" s="5">
        <v>1.170270418976028</v>
      </c>
      <c r="L11" s="5">
        <v>0.99999964812812614</v>
      </c>
      <c r="M11" s="5">
        <v>0.85450305494614942</v>
      </c>
      <c r="N11" s="5">
        <v>0.85450305494614942</v>
      </c>
      <c r="O11" s="4">
        <f t="shared" si="0"/>
        <v>-0.14549659318197672</v>
      </c>
    </row>
    <row r="12" spans="1:15" x14ac:dyDescent="0.25">
      <c r="A12" s="6" t="s">
        <v>26</v>
      </c>
      <c r="B12" s="6" t="s">
        <v>22</v>
      </c>
      <c r="C12" s="6" t="s">
        <v>26</v>
      </c>
      <c r="D12" s="6" t="s">
        <v>30</v>
      </c>
      <c r="E12" s="6"/>
      <c r="F12" s="7">
        <v>460436.64433811803</v>
      </c>
      <c r="G12" s="7">
        <v>1254</v>
      </c>
      <c r="H12" s="8">
        <v>1.8406724806776991</v>
      </c>
      <c r="I12" s="8">
        <v>1.8406730830676989</v>
      </c>
      <c r="J12" s="9">
        <v>2.3906251463887291</v>
      </c>
      <c r="K12" s="9">
        <v>0.76995445457361367</v>
      </c>
      <c r="L12" s="9">
        <v>0.99999967273384605</v>
      </c>
      <c r="M12" s="9">
        <v>1.2987776962568871</v>
      </c>
      <c r="N12" s="9">
        <v>1.2987776962568871</v>
      </c>
      <c r="O12" s="8">
        <f t="shared" si="0"/>
        <v>0.29877802352304106</v>
      </c>
    </row>
    <row r="13" spans="1:15" x14ac:dyDescent="0.25">
      <c r="A13" s="2" t="s">
        <v>26</v>
      </c>
      <c r="B13" s="2" t="s">
        <v>22</v>
      </c>
      <c r="C13" s="2" t="s">
        <v>26</v>
      </c>
      <c r="D13" s="2" t="s">
        <v>31</v>
      </c>
      <c r="E13" s="2"/>
      <c r="F13" s="3">
        <v>460436.64433811803</v>
      </c>
      <c r="G13" s="3">
        <v>1254</v>
      </c>
      <c r="H13" s="4">
        <v>2.3268163103236601E-2</v>
      </c>
      <c r="I13" s="4">
        <v>2.326818713263613E-2</v>
      </c>
      <c r="J13" s="5">
        <v>8.3582207458828819</v>
      </c>
      <c r="K13" s="5">
        <v>2.7838655870267731E-3</v>
      </c>
      <c r="L13" s="5">
        <v>0.99999896728527271</v>
      </c>
      <c r="M13" s="5">
        <v>1</v>
      </c>
      <c r="N13" s="5">
        <v>1</v>
      </c>
      <c r="O13" s="4">
        <f t="shared" si="0"/>
        <v>1.0327147272892745E-6</v>
      </c>
    </row>
    <row r="14" spans="1:15" x14ac:dyDescent="0.25">
      <c r="A14" s="6" t="s">
        <v>32</v>
      </c>
      <c r="B14" s="6" t="s">
        <v>22</v>
      </c>
      <c r="C14" s="6" t="s">
        <v>32</v>
      </c>
      <c r="D14" s="6" t="s">
        <v>33</v>
      </c>
      <c r="E14" s="6"/>
      <c r="F14" s="7">
        <v>568559.91933916428</v>
      </c>
      <c r="G14" s="7">
        <v>1029</v>
      </c>
      <c r="H14" s="8">
        <v>5.8588176272664283</v>
      </c>
      <c r="I14" s="8">
        <v>5.8081112166073217</v>
      </c>
      <c r="J14" s="9">
        <v>6.4580642575948239</v>
      </c>
      <c r="K14" s="9">
        <v>0.90720955902170397</v>
      </c>
      <c r="L14" s="9">
        <v>1.0087302754317311</v>
      </c>
      <c r="M14" s="9">
        <v>1.1119043724798301</v>
      </c>
      <c r="N14" s="9">
        <v>1.0087302754317311</v>
      </c>
      <c r="O14" s="8">
        <f t="shared" si="0"/>
        <v>0</v>
      </c>
    </row>
    <row r="15" spans="1:15" x14ac:dyDescent="0.25">
      <c r="A15" s="2" t="s">
        <v>32</v>
      </c>
      <c r="B15" s="2" t="s">
        <v>22</v>
      </c>
      <c r="C15" s="2" t="s">
        <v>32</v>
      </c>
      <c r="D15" s="2" t="s">
        <v>34</v>
      </c>
      <c r="E15" s="2"/>
      <c r="F15" s="3">
        <v>568559.91933916428</v>
      </c>
      <c r="G15" s="3">
        <v>1029</v>
      </c>
      <c r="H15" s="4">
        <v>2.337828237001097</v>
      </c>
      <c r="I15" s="4">
        <v>1.465919596317969</v>
      </c>
      <c r="J15" s="5">
        <v>1.6004127350510069</v>
      </c>
      <c r="K15" s="5">
        <v>1.460765829838631</v>
      </c>
      <c r="L15" s="5">
        <v>1.5947861280203559</v>
      </c>
      <c r="M15" s="5">
        <v>1.0917465999300731</v>
      </c>
      <c r="N15" s="5">
        <v>1</v>
      </c>
      <c r="O15" s="4">
        <f t="shared" si="0"/>
        <v>-0.59478612802035591</v>
      </c>
    </row>
    <row r="16" spans="1:15" x14ac:dyDescent="0.25">
      <c r="A16" s="6" t="s">
        <v>32</v>
      </c>
      <c r="B16" s="6" t="s">
        <v>22</v>
      </c>
      <c r="C16" s="6" t="s">
        <v>32</v>
      </c>
      <c r="D16" s="6" t="s">
        <v>35</v>
      </c>
      <c r="E16" s="6"/>
      <c r="F16" s="7">
        <v>568559.91933916428</v>
      </c>
      <c r="G16" s="7">
        <v>1029</v>
      </c>
      <c r="H16" s="8">
        <v>4.0474481450061637</v>
      </c>
      <c r="I16" s="8">
        <v>3.0772149375937099</v>
      </c>
      <c r="J16" s="9">
        <v>4.1080516303842627</v>
      </c>
      <c r="K16" s="9">
        <v>0.98524763298254103</v>
      </c>
      <c r="L16" s="9">
        <v>1.3152958851067931</v>
      </c>
      <c r="M16" s="9">
        <v>1.3349901497607559</v>
      </c>
      <c r="N16" s="9">
        <v>1.3152958851067931</v>
      </c>
      <c r="O16" s="8">
        <f t="shared" si="0"/>
        <v>0</v>
      </c>
    </row>
    <row r="17" spans="1:15" x14ac:dyDescent="0.25">
      <c r="A17" s="2" t="s">
        <v>32</v>
      </c>
      <c r="B17" s="2" t="s">
        <v>22</v>
      </c>
      <c r="C17" s="2" t="s">
        <v>32</v>
      </c>
      <c r="D17" s="2" t="s">
        <v>36</v>
      </c>
      <c r="E17" s="2"/>
      <c r="F17" s="3">
        <v>568559.91933916428</v>
      </c>
      <c r="G17" s="3">
        <v>1029</v>
      </c>
      <c r="H17" s="4">
        <v>3.2413494657517039</v>
      </c>
      <c r="I17" s="4">
        <v>2.1038669232065081</v>
      </c>
      <c r="J17" s="5">
        <v>3.1125011024108131</v>
      </c>
      <c r="K17" s="5">
        <v>1.041397049864847</v>
      </c>
      <c r="L17" s="5">
        <v>1.540662781470777</v>
      </c>
      <c r="M17" s="5">
        <v>1.4794191914320529</v>
      </c>
      <c r="N17" s="5">
        <v>1.540662781470777</v>
      </c>
      <c r="O17" s="4">
        <f t="shared" si="0"/>
        <v>0</v>
      </c>
    </row>
    <row r="18" spans="1:15" x14ac:dyDescent="0.25">
      <c r="A18" s="6" t="s">
        <v>32</v>
      </c>
      <c r="B18" s="6" t="s">
        <v>22</v>
      </c>
      <c r="C18" s="6" t="s">
        <v>32</v>
      </c>
      <c r="D18" s="6" t="s">
        <v>37</v>
      </c>
      <c r="E18" s="6"/>
      <c r="F18" s="7">
        <v>568559.91933916428</v>
      </c>
      <c r="G18" s="7">
        <v>1029</v>
      </c>
      <c r="H18" s="8">
        <v>48.152480255391417</v>
      </c>
      <c r="I18" s="8">
        <v>65.004304342998935</v>
      </c>
      <c r="J18" s="9">
        <v>47.572361382326733</v>
      </c>
      <c r="K18" s="9">
        <v>1.0121944519087971</v>
      </c>
      <c r="L18" s="9">
        <v>0.74075833503750932</v>
      </c>
      <c r="M18" s="9">
        <v>0.73183402027207978</v>
      </c>
      <c r="N18" s="9">
        <v>0.74075833503750932</v>
      </c>
      <c r="O18" s="8">
        <f t="shared" si="0"/>
        <v>0</v>
      </c>
    </row>
    <row r="19" spans="1:15" x14ac:dyDescent="0.25">
      <c r="A19" s="2" t="s">
        <v>32</v>
      </c>
      <c r="B19" s="2" t="s">
        <v>22</v>
      </c>
      <c r="C19" s="2" t="s">
        <v>32</v>
      </c>
      <c r="D19" s="2" t="s">
        <v>38</v>
      </c>
      <c r="E19" s="2"/>
      <c r="F19" s="3">
        <v>568559.91933916428</v>
      </c>
      <c r="G19" s="3">
        <v>1029</v>
      </c>
      <c r="H19" s="4">
        <v>3.5789322071884011</v>
      </c>
      <c r="I19" s="4">
        <v>3.5320050236233742</v>
      </c>
      <c r="J19" s="5">
        <v>3.0228420072683511</v>
      </c>
      <c r="K19" s="5">
        <v>1.1839627074729491</v>
      </c>
      <c r="L19" s="5">
        <v>1.013286273165287</v>
      </c>
      <c r="M19" s="5">
        <v>0.85584306563848311</v>
      </c>
      <c r="N19" s="5">
        <v>1.013286273165287</v>
      </c>
      <c r="O19" s="4">
        <f t="shared" si="0"/>
        <v>0</v>
      </c>
    </row>
    <row r="20" spans="1:15" x14ac:dyDescent="0.25">
      <c r="A20" s="6" t="s">
        <v>32</v>
      </c>
      <c r="B20" s="6" t="s">
        <v>22</v>
      </c>
      <c r="C20" s="6" t="s">
        <v>32</v>
      </c>
      <c r="D20" s="6" t="s">
        <v>40</v>
      </c>
      <c r="E20" s="6"/>
      <c r="F20" s="7">
        <v>568559.91933916428</v>
      </c>
      <c r="G20" s="7">
        <v>1029</v>
      </c>
      <c r="H20" s="8">
        <v>1.9575019014637749</v>
      </c>
      <c r="I20" s="8">
        <v>1.953978003153251</v>
      </c>
      <c r="J20" s="9">
        <v>2.6046342261121191</v>
      </c>
      <c r="K20" s="9">
        <v>0.75154579550530409</v>
      </c>
      <c r="L20" s="9">
        <v>1.001803448301279</v>
      </c>
      <c r="M20" s="9">
        <v>1.3329905566535889</v>
      </c>
      <c r="N20" s="9">
        <v>1.001803448301279</v>
      </c>
      <c r="O20" s="8">
        <f t="shared" si="0"/>
        <v>0</v>
      </c>
    </row>
    <row r="21" spans="1:15" x14ac:dyDescent="0.25">
      <c r="A21" s="2" t="s">
        <v>32</v>
      </c>
      <c r="B21" s="2" t="s">
        <v>22</v>
      </c>
      <c r="C21" s="2" t="s">
        <v>32</v>
      </c>
      <c r="D21" s="2" t="s">
        <v>41</v>
      </c>
      <c r="E21" s="2"/>
      <c r="F21" s="3">
        <v>568559.91933916428</v>
      </c>
      <c r="G21" s="3">
        <v>1029</v>
      </c>
      <c r="H21" s="4">
        <v>0.22571451106405421</v>
      </c>
      <c r="I21" s="4">
        <v>0.63419329818588643</v>
      </c>
      <c r="J21" s="5">
        <v>5.0754988337155657E-3</v>
      </c>
      <c r="K21" s="5">
        <v>44.471394528686723</v>
      </c>
      <c r="L21" s="5">
        <v>0.35590806731908381</v>
      </c>
      <c r="M21" s="5">
        <v>8.0030786327040335E-3</v>
      </c>
      <c r="N21" s="5">
        <v>0.35590806731908381</v>
      </c>
      <c r="O21" s="4">
        <f t="shared" si="0"/>
        <v>0</v>
      </c>
    </row>
    <row r="22" spans="1:15" x14ac:dyDescent="0.25">
      <c r="A22" s="6" t="s">
        <v>42</v>
      </c>
      <c r="B22" s="6" t="s">
        <v>22</v>
      </c>
      <c r="C22" s="6" t="s">
        <v>42</v>
      </c>
      <c r="D22" s="6" t="s">
        <v>43</v>
      </c>
      <c r="E22" s="6"/>
      <c r="F22" s="7">
        <v>590924.57142857148</v>
      </c>
      <c r="G22" s="7">
        <v>287</v>
      </c>
      <c r="H22" s="8">
        <v>3.127292976195879</v>
      </c>
      <c r="I22" s="8">
        <v>7.0336232768454421</v>
      </c>
      <c r="J22" s="9">
        <v>1.6834939783769101</v>
      </c>
      <c r="K22" s="9">
        <v>1.8576205298999431</v>
      </c>
      <c r="L22" s="9">
        <v>0.44462048265946652</v>
      </c>
      <c r="M22" s="9">
        <v>0.23934946642919319</v>
      </c>
      <c r="N22" s="9">
        <v>0.44462048265946652</v>
      </c>
      <c r="O22" s="8">
        <f t="shared" si="0"/>
        <v>0</v>
      </c>
    </row>
    <row r="23" spans="1:15" x14ac:dyDescent="0.25">
      <c r="A23" s="2" t="s">
        <v>42</v>
      </c>
      <c r="B23" s="2" t="s">
        <v>22</v>
      </c>
      <c r="C23" s="2" t="s">
        <v>42</v>
      </c>
      <c r="D23" s="2" t="s">
        <v>44</v>
      </c>
      <c r="E23" s="2"/>
      <c r="F23" s="3">
        <v>590924.57142857148</v>
      </c>
      <c r="G23" s="3">
        <v>287</v>
      </c>
      <c r="H23" s="4">
        <v>0.37338120175775719</v>
      </c>
      <c r="I23" s="4">
        <v>0.37800115726567918</v>
      </c>
      <c r="J23" s="5">
        <v>0.1748183646965934</v>
      </c>
      <c r="K23" s="5">
        <v>2.13582367279193</v>
      </c>
      <c r="L23" s="5">
        <v>0.98777793290015015</v>
      </c>
      <c r="M23" s="5">
        <v>0.46248103037875571</v>
      </c>
      <c r="N23" s="5">
        <v>0.98777793290015015</v>
      </c>
      <c r="O23" s="4">
        <f t="shared" si="0"/>
        <v>0</v>
      </c>
    </row>
    <row r="24" spans="1:15" x14ac:dyDescent="0.25">
      <c r="A24" s="6" t="s">
        <v>42</v>
      </c>
      <c r="B24" s="6" t="s">
        <v>22</v>
      </c>
      <c r="C24" s="6" t="s">
        <v>42</v>
      </c>
      <c r="D24" s="6" t="s">
        <v>45</v>
      </c>
      <c r="E24" s="6"/>
      <c r="F24" s="7">
        <v>590924.57142857148</v>
      </c>
      <c r="G24" s="7">
        <v>287</v>
      </c>
      <c r="H24" s="8">
        <v>0.48636691937188847</v>
      </c>
      <c r="I24" s="8">
        <v>1.6995945169682549</v>
      </c>
      <c r="J24" s="9">
        <v>0.18834719648289891</v>
      </c>
      <c r="K24" s="9">
        <v>2.5822891365205352</v>
      </c>
      <c r="L24" s="9">
        <v>0.28616644412307951</v>
      </c>
      <c r="M24" s="9">
        <v>0.1108189009804959</v>
      </c>
      <c r="N24" s="9">
        <v>0.28616644412307951</v>
      </c>
      <c r="O24" s="8">
        <f t="shared" si="0"/>
        <v>0</v>
      </c>
    </row>
    <row r="25" spans="1:15" x14ac:dyDescent="0.25">
      <c r="A25" s="2" t="s">
        <v>42</v>
      </c>
      <c r="B25" s="2" t="s">
        <v>22</v>
      </c>
      <c r="C25" s="2" t="s">
        <v>42</v>
      </c>
      <c r="D25" s="2" t="s">
        <v>46</v>
      </c>
      <c r="E25" s="2"/>
      <c r="F25" s="13">
        <v>590924.57142857148</v>
      </c>
      <c r="G25" s="3">
        <v>287</v>
      </c>
      <c r="H25" s="4">
        <v>92.520382560995898</v>
      </c>
      <c r="I25" s="4">
        <v>85.3168943982906</v>
      </c>
      <c r="J25" s="5">
        <v>78.558525269179242</v>
      </c>
      <c r="K25" s="5">
        <v>1.1777255523060881</v>
      </c>
      <c r="L25" s="5">
        <v>1.084432142232894</v>
      </c>
      <c r="M25" s="5">
        <v>0.9207851015115387</v>
      </c>
      <c r="N25" s="5">
        <v>1</v>
      </c>
      <c r="O25" s="4">
        <f t="shared" si="0"/>
        <v>-8.443214223289397E-2</v>
      </c>
    </row>
    <row r="26" spans="1:15" x14ac:dyDescent="0.25">
      <c r="A26" s="6" t="s">
        <v>42</v>
      </c>
      <c r="B26" s="6" t="s">
        <v>22</v>
      </c>
      <c r="C26" s="6" t="s">
        <v>42</v>
      </c>
      <c r="D26" s="6" t="s">
        <v>48</v>
      </c>
      <c r="E26" s="11"/>
      <c r="F26" s="14">
        <v>590924.57142857148</v>
      </c>
      <c r="G26" s="12">
        <v>287</v>
      </c>
      <c r="H26" s="8">
        <v>1.3141783279146559</v>
      </c>
      <c r="I26" s="8">
        <v>1.312977207019876</v>
      </c>
      <c r="J26" s="9">
        <v>1.095322499477523</v>
      </c>
      <c r="K26" s="9">
        <v>1.1998094885675481</v>
      </c>
      <c r="L26" s="9">
        <v>1.0009148071180201</v>
      </c>
      <c r="M26" s="9">
        <v>0.83422811425921606</v>
      </c>
      <c r="N26" s="9">
        <v>1</v>
      </c>
      <c r="O26" s="8">
        <f t="shared" si="0"/>
        <v>-9.1480711802005565E-4</v>
      </c>
    </row>
    <row r="27" spans="1:15" x14ac:dyDescent="0.25">
      <c r="A27" s="2" t="s">
        <v>42</v>
      </c>
      <c r="B27" s="2" t="s">
        <v>22</v>
      </c>
      <c r="C27" s="2" t="s">
        <v>42</v>
      </c>
      <c r="D27" s="2" t="s">
        <v>49</v>
      </c>
      <c r="E27" s="10"/>
      <c r="F27" s="15">
        <v>590924.57142857148</v>
      </c>
      <c r="G27" s="13">
        <v>287</v>
      </c>
      <c r="H27" s="4">
        <v>1.1365323775961631</v>
      </c>
      <c r="I27" s="4">
        <v>3.2170659856731829</v>
      </c>
      <c r="J27" s="5">
        <v>0.21293275093183989</v>
      </c>
      <c r="K27" s="5">
        <v>5.3375179375763029</v>
      </c>
      <c r="L27" s="5">
        <v>0.35328227106859889</v>
      </c>
      <c r="M27" s="5">
        <v>6.6188493453385899E-2</v>
      </c>
      <c r="N27" s="5">
        <v>0.35328227106859889</v>
      </c>
      <c r="O27" s="4">
        <f t="shared" si="0"/>
        <v>0</v>
      </c>
    </row>
    <row r="28" spans="1:15" x14ac:dyDescent="0.25">
      <c r="A28" s="2" t="s">
        <v>16</v>
      </c>
      <c r="B28" s="2" t="s">
        <v>17</v>
      </c>
      <c r="C28" s="2" t="s">
        <v>59</v>
      </c>
      <c r="E28" t="s">
        <v>62</v>
      </c>
      <c r="F28" s="16">
        <v>563310.05303606112</v>
      </c>
      <c r="G28" s="16">
        <v>23682</v>
      </c>
      <c r="L28" s="19">
        <v>1.46</v>
      </c>
      <c r="M28" s="18">
        <v>1.8757824494845647</v>
      </c>
      <c r="N28" s="18">
        <v>1.8757824494845647</v>
      </c>
      <c r="O28" s="20">
        <f t="shared" si="0"/>
        <v>0.41578244948456478</v>
      </c>
    </row>
    <row r="29" spans="1:15" x14ac:dyDescent="0.25">
      <c r="A29" s="2" t="s">
        <v>16</v>
      </c>
      <c r="B29" s="2" t="s">
        <v>17</v>
      </c>
      <c r="C29" s="2" t="s">
        <v>59</v>
      </c>
      <c r="E29" t="s">
        <v>63</v>
      </c>
      <c r="F29" s="16">
        <v>618774.81793103449</v>
      </c>
      <c r="G29" s="16">
        <v>3625</v>
      </c>
      <c r="L29" s="21">
        <v>1.35</v>
      </c>
      <c r="M29" s="18">
        <v>1.9090690073763774</v>
      </c>
      <c r="N29" s="18">
        <v>1.75</v>
      </c>
      <c r="O29" s="22">
        <f t="shared" si="0"/>
        <v>0.39999999999999991</v>
      </c>
    </row>
    <row r="30" spans="1:15" x14ac:dyDescent="0.25">
      <c r="A30" s="2" t="s">
        <v>16</v>
      </c>
      <c r="B30" s="2" t="s">
        <v>17</v>
      </c>
      <c r="C30" s="2" t="s">
        <v>59</v>
      </c>
      <c r="E30" t="s">
        <v>64</v>
      </c>
      <c r="F30" s="16">
        <v>580871.35372059525</v>
      </c>
      <c r="G30" s="16">
        <v>10415</v>
      </c>
      <c r="L30" s="19">
        <v>1.17</v>
      </c>
      <c r="M30" s="18">
        <v>1.5429749863728117</v>
      </c>
      <c r="N30" s="18">
        <v>1.5429749863728117</v>
      </c>
      <c r="O30" s="20">
        <f t="shared" si="0"/>
        <v>0.37297498637281179</v>
      </c>
    </row>
    <row r="31" spans="1:15" x14ac:dyDescent="0.25">
      <c r="A31" s="2" t="s">
        <v>16</v>
      </c>
      <c r="B31" s="2" t="s">
        <v>17</v>
      </c>
      <c r="C31" s="2" t="s">
        <v>59</v>
      </c>
      <c r="E31" t="s">
        <v>65</v>
      </c>
      <c r="F31" s="16">
        <v>590682.8455764075</v>
      </c>
      <c r="G31" s="16">
        <v>1865</v>
      </c>
      <c r="L31" s="21">
        <v>1.77</v>
      </c>
      <c r="M31" s="18">
        <v>2.9798324151035613</v>
      </c>
      <c r="N31" s="18">
        <v>2</v>
      </c>
      <c r="O31" s="22">
        <f t="shared" si="0"/>
        <v>0.22999999999999998</v>
      </c>
    </row>
    <row r="32" spans="1:15" x14ac:dyDescent="0.25">
      <c r="A32" s="2" t="s">
        <v>16</v>
      </c>
      <c r="B32" s="2" t="s">
        <v>17</v>
      </c>
      <c r="C32" s="2" t="s">
        <v>59</v>
      </c>
      <c r="E32" t="s">
        <v>66</v>
      </c>
      <c r="F32" s="16">
        <v>294811.50603251968</v>
      </c>
      <c r="G32" s="16">
        <v>50062</v>
      </c>
      <c r="L32" s="19">
        <v>1.05</v>
      </c>
      <c r="M32" s="18">
        <v>1.1723423661324466</v>
      </c>
      <c r="N32" s="18">
        <v>1.1723423661324466</v>
      </c>
      <c r="O32" s="20">
        <f t="shared" si="0"/>
        <v>0.12234236613244653</v>
      </c>
    </row>
    <row r="33" spans="1:15" x14ac:dyDescent="0.25">
      <c r="A33" s="2" t="s">
        <v>16</v>
      </c>
      <c r="B33" s="2" t="s">
        <v>17</v>
      </c>
      <c r="C33" s="2" t="s">
        <v>59</v>
      </c>
      <c r="E33" t="s">
        <v>67</v>
      </c>
      <c r="F33" s="16">
        <v>441292.65545564587</v>
      </c>
      <c r="G33" s="16">
        <v>11566</v>
      </c>
      <c r="L33" s="21">
        <v>1.34</v>
      </c>
      <c r="M33" s="18">
        <v>2.3062879776210434</v>
      </c>
      <c r="N33" s="18">
        <v>2</v>
      </c>
      <c r="O33" s="22">
        <f t="shared" si="0"/>
        <v>0.65999999999999992</v>
      </c>
    </row>
    <row r="34" spans="1:15" x14ac:dyDescent="0.25">
      <c r="A34" s="2" t="s">
        <v>16</v>
      </c>
      <c r="B34" s="2" t="s">
        <v>17</v>
      </c>
      <c r="C34" s="2" t="s">
        <v>59</v>
      </c>
      <c r="E34" t="s">
        <v>68</v>
      </c>
      <c r="F34" s="16">
        <v>339880.16376328142</v>
      </c>
      <c r="G34" s="16">
        <v>16188</v>
      </c>
      <c r="L34" s="19">
        <v>0.97</v>
      </c>
      <c r="M34" s="18">
        <v>1.0203679822336391</v>
      </c>
      <c r="N34" s="18">
        <v>1.0203679822336391</v>
      </c>
      <c r="O34" s="20">
        <f t="shared" si="0"/>
        <v>5.0367982233639141E-2</v>
      </c>
    </row>
    <row r="35" spans="1:15" x14ac:dyDescent="0.25">
      <c r="A35" s="2" t="s">
        <v>16</v>
      </c>
      <c r="B35" s="2" t="s">
        <v>17</v>
      </c>
      <c r="C35" s="2" t="s">
        <v>59</v>
      </c>
      <c r="E35" t="s">
        <v>69</v>
      </c>
      <c r="F35" s="16">
        <v>392581.43689462868</v>
      </c>
      <c r="G35" s="16">
        <v>20442</v>
      </c>
      <c r="L35" s="21">
        <v>1.1499999999999999</v>
      </c>
      <c r="M35" s="18">
        <v>1.5286165142488224</v>
      </c>
      <c r="N35" s="18">
        <v>1.5286165142488224</v>
      </c>
      <c r="O35" s="22">
        <f t="shared" si="0"/>
        <v>0.37861651424882248</v>
      </c>
    </row>
    <row r="36" spans="1:15" x14ac:dyDescent="0.25">
      <c r="A36" s="2" t="s">
        <v>16</v>
      </c>
      <c r="B36" s="2" t="s">
        <v>17</v>
      </c>
      <c r="C36" s="2" t="s">
        <v>59</v>
      </c>
      <c r="E36" t="s">
        <v>70</v>
      </c>
      <c r="F36" s="16">
        <v>451565.44890580402</v>
      </c>
      <c r="G36" s="16">
        <v>5255</v>
      </c>
      <c r="L36" s="19">
        <v>0.9</v>
      </c>
      <c r="M36" s="18">
        <v>1.235494837675347</v>
      </c>
      <c r="N36" s="18">
        <v>1.235494837675347</v>
      </c>
      <c r="O36" s="20">
        <f t="shared" si="0"/>
        <v>0.33549483767534694</v>
      </c>
    </row>
    <row r="37" spans="1:15" x14ac:dyDescent="0.25">
      <c r="A37" s="17" t="s">
        <v>20</v>
      </c>
      <c r="B37" s="17" t="s">
        <v>17</v>
      </c>
      <c r="C37" s="17" t="s">
        <v>20</v>
      </c>
      <c r="E37" t="s">
        <v>62</v>
      </c>
      <c r="F37">
        <v>563310.05303606112</v>
      </c>
      <c r="G37">
        <v>23682</v>
      </c>
      <c r="L37" s="21">
        <v>1.1499999999999999</v>
      </c>
      <c r="M37" s="18">
        <v>1.1669628555435489</v>
      </c>
      <c r="N37" s="18">
        <v>1.1669628555435489</v>
      </c>
      <c r="O37" s="22">
        <f t="shared" si="0"/>
        <v>1.6962855543549038E-2</v>
      </c>
    </row>
    <row r="38" spans="1:15" x14ac:dyDescent="0.25">
      <c r="A38" s="17" t="s">
        <v>20</v>
      </c>
      <c r="B38" s="17" t="s">
        <v>17</v>
      </c>
      <c r="C38" s="17" t="s">
        <v>20</v>
      </c>
      <c r="E38" t="s">
        <v>63</v>
      </c>
      <c r="F38">
        <v>618774.81793103449</v>
      </c>
      <c r="G38">
        <v>3625</v>
      </c>
      <c r="L38" s="19">
        <v>1.32</v>
      </c>
      <c r="M38" s="18">
        <v>1.2422164313353015</v>
      </c>
      <c r="N38" s="18">
        <v>1.2422164313353015</v>
      </c>
      <c r="O38" s="20">
        <f t="shared" si="0"/>
        <v>-7.7783568664698599E-2</v>
      </c>
    </row>
    <row r="39" spans="1:15" x14ac:dyDescent="0.25">
      <c r="A39" s="17" t="s">
        <v>20</v>
      </c>
      <c r="B39" s="17" t="s">
        <v>17</v>
      </c>
      <c r="C39" s="17" t="s">
        <v>20</v>
      </c>
      <c r="E39" t="s">
        <v>64</v>
      </c>
      <c r="F39">
        <v>580871.35372059525</v>
      </c>
      <c r="G39">
        <v>10415</v>
      </c>
      <c r="L39" s="21">
        <v>1.24</v>
      </c>
      <c r="M39" s="18">
        <v>1.0878734295345482</v>
      </c>
      <c r="N39" s="18">
        <v>1.0878734295345482</v>
      </c>
      <c r="O39" s="22">
        <f t="shared" si="0"/>
        <v>-0.15212657046545175</v>
      </c>
    </row>
    <row r="40" spans="1:15" x14ac:dyDescent="0.25">
      <c r="A40" s="17" t="s">
        <v>20</v>
      </c>
      <c r="B40" s="17" t="s">
        <v>17</v>
      </c>
      <c r="C40" s="17" t="s">
        <v>20</v>
      </c>
      <c r="E40" t="s">
        <v>65</v>
      </c>
      <c r="F40">
        <v>590682.8455764075</v>
      </c>
      <c r="G40">
        <v>1865</v>
      </c>
      <c r="L40" s="19">
        <v>1.17</v>
      </c>
      <c r="M40" s="18">
        <v>1.0843300140348211</v>
      </c>
      <c r="N40" s="18">
        <v>1.0843300140348211</v>
      </c>
      <c r="O40" s="20">
        <f t="shared" si="0"/>
        <v>-8.566998596517883E-2</v>
      </c>
    </row>
    <row r="41" spans="1:15" x14ac:dyDescent="0.25">
      <c r="A41" s="17" t="s">
        <v>20</v>
      </c>
      <c r="B41" s="17" t="s">
        <v>17</v>
      </c>
      <c r="C41" s="17" t="s">
        <v>20</v>
      </c>
      <c r="E41" t="s">
        <v>66</v>
      </c>
      <c r="F41">
        <v>294811.50603251968</v>
      </c>
      <c r="G41">
        <v>50062</v>
      </c>
      <c r="L41" s="21">
        <v>1.24</v>
      </c>
      <c r="M41" s="18">
        <v>1.2095924767566302</v>
      </c>
      <c r="N41" s="18">
        <v>1.2095924767566302</v>
      </c>
      <c r="O41" s="22">
        <f t="shared" si="0"/>
        <v>-3.0407523243369816E-2</v>
      </c>
    </row>
    <row r="42" spans="1:15" x14ac:dyDescent="0.25">
      <c r="A42" s="17" t="s">
        <v>20</v>
      </c>
      <c r="B42" s="17" t="s">
        <v>17</v>
      </c>
      <c r="C42" s="17" t="s">
        <v>20</v>
      </c>
      <c r="E42" t="s">
        <v>67</v>
      </c>
      <c r="F42">
        <v>441292.65545564587</v>
      </c>
      <c r="G42">
        <v>11566</v>
      </c>
      <c r="L42" s="19">
        <v>0.93</v>
      </c>
      <c r="M42" s="18">
        <v>0.93914652849348201</v>
      </c>
      <c r="N42" s="18">
        <v>0.93914652849348201</v>
      </c>
      <c r="O42" s="20">
        <f t="shared" si="0"/>
        <v>9.1465284934819646E-3</v>
      </c>
    </row>
    <row r="43" spans="1:15" x14ac:dyDescent="0.25">
      <c r="A43" s="17" t="s">
        <v>20</v>
      </c>
      <c r="B43" s="17" t="s">
        <v>17</v>
      </c>
      <c r="C43" s="17" t="s">
        <v>20</v>
      </c>
      <c r="E43" t="s">
        <v>68</v>
      </c>
      <c r="F43">
        <v>339880.16376328142</v>
      </c>
      <c r="G43">
        <v>16188</v>
      </c>
      <c r="L43" s="21">
        <v>1.4</v>
      </c>
      <c r="M43" s="18">
        <v>1.350929273771875</v>
      </c>
      <c r="N43" s="18">
        <v>1.350929273771875</v>
      </c>
      <c r="O43" s="22">
        <f t="shared" si="0"/>
        <v>-4.9070726228124917E-2</v>
      </c>
    </row>
    <row r="44" spans="1:15" x14ac:dyDescent="0.25">
      <c r="A44" s="17" t="s">
        <v>20</v>
      </c>
      <c r="B44" s="17" t="s">
        <v>17</v>
      </c>
      <c r="C44" s="17" t="s">
        <v>20</v>
      </c>
      <c r="E44" t="s">
        <v>69</v>
      </c>
      <c r="F44">
        <v>392581.43689462868</v>
      </c>
      <c r="G44">
        <v>20442</v>
      </c>
      <c r="L44" s="19">
        <v>1.52</v>
      </c>
      <c r="M44" s="18">
        <v>1.4233355426573264</v>
      </c>
      <c r="N44" s="18">
        <v>1.4233355426573264</v>
      </c>
      <c r="O44" s="20">
        <f t="shared" si="0"/>
        <v>-9.6664457342673593E-2</v>
      </c>
    </row>
    <row r="45" spans="1:15" x14ac:dyDescent="0.25">
      <c r="A45" s="17" t="s">
        <v>20</v>
      </c>
      <c r="B45" s="17" t="s">
        <v>17</v>
      </c>
      <c r="C45" s="17" t="s">
        <v>20</v>
      </c>
      <c r="E45" t="s">
        <v>70</v>
      </c>
      <c r="F45">
        <v>451565.44890580402</v>
      </c>
      <c r="G45">
        <v>5255</v>
      </c>
      <c r="L45">
        <v>1.19</v>
      </c>
      <c r="M45" s="18">
        <v>1.1061996645820804</v>
      </c>
      <c r="N45" s="18">
        <v>1.1061996645820804</v>
      </c>
      <c r="O45" s="20">
        <f t="shared" si="0"/>
        <v>-8.3800335417919536E-2</v>
      </c>
    </row>
  </sheetData>
  <autoFilter ref="A2:O27" xr:uid="{00000000-0009-0000-0000-000004000000}"/>
  <mergeCells count="1">
    <mergeCell ref="A1:O1"/>
  </mergeCells>
  <conditionalFormatting sqref="G3:G27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3:K27">
    <cfRule type="colorScale" priority="3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3:O45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tabSelected="1" zoomScale="115" zoomScaleNormal="115" workbookViewId="0">
      <pane ySplit="2" topLeftCell="A3" activePane="bottomLeft" state="frozen"/>
      <selection pane="bottomLeft" activeCell="Z11" sqref="Z11"/>
    </sheetView>
  </sheetViews>
  <sheetFormatPr defaultRowHeight="15" x14ac:dyDescent="0.25"/>
  <cols>
    <col min="1" max="1" width="10" customWidth="1"/>
    <col min="2" max="2" width="13" customWidth="1"/>
    <col min="3" max="3" width="10" customWidth="1"/>
    <col min="4" max="4" width="12" customWidth="1"/>
    <col min="5" max="5" width="10" customWidth="1"/>
    <col min="6" max="6" width="19" customWidth="1"/>
    <col min="7" max="7" width="10" customWidth="1"/>
    <col min="8" max="10" width="21" customWidth="1"/>
    <col min="11" max="11" width="20" customWidth="1"/>
    <col min="12" max="12" width="21" customWidth="1"/>
    <col min="13" max="14" width="20" customWidth="1"/>
    <col min="15" max="15" width="22" customWidth="1"/>
  </cols>
  <sheetData>
    <row r="1" spans="1:15" ht="17.25" x14ac:dyDescent="0.25">
      <c r="A1" s="23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17</v>
      </c>
      <c r="C3" s="2" t="s">
        <v>59</v>
      </c>
      <c r="D3" s="2"/>
      <c r="E3" s="2" t="s">
        <v>19</v>
      </c>
      <c r="F3" s="3">
        <v>52505.97202655107</v>
      </c>
      <c r="G3" s="3">
        <v>162404</v>
      </c>
      <c r="H3" s="4">
        <v>1.567653172166416</v>
      </c>
      <c r="I3" s="4">
        <v>1.83367151173945</v>
      </c>
      <c r="J3" s="5">
        <v>1.767639164878668</v>
      </c>
      <c r="K3" s="5">
        <v>0.88686266027264726</v>
      </c>
      <c r="L3" s="5">
        <v>0.85492584802133698</v>
      </c>
      <c r="M3" s="5">
        <v>0.96398899888118861</v>
      </c>
      <c r="N3" s="5">
        <v>0.96398899888118905</v>
      </c>
      <c r="O3" s="4">
        <f t="shared" ref="O3:O20" si="0">N3-L3</f>
        <v>0.10906315085985208</v>
      </c>
    </row>
    <row r="4" spans="1:15" x14ac:dyDescent="0.25">
      <c r="A4" s="6" t="s">
        <v>20</v>
      </c>
      <c r="B4" s="6" t="s">
        <v>17</v>
      </c>
      <c r="C4" s="6" t="s">
        <v>59</v>
      </c>
      <c r="D4" s="6"/>
      <c r="E4" s="6" t="s">
        <v>19</v>
      </c>
      <c r="F4" s="7">
        <v>52505.97202655107</v>
      </c>
      <c r="G4" s="7">
        <v>162404</v>
      </c>
      <c r="H4" s="8">
        <v>0.43583495698088398</v>
      </c>
      <c r="I4" s="8">
        <v>0.43600920365913731</v>
      </c>
      <c r="J4" s="9">
        <v>0.55080256255166804</v>
      </c>
      <c r="K4" s="9">
        <v>0.79127256591149309</v>
      </c>
      <c r="L4" s="9">
        <v>0.9996003600915051</v>
      </c>
      <c r="M4" s="9">
        <v>1.2632819626951579</v>
      </c>
      <c r="N4" s="9">
        <v>1.05</v>
      </c>
      <c r="O4" s="8">
        <f t="shared" si="0"/>
        <v>5.0399639908494942E-2</v>
      </c>
    </row>
    <row r="5" spans="1:15" x14ac:dyDescent="0.25">
      <c r="A5" s="2" t="s">
        <v>23</v>
      </c>
      <c r="B5" s="2" t="s">
        <v>17</v>
      </c>
      <c r="C5" s="2" t="s">
        <v>21</v>
      </c>
      <c r="D5" s="2"/>
      <c r="E5" s="2" t="s">
        <v>19</v>
      </c>
      <c r="F5" s="3">
        <v>46962.01176470588</v>
      </c>
      <c r="G5" s="3">
        <v>1615</v>
      </c>
      <c r="H5" s="4">
        <v>31.37124563099373</v>
      </c>
      <c r="I5" s="4">
        <v>31.341875132358521</v>
      </c>
      <c r="J5" s="5">
        <v>35.136174905360043</v>
      </c>
      <c r="K5" s="5">
        <v>0.89284749166614708</v>
      </c>
      <c r="L5" s="5">
        <v>1.000937100875783</v>
      </c>
      <c r="M5" s="5">
        <v>1.121061670910817</v>
      </c>
      <c r="N5" s="5">
        <v>1</v>
      </c>
      <c r="O5" s="4">
        <f t="shared" si="0"/>
        <v>-9.371008757830257E-4</v>
      </c>
    </row>
    <row r="6" spans="1:15" x14ac:dyDescent="0.25">
      <c r="A6" s="6" t="s">
        <v>21</v>
      </c>
      <c r="B6" s="6" t="s">
        <v>22</v>
      </c>
      <c r="C6" s="6" t="s">
        <v>21</v>
      </c>
      <c r="D6" s="6" t="s">
        <v>23</v>
      </c>
      <c r="E6" s="6"/>
      <c r="F6" s="7">
        <v>46962.01176470588</v>
      </c>
      <c r="G6" s="7">
        <v>1615</v>
      </c>
      <c r="H6" s="8">
        <v>31.37124563099373</v>
      </c>
      <c r="I6" s="8">
        <v>31.341875132358521</v>
      </c>
      <c r="J6" s="9">
        <v>35.136174905360043</v>
      </c>
      <c r="K6" s="9">
        <v>0.89284749166614708</v>
      </c>
      <c r="L6" s="9">
        <v>1.000937100875783</v>
      </c>
      <c r="M6" s="9">
        <v>1.121061670910817</v>
      </c>
      <c r="N6" s="9">
        <v>1</v>
      </c>
      <c r="O6" s="8">
        <f t="shared" si="0"/>
        <v>-9.371008757830257E-4</v>
      </c>
    </row>
    <row r="7" spans="1:15" x14ac:dyDescent="0.25">
      <c r="A7" s="2" t="s">
        <v>21</v>
      </c>
      <c r="B7" s="2" t="s">
        <v>22</v>
      </c>
      <c r="C7" s="2" t="s">
        <v>21</v>
      </c>
      <c r="D7" s="2" t="s">
        <v>24</v>
      </c>
      <c r="E7" s="2"/>
      <c r="F7" s="3">
        <v>46962.01176470588</v>
      </c>
      <c r="G7" s="3">
        <v>1615</v>
      </c>
      <c r="H7" s="4">
        <v>36.263229087332199</v>
      </c>
      <c r="I7" s="4">
        <v>36.294899616801906</v>
      </c>
      <c r="J7" s="5">
        <v>31.816121611040131</v>
      </c>
      <c r="K7" s="5">
        <v>1.1397752853304699</v>
      </c>
      <c r="L7" s="5">
        <v>0.99912741101906655</v>
      </c>
      <c r="M7" s="5">
        <v>0.87660034734774628</v>
      </c>
      <c r="N7" s="5">
        <v>1</v>
      </c>
      <c r="O7" s="4">
        <f t="shared" si="0"/>
        <v>8.7258898093345305E-4</v>
      </c>
    </row>
    <row r="8" spans="1:15" x14ac:dyDescent="0.25">
      <c r="A8" s="6" t="s">
        <v>21</v>
      </c>
      <c r="B8" s="6" t="s">
        <v>22</v>
      </c>
      <c r="C8" s="6" t="s">
        <v>21</v>
      </c>
      <c r="D8" s="6" t="s">
        <v>25</v>
      </c>
      <c r="E8" s="6"/>
      <c r="F8" s="7">
        <v>46962.01176470588</v>
      </c>
      <c r="G8" s="7">
        <v>1615</v>
      </c>
      <c r="H8" s="8">
        <v>3.067912494297929</v>
      </c>
      <c r="I8" s="8">
        <v>3.7050622658063208</v>
      </c>
      <c r="J8" s="9">
        <v>2.513357496237449</v>
      </c>
      <c r="K8" s="9">
        <v>1.2206431034545071</v>
      </c>
      <c r="L8" s="9">
        <v>0.77500000000000002</v>
      </c>
      <c r="M8" s="9">
        <v>0.67835769439909122</v>
      </c>
      <c r="N8" s="9">
        <v>0.77500000000000002</v>
      </c>
      <c r="O8" s="8">
        <f t="shared" si="0"/>
        <v>0</v>
      </c>
    </row>
    <row r="9" spans="1:15" x14ac:dyDescent="0.25">
      <c r="A9" s="2" t="s">
        <v>26</v>
      </c>
      <c r="B9" s="2" t="s">
        <v>22</v>
      </c>
      <c r="C9" s="2" t="s">
        <v>26</v>
      </c>
      <c r="D9" s="2" t="s">
        <v>27</v>
      </c>
      <c r="E9" s="2"/>
      <c r="F9" s="3">
        <v>70897.967999999993</v>
      </c>
      <c r="G9" s="3">
        <v>500</v>
      </c>
      <c r="H9" s="4">
        <v>12.08361775249104</v>
      </c>
      <c r="I9" s="4">
        <v>15.09477014117274</v>
      </c>
      <c r="J9" s="5">
        <v>9.981204285284285</v>
      </c>
      <c r="K9" s="5">
        <v>1.210637254495075</v>
      </c>
      <c r="L9" s="5">
        <v>0.80051684387903144</v>
      </c>
      <c r="M9" s="5">
        <v>0.66123592422645716</v>
      </c>
      <c r="N9" s="5">
        <v>0.80051684387903144</v>
      </c>
      <c r="O9" s="4">
        <f t="shared" si="0"/>
        <v>0</v>
      </c>
    </row>
    <row r="10" spans="1:15" x14ac:dyDescent="0.25">
      <c r="A10" s="6" t="s">
        <v>26</v>
      </c>
      <c r="B10" s="6" t="s">
        <v>22</v>
      </c>
      <c r="C10" s="6" t="s">
        <v>26</v>
      </c>
      <c r="D10" s="6" t="s">
        <v>28</v>
      </c>
      <c r="E10" s="6"/>
      <c r="F10" s="7">
        <v>70897.967999999993</v>
      </c>
      <c r="G10" s="7">
        <v>500</v>
      </c>
      <c r="H10" s="8">
        <v>9.6450096309102236</v>
      </c>
      <c r="I10" s="8">
        <v>15.38163806525562</v>
      </c>
      <c r="J10" s="9">
        <v>9.0346010728883428</v>
      </c>
      <c r="K10" s="9">
        <v>1.0675634212398859</v>
      </c>
      <c r="L10" s="9">
        <v>0.62704697575068946</v>
      </c>
      <c r="M10" s="9">
        <v>0.58736273955736207</v>
      </c>
      <c r="N10" s="9">
        <v>0.62704697575068946</v>
      </c>
      <c r="O10" s="8">
        <f t="shared" si="0"/>
        <v>0</v>
      </c>
    </row>
    <row r="11" spans="1:15" x14ac:dyDescent="0.25">
      <c r="A11" s="2" t="s">
        <v>26</v>
      </c>
      <c r="B11" s="2" t="s">
        <v>22</v>
      </c>
      <c r="C11" s="2" t="s">
        <v>26</v>
      </c>
      <c r="D11" s="2" t="s">
        <v>29</v>
      </c>
      <c r="E11" s="2"/>
      <c r="F11" s="3">
        <v>70897.967999999993</v>
      </c>
      <c r="G11" s="3">
        <v>500</v>
      </c>
      <c r="H11" s="4">
        <v>52.369259229239383</v>
      </c>
      <c r="I11" s="4">
        <v>34.369607282462553</v>
      </c>
      <c r="J11" s="5">
        <v>52.200799902211457</v>
      </c>
      <c r="K11" s="5">
        <v>1.003227140720899</v>
      </c>
      <c r="L11" s="5">
        <v>1.523708397330491</v>
      </c>
      <c r="M11" s="5">
        <v>1.5188069934347921</v>
      </c>
      <c r="N11" s="5">
        <v>1.523708397330491</v>
      </c>
      <c r="O11" s="4">
        <f t="shared" si="0"/>
        <v>0</v>
      </c>
    </row>
    <row r="12" spans="1:15" x14ac:dyDescent="0.25">
      <c r="A12" s="6" t="s">
        <v>26</v>
      </c>
      <c r="B12" s="6" t="s">
        <v>22</v>
      </c>
      <c r="C12" s="6" t="s">
        <v>26</v>
      </c>
      <c r="D12" s="6" t="s">
        <v>30</v>
      </c>
      <c r="E12" s="6"/>
      <c r="F12" s="7">
        <v>70897.967999999993</v>
      </c>
      <c r="G12" s="7">
        <v>500</v>
      </c>
      <c r="H12" s="8">
        <v>2.075728659925363</v>
      </c>
      <c r="I12" s="8">
        <v>2.0800306738934018</v>
      </c>
      <c r="J12" s="9">
        <v>2.0202350232601409</v>
      </c>
      <c r="K12" s="9">
        <v>1.027468901403199</v>
      </c>
      <c r="L12" s="9">
        <v>0.99793175455437577</v>
      </c>
      <c r="M12" s="9">
        <v>0.97125251498270682</v>
      </c>
      <c r="N12" s="9">
        <v>0.99793175455437577</v>
      </c>
      <c r="O12" s="8">
        <f t="shared" si="0"/>
        <v>0</v>
      </c>
    </row>
    <row r="13" spans="1:15" x14ac:dyDescent="0.25">
      <c r="A13" s="2" t="s">
        <v>26</v>
      </c>
      <c r="B13" s="2" t="s">
        <v>22</v>
      </c>
      <c r="C13" s="2" t="s">
        <v>26</v>
      </c>
      <c r="D13" s="2" t="s">
        <v>31</v>
      </c>
      <c r="E13" s="2"/>
      <c r="F13" s="3">
        <v>70897.967999999993</v>
      </c>
      <c r="G13" s="3">
        <v>500</v>
      </c>
      <c r="H13" s="4">
        <v>2.2394545278617329E-2</v>
      </c>
      <c r="I13" s="4">
        <v>2.255016420855388E-2</v>
      </c>
      <c r="J13" s="5">
        <v>9.4564571382924276E-2</v>
      </c>
      <c r="K13" s="5">
        <v>0.23681749889114559</v>
      </c>
      <c r="L13" s="5">
        <v>0.99309898905846905</v>
      </c>
      <c r="M13" s="5">
        <v>4.1935203002669672</v>
      </c>
      <c r="N13" s="5">
        <v>0.99309898905846905</v>
      </c>
      <c r="O13" s="4">
        <f t="shared" si="0"/>
        <v>0</v>
      </c>
    </row>
    <row r="14" spans="1:15" x14ac:dyDescent="0.25">
      <c r="A14" s="6" t="s">
        <v>32</v>
      </c>
      <c r="B14" s="6" t="s">
        <v>22</v>
      </c>
      <c r="C14" s="6" t="s">
        <v>32</v>
      </c>
      <c r="D14" s="6" t="s">
        <v>33</v>
      </c>
      <c r="E14" s="6"/>
      <c r="F14" s="7">
        <v>73081.161111111112</v>
      </c>
      <c r="G14" s="7">
        <v>720</v>
      </c>
      <c r="H14" s="8">
        <v>3.95437869378283</v>
      </c>
      <c r="I14" s="8">
        <v>4.8961448107398002</v>
      </c>
      <c r="J14" s="9">
        <v>4.2436900263476707</v>
      </c>
      <c r="K14" s="9">
        <v>0.93182552665991103</v>
      </c>
      <c r="L14" s="9">
        <v>0.80765149860535457</v>
      </c>
      <c r="M14" s="9">
        <v>0.8667411178360257</v>
      </c>
      <c r="N14" s="9">
        <v>0.8667411178360257</v>
      </c>
      <c r="O14" s="8">
        <f t="shared" si="0"/>
        <v>5.9089619230671131E-2</v>
      </c>
    </row>
    <row r="15" spans="1:15" x14ac:dyDescent="0.25">
      <c r="A15" s="2" t="s">
        <v>32</v>
      </c>
      <c r="B15" s="2" t="s">
        <v>22</v>
      </c>
      <c r="C15" s="2" t="s">
        <v>32</v>
      </c>
      <c r="D15" s="2" t="s">
        <v>34</v>
      </c>
      <c r="E15" s="2"/>
      <c r="F15" s="3">
        <v>73081.161111111112</v>
      </c>
      <c r="G15" s="3">
        <v>720</v>
      </c>
      <c r="H15" s="4">
        <v>0.35748116980416722</v>
      </c>
      <c r="I15" s="4">
        <v>1.392239359399861</v>
      </c>
      <c r="J15" s="5">
        <v>0.95684339309926825</v>
      </c>
      <c r="K15" s="5">
        <v>0.37360468012039683</v>
      </c>
      <c r="L15" s="5">
        <v>0.25676703319051641</v>
      </c>
      <c r="M15" s="5">
        <v>0.68726931661501489</v>
      </c>
      <c r="N15" s="5">
        <v>0.687269316615015</v>
      </c>
      <c r="O15" s="4">
        <f t="shared" si="0"/>
        <v>0.43050228342449859</v>
      </c>
    </row>
    <row r="16" spans="1:15" x14ac:dyDescent="0.25">
      <c r="A16" s="6" t="s">
        <v>32</v>
      </c>
      <c r="B16" s="6" t="s">
        <v>22</v>
      </c>
      <c r="C16" s="6" t="s">
        <v>32</v>
      </c>
      <c r="D16" s="6" t="s">
        <v>35</v>
      </c>
      <c r="E16" s="6"/>
      <c r="F16" s="7">
        <v>73081.161111111112</v>
      </c>
      <c r="G16" s="7">
        <v>720</v>
      </c>
      <c r="H16" s="8">
        <v>1.05270874679699</v>
      </c>
      <c r="I16" s="8">
        <v>2.1468383775846411</v>
      </c>
      <c r="J16" s="9">
        <v>2.3687390574386078</v>
      </c>
      <c r="K16" s="9">
        <v>0.4444173550865147</v>
      </c>
      <c r="L16" s="9">
        <v>0.49035305022885262</v>
      </c>
      <c r="M16" s="9">
        <v>1.10336161406972</v>
      </c>
      <c r="N16" s="9">
        <v>1.10336161406972</v>
      </c>
      <c r="O16" s="8">
        <f t="shared" si="0"/>
        <v>0.61300856384086733</v>
      </c>
    </row>
    <row r="17" spans="1:15" x14ac:dyDescent="0.25">
      <c r="A17" s="2" t="s">
        <v>32</v>
      </c>
      <c r="B17" s="2" t="s">
        <v>22</v>
      </c>
      <c r="C17" s="2" t="s">
        <v>32</v>
      </c>
      <c r="D17" s="2" t="s">
        <v>36</v>
      </c>
      <c r="E17" s="2"/>
      <c r="F17" s="3">
        <v>73081.161111111112</v>
      </c>
      <c r="G17" s="3">
        <v>720</v>
      </c>
      <c r="H17" s="4">
        <v>2.6955578756563252</v>
      </c>
      <c r="I17" s="4">
        <v>5.2902357930284678</v>
      </c>
      <c r="J17" s="5">
        <v>3.2331502412171269</v>
      </c>
      <c r="K17" s="5">
        <v>0.8337249043649686</v>
      </c>
      <c r="L17" s="5">
        <v>0.50953454271519638</v>
      </c>
      <c r="M17" s="5">
        <v>0.61115427888447038</v>
      </c>
      <c r="N17" s="5">
        <v>0.61115427888447005</v>
      </c>
      <c r="O17" s="4">
        <f t="shared" si="0"/>
        <v>0.10161973616927367</v>
      </c>
    </row>
    <row r="18" spans="1:15" x14ac:dyDescent="0.25">
      <c r="A18" s="6" t="s">
        <v>32</v>
      </c>
      <c r="B18" s="6" t="s">
        <v>22</v>
      </c>
      <c r="C18" s="6" t="s">
        <v>32</v>
      </c>
      <c r="D18" s="6" t="s">
        <v>37</v>
      </c>
      <c r="E18" s="6"/>
      <c r="F18" s="7">
        <v>73081.161111111112</v>
      </c>
      <c r="G18" s="7">
        <v>720</v>
      </c>
      <c r="H18" s="8">
        <v>21.397357111514818</v>
      </c>
      <c r="I18" s="8">
        <v>68.676550636144782</v>
      </c>
      <c r="J18" s="9">
        <v>45.039181046444568</v>
      </c>
      <c r="K18" s="9">
        <v>0.47508317456860027</v>
      </c>
      <c r="L18" s="9">
        <v>0.31156714938815361</v>
      </c>
      <c r="M18" s="9">
        <v>0.65581600457871925</v>
      </c>
      <c r="N18" s="9">
        <v>0.65581600457871925</v>
      </c>
      <c r="O18" s="8">
        <f t="shared" si="0"/>
        <v>0.34424885519056564</v>
      </c>
    </row>
    <row r="19" spans="1:15" x14ac:dyDescent="0.25">
      <c r="A19" s="2" t="s">
        <v>32</v>
      </c>
      <c r="B19" s="2" t="s">
        <v>22</v>
      </c>
      <c r="C19" s="2" t="s">
        <v>32</v>
      </c>
      <c r="D19" s="2" t="s">
        <v>40</v>
      </c>
      <c r="E19" s="2"/>
      <c r="F19" s="3">
        <v>73081.161111111112</v>
      </c>
      <c r="G19" s="3">
        <v>720</v>
      </c>
      <c r="H19" s="4">
        <v>1.432072910324157</v>
      </c>
      <c r="I19" s="4">
        <v>1.856929167221719</v>
      </c>
      <c r="J19" s="5">
        <v>4.0712963033971619</v>
      </c>
      <c r="K19" s="5">
        <v>0.35174863326189493</v>
      </c>
      <c r="L19" s="5">
        <v>0.77120492025378706</v>
      </c>
      <c r="M19" s="5">
        <v>2.192488747154806</v>
      </c>
      <c r="N19" s="5">
        <v>1</v>
      </c>
      <c r="O19" s="4">
        <f t="shared" si="0"/>
        <v>0.22879507974621294</v>
      </c>
    </row>
    <row r="20" spans="1:15" x14ac:dyDescent="0.25">
      <c r="A20" s="6" t="s">
        <v>32</v>
      </c>
      <c r="B20" s="6" t="s">
        <v>22</v>
      </c>
      <c r="C20" s="6" t="s">
        <v>32</v>
      </c>
      <c r="D20" s="6" t="s">
        <v>41</v>
      </c>
      <c r="E20" s="6"/>
      <c r="F20" s="7">
        <v>73081.161111111112</v>
      </c>
      <c r="G20" s="7">
        <v>720</v>
      </c>
      <c r="H20" s="8">
        <v>6.3216737506663883</v>
      </c>
      <c r="I20" s="8">
        <v>6.4243971620728022</v>
      </c>
      <c r="J20" s="9">
        <v>18.438371226405462</v>
      </c>
      <c r="K20" s="9">
        <v>0.3428542398372566</v>
      </c>
      <c r="L20" s="9">
        <v>0.98401042015072571</v>
      </c>
      <c r="M20" s="9">
        <v>2.8700546932650099</v>
      </c>
      <c r="N20" s="9">
        <v>1</v>
      </c>
      <c r="O20" s="8">
        <f t="shared" si="0"/>
        <v>1.5989579849274294E-2</v>
      </c>
    </row>
  </sheetData>
  <autoFilter ref="A2:O20" xr:uid="{00000000-0009-0000-0000-000003000000}"/>
  <mergeCells count="1">
    <mergeCell ref="A1:O1"/>
  </mergeCells>
  <conditionalFormatting sqref="G3:G20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3:K20">
    <cfRule type="colorScale" priority="3">
      <colorScale>
        <cfvo type="num" val="0.6"/>
        <cfvo type="num" val="1"/>
        <cfvo type="num" val="1.4"/>
        <color rgb="FFF8696B"/>
        <color rgb="FFFFFFFF"/>
        <color rgb="FF63BE7B"/>
      </colorScale>
    </cfRule>
  </conditionalFormatting>
  <conditionalFormatting sqref="O3:O20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STACR</vt:lpstr>
      <vt:lpstr>CAS</vt:lpstr>
      <vt:lpstr>JUMBO</vt:lpstr>
      <vt:lpstr>NONQM</vt:lpstr>
      <vt:lpstr>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Zeng</cp:lastModifiedBy>
  <dcterms:created xsi:type="dcterms:W3CDTF">2026-02-03T19:10:14Z</dcterms:created>
  <dcterms:modified xsi:type="dcterms:W3CDTF">2026-02-10T14:20:45Z</dcterms:modified>
</cp:coreProperties>
</file>