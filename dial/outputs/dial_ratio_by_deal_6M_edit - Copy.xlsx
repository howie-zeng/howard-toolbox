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zeng\Desktop\howard-toolbox\dial\outputs\"/>
    </mc:Choice>
  </mc:AlternateContent>
  <xr:revisionPtr revIDLastSave="0" documentId="13_ncr:1_{1DBAC1AD-303F-45B1-9E0E-EB2ED417995A}" xr6:coauthVersionLast="47" xr6:coauthVersionMax="47" xr10:uidLastSave="{00000000-0000-0000-0000-000000000000}"/>
  <bookViews>
    <workbookView xWindow="10275" yWindow="-21750" windowWidth="49725" windowHeight="21285" activeTab="2" xr2:uid="{00000000-000D-0000-FFFF-FFFF00000000}"/>
  </bookViews>
  <sheets>
    <sheet name="STACR" sheetId="1" r:id="rId1"/>
    <sheet name="CAS" sheetId="2" r:id="rId2"/>
    <sheet name="NONQM" sheetId="5" r:id="rId3"/>
  </sheets>
  <definedNames>
    <definedName name="_xlnm._FilterDatabase" localSheetId="1" hidden="1">CAS!$A$2:$G$32</definedName>
    <definedName name="_xlnm._FilterDatabase" localSheetId="2" hidden="1">NONQM!$A$2:$G$42</definedName>
    <definedName name="_xlnm._FilterDatabase" localSheetId="0" hidden="1">STACR!$A$2:$G$35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G24" i="2"/>
  <c r="G23" i="2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3" i="5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6" i="2"/>
  <c r="G27" i="2"/>
  <c r="G28" i="2"/>
  <c r="G29" i="2"/>
  <c r="G30" i="2"/>
  <c r="G31" i="2"/>
  <c r="G32" i="2"/>
  <c r="G3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" i="1"/>
</calcChain>
</file>

<file path=xl/sharedStrings.xml><?xml version="1.0" encoding="utf-8"?>
<sst xmlns="http://schemas.openxmlformats.org/spreadsheetml/2006/main" count="329" uniqueCount="66">
  <si>
    <t>STACR</t>
  </si>
  <si>
    <t>Bucket_Type</t>
  </si>
  <si>
    <t>Status</t>
  </si>
  <si>
    <t>Transition</t>
  </si>
  <si>
    <t>Loan Num</t>
  </si>
  <si>
    <t>Current_Dial</t>
  </si>
  <si>
    <t>Dial Diff (New - Current)</t>
  </si>
  <si>
    <t>All Current</t>
  </si>
  <si>
    <t>CtM30</t>
  </si>
  <si>
    <t>M30</t>
  </si>
  <si>
    <t>STATUS</t>
  </si>
  <si>
    <t>M30tC</t>
  </si>
  <si>
    <t>M30tM60</t>
  </si>
  <si>
    <t>M30tP</t>
  </si>
  <si>
    <t>M60</t>
  </si>
  <si>
    <t>M60tC</t>
  </si>
  <si>
    <t>M60tM30</t>
  </si>
  <si>
    <t>M60tM90</t>
  </si>
  <si>
    <t>M60tP</t>
  </si>
  <si>
    <t>M60tD</t>
  </si>
  <si>
    <t>M90P</t>
  </si>
  <si>
    <t>M90PtC</t>
  </si>
  <si>
    <t>M90PtM30</t>
  </si>
  <si>
    <t>M90PtM60</t>
  </si>
  <si>
    <t>M90PtB</t>
  </si>
  <si>
    <t>M90PtW</t>
  </si>
  <si>
    <t>M90PtM270P</t>
  </si>
  <si>
    <t>M90PtFCLS</t>
  </si>
  <si>
    <t>M90PtP</t>
  </si>
  <si>
    <t>M90PtD</t>
  </si>
  <si>
    <t>M270P</t>
  </si>
  <si>
    <t>M270PtC</t>
  </si>
  <si>
    <t>M270PtM30</t>
  </si>
  <si>
    <t>M270PtM240</t>
  </si>
  <si>
    <t>M270PtM270P</t>
  </si>
  <si>
    <t>M270PtFCLS</t>
  </si>
  <si>
    <t>M270PtP</t>
  </si>
  <si>
    <t>M270PtD</t>
  </si>
  <si>
    <t>FCLS</t>
  </si>
  <si>
    <t>FCLStC</t>
  </si>
  <si>
    <t>FCLStB</t>
  </si>
  <si>
    <t>FCLStREO</t>
  </si>
  <si>
    <t>FCLStD</t>
  </si>
  <si>
    <t>REO</t>
  </si>
  <si>
    <t>REOtD</t>
  </si>
  <si>
    <t>CAS</t>
  </si>
  <si>
    <t>C</t>
  </si>
  <si>
    <t>DOCTYPE-1YDoc</t>
  </si>
  <si>
    <t>DOCTYPE-2YDoc</t>
  </si>
  <si>
    <t>DOCTYPE-BankStatement</t>
  </si>
  <si>
    <t>DOCTYPE-CPA</t>
  </si>
  <si>
    <t>DOCTYPE-DSCR</t>
  </si>
  <si>
    <t>DOCTYPE-FULL</t>
  </si>
  <si>
    <t>DOCTYPE-Investor</t>
  </si>
  <si>
    <t>DOCTYPE-Other</t>
  </si>
  <si>
    <t>DOCTYPE-VOE</t>
  </si>
  <si>
    <t>Refi</t>
  </si>
  <si>
    <t>Turn</t>
  </si>
  <si>
    <t>CC</t>
  </si>
  <si>
    <t>DC</t>
  </si>
  <si>
    <t>From</t>
  </si>
  <si>
    <t>CtoP</t>
  </si>
  <si>
    <t>NQM</t>
  </si>
  <si>
    <t>CtoM30</t>
  </si>
  <si>
    <t>V2 Dial</t>
  </si>
  <si>
    <t>Dial Diff (V2 - 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</si>
</sst>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CE9178"/>
      <name val="Consolas"/>
      <family val="3"/>
    </font>
    <font>
      <sz val="11"/>
      <color theme="1"/>
      <name val="Calibri"/>
      <family val="2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7F7F7"/>
      </patternFill>
    </fill>
    <fill>
      <patternFill patternType="solid">
        <fgColor rgb="FFFFEB9C"/>
      </patternFill>
    </fill>
    <fill>
      <patternFill patternType="solid">
        <fgColor rgb="FF305496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3" fontId="0" fillId="3" borderId="3" xfId="0" applyNumberFormat="1" applyFill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0" fontId="2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4" fillId="4" borderId="1" xfId="1" applyNumberFormat="1" applyBorder="1" applyAlignment="1">
      <alignment horizontal="right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="145" zoomScaleNormal="145" workbookViewId="0">
      <pane ySplit="2" topLeftCell="A3" activePane="bottomLeft" state="frozen"/>
      <selection pane="bottomLeft" activeCell="F9" sqref="F9"/>
    </sheetView>
  </sheetViews>
  <sheetFormatPr defaultRowHeight="15" x14ac:dyDescent="0.25"/>
  <cols>
    <col min="1" max="1" width="16.85546875" bestFit="1" customWidth="1"/>
    <col min="2" max="2" width="11" bestFit="1" customWidth="1"/>
    <col min="3" max="4" width="14.42578125" bestFit="1" customWidth="1"/>
    <col min="5" max="5" width="16.7109375" bestFit="1" customWidth="1"/>
    <col min="6" max="6" width="18.5703125" customWidth="1"/>
    <col min="7" max="7" width="25" bestFit="1" customWidth="1"/>
  </cols>
  <sheetData>
    <row r="1" spans="1:7" x14ac:dyDescent="0.25">
      <c r="A1" s="15" t="s">
        <v>0</v>
      </c>
      <c r="B1" s="15"/>
      <c r="C1" s="15"/>
      <c r="D1" s="15"/>
      <c r="E1" s="15"/>
      <c r="F1" s="15"/>
      <c r="G1" s="16"/>
    </row>
    <row r="2" spans="1:7" x14ac:dyDescent="0.25">
      <c r="A2" s="1" t="s">
        <v>1</v>
      </c>
      <c r="B2" s="1" t="s">
        <v>60</v>
      </c>
      <c r="C2" s="1" t="s">
        <v>3</v>
      </c>
      <c r="D2" s="1" t="s">
        <v>4</v>
      </c>
      <c r="E2" s="1" t="s">
        <v>5</v>
      </c>
      <c r="F2" s="1" t="s">
        <v>64</v>
      </c>
      <c r="G2" s="1" t="s">
        <v>65</v>
      </c>
    </row>
    <row r="3" spans="1:7" x14ac:dyDescent="0.25">
      <c r="A3" s="2" t="s">
        <v>57</v>
      </c>
      <c r="B3" s="2" t="s">
        <v>7</v>
      </c>
      <c r="C3" s="2"/>
      <c r="D3" s="3">
        <v>250000</v>
      </c>
      <c r="E3" s="5">
        <v>0.86212922230984146</v>
      </c>
      <c r="F3" s="11">
        <v>0.95899999999999996</v>
      </c>
      <c r="G3" s="4">
        <f t="shared" ref="G3:G35" si="0">F3-E3</f>
        <v>9.6870777690158505E-2</v>
      </c>
    </row>
    <row r="4" spans="1:7" x14ac:dyDescent="0.25">
      <c r="A4" s="2" t="s">
        <v>56</v>
      </c>
      <c r="B4" s="2" t="s">
        <v>7</v>
      </c>
      <c r="C4" s="2"/>
      <c r="D4" s="3">
        <v>250000</v>
      </c>
      <c r="E4" s="5">
        <v>0.86212922230984146</v>
      </c>
      <c r="F4" s="11">
        <v>1.75</v>
      </c>
      <c r="G4" s="4">
        <f t="shared" si="0"/>
        <v>0.88787077769015854</v>
      </c>
    </row>
    <row r="5" spans="1:7" x14ac:dyDescent="0.25">
      <c r="A5" s="6" t="s">
        <v>58</v>
      </c>
      <c r="B5" s="6" t="s">
        <v>58</v>
      </c>
      <c r="C5" s="6" t="s">
        <v>63</v>
      </c>
      <c r="D5" s="7">
        <v>250000</v>
      </c>
      <c r="E5" s="8">
        <v>1.194505303873032</v>
      </c>
      <c r="F5" s="11">
        <v>1.2090000000000001</v>
      </c>
      <c r="G5" s="4">
        <f t="shared" si="0"/>
        <v>1.4494696126968076E-2</v>
      </c>
    </row>
    <row r="6" spans="1:7" x14ac:dyDescent="0.25">
      <c r="A6" s="6" t="s">
        <v>59</v>
      </c>
      <c r="B6" s="6" t="s">
        <v>59</v>
      </c>
      <c r="C6" s="6" t="s">
        <v>63</v>
      </c>
      <c r="D6" s="7">
        <v>250000</v>
      </c>
      <c r="E6" s="8">
        <v>1.194505303873032</v>
      </c>
      <c r="F6" s="11">
        <v>0.76900000000000002</v>
      </c>
      <c r="G6" s="4">
        <f t="shared" si="0"/>
        <v>-0.42550530387303198</v>
      </c>
    </row>
    <row r="7" spans="1:7" x14ac:dyDescent="0.25">
      <c r="A7" s="2" t="s">
        <v>10</v>
      </c>
      <c r="B7" s="2" t="s">
        <v>9</v>
      </c>
      <c r="C7" s="2" t="s">
        <v>11</v>
      </c>
      <c r="D7" s="3">
        <v>65363</v>
      </c>
      <c r="E7" s="5">
        <v>0.78783123830167434</v>
      </c>
      <c r="F7" s="5">
        <v>0.81100000000000005</v>
      </c>
      <c r="G7" s="4">
        <f t="shared" si="0"/>
        <v>2.3168761698325713E-2</v>
      </c>
    </row>
    <row r="8" spans="1:7" x14ac:dyDescent="0.25">
      <c r="A8" s="6" t="s">
        <v>10</v>
      </c>
      <c r="B8" s="6" t="s">
        <v>9</v>
      </c>
      <c r="C8" s="6" t="s">
        <v>12</v>
      </c>
      <c r="D8" s="7">
        <v>65363</v>
      </c>
      <c r="E8" s="8">
        <v>1.453172361404018</v>
      </c>
      <c r="F8" s="8">
        <v>1.3151039891753</v>
      </c>
      <c r="G8" s="4">
        <f t="shared" si="0"/>
        <v>-0.13806837222871793</v>
      </c>
    </row>
    <row r="9" spans="1:7" x14ac:dyDescent="0.25">
      <c r="A9" s="2" t="s">
        <v>10</v>
      </c>
      <c r="B9" s="2" t="s">
        <v>9</v>
      </c>
      <c r="C9" s="2" t="s">
        <v>13</v>
      </c>
      <c r="D9" s="3">
        <v>65363</v>
      </c>
      <c r="E9" s="5">
        <v>0.58913122925242201</v>
      </c>
      <c r="F9" s="5">
        <v>0.68899999999999995</v>
      </c>
      <c r="G9" s="4">
        <f t="shared" si="0"/>
        <v>9.986877074757794E-2</v>
      </c>
    </row>
    <row r="10" spans="1:7" x14ac:dyDescent="0.25">
      <c r="A10" s="6" t="s">
        <v>10</v>
      </c>
      <c r="B10" s="6" t="s">
        <v>14</v>
      </c>
      <c r="C10" s="6" t="s">
        <v>15</v>
      </c>
      <c r="D10" s="7">
        <v>18213</v>
      </c>
      <c r="E10" s="8">
        <v>0.90961034143516595</v>
      </c>
      <c r="F10" s="8">
        <v>0.85499999999999998</v>
      </c>
      <c r="G10" s="4">
        <f t="shared" si="0"/>
        <v>-5.4610341435165966E-2</v>
      </c>
    </row>
    <row r="11" spans="1:7" x14ac:dyDescent="0.25">
      <c r="A11" s="2" t="s">
        <v>10</v>
      </c>
      <c r="B11" s="2" t="s">
        <v>14</v>
      </c>
      <c r="C11" s="2" t="s">
        <v>16</v>
      </c>
      <c r="D11" s="3">
        <v>18213</v>
      </c>
      <c r="E11" s="5">
        <v>1.0003164373471489</v>
      </c>
      <c r="F11" s="5">
        <v>1.0309999999999999</v>
      </c>
      <c r="G11" s="4">
        <f t="shared" si="0"/>
        <v>3.0683562652850993E-2</v>
      </c>
    </row>
    <row r="12" spans="1:7" x14ac:dyDescent="0.25">
      <c r="A12" s="6" t="s">
        <v>10</v>
      </c>
      <c r="B12" s="6" t="s">
        <v>14</v>
      </c>
      <c r="C12" s="6" t="s">
        <v>17</v>
      </c>
      <c r="D12" s="7">
        <v>18213</v>
      </c>
      <c r="E12" s="8">
        <v>0.99965022176862761</v>
      </c>
      <c r="F12" s="8">
        <v>1.0309999999999999</v>
      </c>
      <c r="G12" s="4">
        <f t="shared" si="0"/>
        <v>3.1349778231372305E-2</v>
      </c>
    </row>
    <row r="13" spans="1:7" x14ac:dyDescent="0.25">
      <c r="A13" s="2" t="s">
        <v>10</v>
      </c>
      <c r="B13" s="2" t="s">
        <v>14</v>
      </c>
      <c r="C13" s="2" t="s">
        <v>18</v>
      </c>
      <c r="D13" s="3">
        <v>18213</v>
      </c>
      <c r="E13" s="5">
        <v>1.241082438186017</v>
      </c>
      <c r="F13" s="5">
        <v>1.2290000000000001</v>
      </c>
      <c r="G13" s="4">
        <f t="shared" si="0"/>
        <v>-1.2082438186016953E-2</v>
      </c>
    </row>
    <row r="14" spans="1:7" x14ac:dyDescent="0.25">
      <c r="A14" s="6" t="s">
        <v>10</v>
      </c>
      <c r="B14" s="6" t="s">
        <v>14</v>
      </c>
      <c r="C14" s="6" t="s">
        <v>19</v>
      </c>
      <c r="D14" s="7">
        <v>18213</v>
      </c>
      <c r="E14" s="8">
        <v>0.62024862149950322</v>
      </c>
      <c r="F14" s="8">
        <v>0.39300000000000002</v>
      </c>
      <c r="G14" s="4">
        <f t="shared" si="0"/>
        <v>-0.2272486214995032</v>
      </c>
    </row>
    <row r="15" spans="1:7" x14ac:dyDescent="0.25">
      <c r="A15" s="2" t="s">
        <v>10</v>
      </c>
      <c r="B15" s="2" t="s">
        <v>20</v>
      </c>
      <c r="C15" s="2" t="s">
        <v>21</v>
      </c>
      <c r="D15" s="3">
        <v>22578</v>
      </c>
      <c r="E15" s="5">
        <v>1.1027115790122339</v>
      </c>
      <c r="F15" s="5">
        <v>1.022</v>
      </c>
      <c r="G15" s="4">
        <f t="shared" si="0"/>
        <v>-8.0711579012233914E-2</v>
      </c>
    </row>
    <row r="16" spans="1:7" x14ac:dyDescent="0.25">
      <c r="A16" s="6" t="s">
        <v>10</v>
      </c>
      <c r="B16" s="6" t="s">
        <v>20</v>
      </c>
      <c r="C16" s="6" t="s">
        <v>22</v>
      </c>
      <c r="D16" s="7">
        <v>22578</v>
      </c>
      <c r="E16" s="8">
        <v>1.1064932541760799</v>
      </c>
      <c r="F16" s="8">
        <v>1.099</v>
      </c>
      <c r="G16" s="4">
        <f t="shared" si="0"/>
        <v>-7.4932541760799332E-3</v>
      </c>
    </row>
    <row r="17" spans="1:7" x14ac:dyDescent="0.25">
      <c r="A17" s="2" t="s">
        <v>10</v>
      </c>
      <c r="B17" s="2" t="s">
        <v>20</v>
      </c>
      <c r="C17" s="2" t="s">
        <v>23</v>
      </c>
      <c r="D17" s="3">
        <v>22578</v>
      </c>
      <c r="E17" s="5">
        <v>0.96671086196458822</v>
      </c>
      <c r="F17" s="5">
        <v>0.97</v>
      </c>
      <c r="G17" s="4">
        <f t="shared" si="0"/>
        <v>3.2891380354117539E-3</v>
      </c>
    </row>
    <row r="18" spans="1:7" x14ac:dyDescent="0.25">
      <c r="A18" s="6" t="s">
        <v>10</v>
      </c>
      <c r="B18" s="6" t="s">
        <v>20</v>
      </c>
      <c r="C18" s="6" t="s">
        <v>24</v>
      </c>
      <c r="D18" s="7">
        <v>22578</v>
      </c>
      <c r="E18" s="8">
        <v>0.99739489748299182</v>
      </c>
      <c r="F18" s="8">
        <v>0.86543611129386899</v>
      </c>
      <c r="G18" s="4">
        <f t="shared" si="0"/>
        <v>-0.13195878618912282</v>
      </c>
    </row>
    <row r="19" spans="1:7" x14ac:dyDescent="0.25">
      <c r="A19" s="2" t="s">
        <v>10</v>
      </c>
      <c r="B19" s="2" t="s">
        <v>20</v>
      </c>
      <c r="C19" s="2" t="s">
        <v>25</v>
      </c>
      <c r="D19" s="3">
        <v>22578</v>
      </c>
      <c r="E19" s="5">
        <v>0.92299111273003953</v>
      </c>
      <c r="F19" s="5">
        <v>0.92900000000000005</v>
      </c>
      <c r="G19" s="4">
        <f t="shared" si="0"/>
        <v>6.0088872699605167E-3</v>
      </c>
    </row>
    <row r="20" spans="1:7" x14ac:dyDescent="0.25">
      <c r="A20" s="6" t="s">
        <v>10</v>
      </c>
      <c r="B20" s="6" t="s">
        <v>20</v>
      </c>
      <c r="C20" s="6" t="s">
        <v>26</v>
      </c>
      <c r="D20" s="7">
        <v>22578</v>
      </c>
      <c r="E20" s="8">
        <v>0.92307089104182338</v>
      </c>
      <c r="F20" s="8">
        <v>0.92900000000000005</v>
      </c>
      <c r="G20" s="4">
        <f t="shared" si="0"/>
        <v>5.9291089581766654E-3</v>
      </c>
    </row>
    <row r="21" spans="1:7" x14ac:dyDescent="0.25">
      <c r="A21" s="2" t="s">
        <v>10</v>
      </c>
      <c r="B21" s="2" t="s">
        <v>20</v>
      </c>
      <c r="C21" s="2" t="s">
        <v>27</v>
      </c>
      <c r="D21" s="3">
        <v>22578</v>
      </c>
      <c r="E21" s="5">
        <v>1.3516255954818159</v>
      </c>
      <c r="F21" s="5">
        <v>1.7077763791853799</v>
      </c>
      <c r="G21" s="4">
        <f t="shared" si="0"/>
        <v>0.35615078370356401</v>
      </c>
    </row>
    <row r="22" spans="1:7" x14ac:dyDescent="0.25">
      <c r="A22" s="6" t="s">
        <v>10</v>
      </c>
      <c r="B22" s="6" t="s">
        <v>20</v>
      </c>
      <c r="C22" s="6" t="s">
        <v>28</v>
      </c>
      <c r="D22" s="7">
        <v>22578</v>
      </c>
      <c r="E22" s="8">
        <v>1.243178685922967</v>
      </c>
      <c r="F22" s="8">
        <v>1.3527183415034301</v>
      </c>
      <c r="G22" s="4">
        <f t="shared" si="0"/>
        <v>0.10953965558046308</v>
      </c>
    </row>
    <row r="23" spans="1:7" x14ac:dyDescent="0.25">
      <c r="A23" s="2" t="s">
        <v>10</v>
      </c>
      <c r="B23" s="2" t="s">
        <v>20</v>
      </c>
      <c r="C23" s="2" t="s">
        <v>29</v>
      </c>
      <c r="D23" s="3">
        <v>22578</v>
      </c>
      <c r="E23" s="5">
        <v>1.6229757349056171</v>
      </c>
      <c r="F23" s="5">
        <v>0.96399999999999997</v>
      </c>
      <c r="G23" s="4">
        <f t="shared" si="0"/>
        <v>-0.65897573490561712</v>
      </c>
    </row>
    <row r="24" spans="1:7" x14ac:dyDescent="0.25">
      <c r="A24" s="6" t="s">
        <v>10</v>
      </c>
      <c r="B24" s="6" t="s">
        <v>30</v>
      </c>
      <c r="C24" s="6" t="s">
        <v>31</v>
      </c>
      <c r="D24" s="7">
        <v>4512</v>
      </c>
      <c r="E24" s="8">
        <v>0.96700690225098695</v>
      </c>
      <c r="F24" s="13">
        <v>1.037946497645944</v>
      </c>
      <c r="G24" s="4">
        <f t="shared" si="0"/>
        <v>7.0939595394957089E-2</v>
      </c>
    </row>
    <row r="25" spans="1:7" x14ac:dyDescent="0.25">
      <c r="A25" s="2" t="s">
        <v>10</v>
      </c>
      <c r="B25" s="2" t="s">
        <v>30</v>
      </c>
      <c r="C25" s="2" t="s">
        <v>32</v>
      </c>
      <c r="D25" s="3">
        <v>4512</v>
      </c>
      <c r="E25" s="5">
        <v>0.81988868832238204</v>
      </c>
      <c r="F25" s="12">
        <v>0.66143958184359597</v>
      </c>
      <c r="G25" s="4">
        <f t="shared" si="0"/>
        <v>-0.15844910647878607</v>
      </c>
    </row>
    <row r="26" spans="1:7" x14ac:dyDescent="0.25">
      <c r="A26" s="6" t="s">
        <v>10</v>
      </c>
      <c r="B26" s="6" t="s">
        <v>30</v>
      </c>
      <c r="C26" s="6" t="s">
        <v>33</v>
      </c>
      <c r="D26" s="7">
        <v>4512</v>
      </c>
      <c r="E26" s="8">
        <v>0.8346374853627172</v>
      </c>
      <c r="F26" s="13">
        <v>0.90614298608598054</v>
      </c>
      <c r="G26" s="4">
        <f t="shared" si="0"/>
        <v>7.1505500723263338E-2</v>
      </c>
    </row>
    <row r="27" spans="1:7" x14ac:dyDescent="0.25">
      <c r="A27" s="2" t="s">
        <v>10</v>
      </c>
      <c r="B27" s="2" t="s">
        <v>30</v>
      </c>
      <c r="C27" s="2" t="s">
        <v>34</v>
      </c>
      <c r="D27" s="3">
        <v>4512</v>
      </c>
      <c r="E27" s="5">
        <v>0.98843923233498565</v>
      </c>
      <c r="F27" s="12">
        <v>0.93827158832211799</v>
      </c>
      <c r="G27" s="4">
        <f t="shared" si="0"/>
        <v>-5.0167644012867663E-2</v>
      </c>
    </row>
    <row r="28" spans="1:7" x14ac:dyDescent="0.25">
      <c r="A28" s="6" t="s">
        <v>10</v>
      </c>
      <c r="B28" s="6" t="s">
        <v>30</v>
      </c>
      <c r="C28" s="6" t="s">
        <v>35</v>
      </c>
      <c r="D28" s="7">
        <v>4512</v>
      </c>
      <c r="E28" s="8">
        <v>1.350988666075484</v>
      </c>
      <c r="F28" s="13">
        <v>1.487047447193091</v>
      </c>
      <c r="G28" s="4">
        <f t="shared" si="0"/>
        <v>0.13605878111760705</v>
      </c>
    </row>
    <row r="29" spans="1:7" x14ac:dyDescent="0.25">
      <c r="A29" s="2" t="s">
        <v>10</v>
      </c>
      <c r="B29" s="2" t="s">
        <v>30</v>
      </c>
      <c r="C29" s="2" t="s">
        <v>36</v>
      </c>
      <c r="D29" s="3">
        <v>4512</v>
      </c>
      <c r="E29" s="5">
        <v>1.110343176632697</v>
      </c>
      <c r="F29" s="12">
        <v>1.0903969595398</v>
      </c>
      <c r="G29" s="4">
        <f t="shared" si="0"/>
        <v>-1.9946217092897012E-2</v>
      </c>
    </row>
    <row r="30" spans="1:7" x14ac:dyDescent="0.25">
      <c r="A30" s="6" t="s">
        <v>10</v>
      </c>
      <c r="B30" s="6" t="s">
        <v>30</v>
      </c>
      <c r="C30" s="6" t="s">
        <v>37</v>
      </c>
      <c r="D30" s="7">
        <v>4512</v>
      </c>
      <c r="E30" s="8">
        <v>1.6427863217142289</v>
      </c>
      <c r="F30" s="14">
        <v>1.75</v>
      </c>
      <c r="G30" s="4">
        <f t="shared" si="0"/>
        <v>0.10721367828577111</v>
      </c>
    </row>
    <row r="31" spans="1:7" x14ac:dyDescent="0.25">
      <c r="A31" s="2" t="s">
        <v>10</v>
      </c>
      <c r="B31" s="2" t="s">
        <v>38</v>
      </c>
      <c r="C31" s="2" t="s">
        <v>39</v>
      </c>
      <c r="D31" s="3">
        <v>8235</v>
      </c>
      <c r="E31" s="5">
        <v>0.99984812652142507</v>
      </c>
      <c r="F31" s="5">
        <v>0.93856868287683193</v>
      </c>
      <c r="G31" s="4">
        <f t="shared" si="0"/>
        <v>-6.1279443644593146E-2</v>
      </c>
    </row>
    <row r="32" spans="1:7" x14ac:dyDescent="0.25">
      <c r="A32" s="6" t="s">
        <v>10</v>
      </c>
      <c r="B32" s="6" t="s">
        <v>38</v>
      </c>
      <c r="C32" s="6" t="s">
        <v>40</v>
      </c>
      <c r="D32" s="7">
        <v>8235</v>
      </c>
      <c r="E32" s="8">
        <v>1.3509183278571011</v>
      </c>
      <c r="F32" s="8">
        <v>1.1038086071662501</v>
      </c>
      <c r="G32" s="4">
        <f t="shared" si="0"/>
        <v>-0.24710972069085102</v>
      </c>
    </row>
    <row r="33" spans="1:7" x14ac:dyDescent="0.25">
      <c r="A33" s="2" t="s">
        <v>10</v>
      </c>
      <c r="B33" s="2" t="s">
        <v>38</v>
      </c>
      <c r="C33" s="2" t="s">
        <v>41</v>
      </c>
      <c r="D33" s="3">
        <v>8235</v>
      </c>
      <c r="E33" s="5">
        <v>0.71911700001927747</v>
      </c>
      <c r="F33" s="5">
        <v>0.69999925868429502</v>
      </c>
      <c r="G33" s="4">
        <f t="shared" si="0"/>
        <v>-1.9117741334982452E-2</v>
      </c>
    </row>
    <row r="34" spans="1:7" x14ac:dyDescent="0.25">
      <c r="A34" s="6" t="s">
        <v>10</v>
      </c>
      <c r="B34" s="6" t="s">
        <v>38</v>
      </c>
      <c r="C34" s="6" t="s">
        <v>42</v>
      </c>
      <c r="D34" s="7">
        <v>8235</v>
      </c>
      <c r="E34" s="8">
        <v>0.99999300082511844</v>
      </c>
      <c r="F34" s="8">
        <v>1.13868229168991</v>
      </c>
      <c r="G34" s="4">
        <f t="shared" si="0"/>
        <v>0.13868929086479154</v>
      </c>
    </row>
    <row r="35" spans="1:7" x14ac:dyDescent="0.25">
      <c r="A35" s="2" t="s">
        <v>10</v>
      </c>
      <c r="B35" s="2" t="s">
        <v>43</v>
      </c>
      <c r="C35" s="2" t="s">
        <v>44</v>
      </c>
      <c r="D35" s="3">
        <v>1039</v>
      </c>
      <c r="E35" s="5">
        <v>1</v>
      </c>
      <c r="F35" s="5">
        <v>1.1479462828518601</v>
      </c>
      <c r="G35" s="4">
        <f t="shared" si="0"/>
        <v>0.14794628285186007</v>
      </c>
    </row>
  </sheetData>
  <autoFilter ref="A2:G35" xr:uid="{00000000-0009-0000-0000-000000000000}"/>
  <mergeCells count="1">
    <mergeCell ref="A1:G1"/>
  </mergeCells>
  <conditionalFormatting sqref="D3:D35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G3:G35">
    <cfRule type="colorScale" priority="1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zoomScale="145" zoomScaleNormal="145" workbookViewId="0">
      <pane ySplit="2" topLeftCell="A3" activePane="bottomLeft" state="frozen"/>
      <selection pane="bottomLeft" activeCell="K21" sqref="K21"/>
    </sheetView>
  </sheetViews>
  <sheetFormatPr defaultRowHeight="15" x14ac:dyDescent="0.25"/>
  <cols>
    <col min="1" max="1" width="16.85546875" bestFit="1" customWidth="1"/>
    <col min="2" max="2" width="11" bestFit="1" customWidth="1"/>
    <col min="3" max="4" width="14.42578125" bestFit="1" customWidth="1"/>
    <col min="5" max="5" width="16.7109375" bestFit="1" customWidth="1"/>
    <col min="6" max="6" width="18.5703125" customWidth="1"/>
    <col min="7" max="7" width="27.42578125" bestFit="1" customWidth="1"/>
  </cols>
  <sheetData>
    <row r="1" spans="1:7" x14ac:dyDescent="0.25">
      <c r="A1" s="15" t="s">
        <v>45</v>
      </c>
      <c r="B1" s="15"/>
      <c r="C1" s="15"/>
      <c r="D1" s="15"/>
      <c r="E1" s="15"/>
      <c r="F1" s="15"/>
      <c r="G1" s="16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64</v>
      </c>
      <c r="G2" s="1" t="s">
        <v>6</v>
      </c>
    </row>
    <row r="3" spans="1:7" x14ac:dyDescent="0.25">
      <c r="A3" s="2" t="s">
        <v>57</v>
      </c>
      <c r="B3" s="2" t="s">
        <v>7</v>
      </c>
      <c r="C3" s="2"/>
      <c r="D3" s="3">
        <v>250000</v>
      </c>
      <c r="E3" s="5">
        <v>0.86212574269417985</v>
      </c>
      <c r="F3" s="11">
        <v>1.105</v>
      </c>
      <c r="G3" s="4">
        <f t="shared" ref="G3:G32" si="0">F3-E3</f>
        <v>0.24287425730582013</v>
      </c>
    </row>
    <row r="4" spans="1:7" x14ac:dyDescent="0.25">
      <c r="A4" s="2" t="s">
        <v>56</v>
      </c>
      <c r="B4" s="2" t="s">
        <v>7</v>
      </c>
      <c r="C4" s="2"/>
      <c r="D4" s="3">
        <v>250000</v>
      </c>
      <c r="E4" s="5">
        <v>0.86212922230984146</v>
      </c>
      <c r="F4" s="11">
        <v>1.75</v>
      </c>
      <c r="G4" s="4">
        <f t="shared" si="0"/>
        <v>0.88787077769015854</v>
      </c>
    </row>
    <row r="5" spans="1:7" x14ac:dyDescent="0.25">
      <c r="A5" s="6" t="s">
        <v>58</v>
      </c>
      <c r="B5" s="6" t="s">
        <v>58</v>
      </c>
      <c r="C5" s="6" t="s">
        <v>63</v>
      </c>
      <c r="D5" s="7">
        <v>250000</v>
      </c>
      <c r="E5" s="8">
        <v>1.194505303873032</v>
      </c>
      <c r="F5" s="11">
        <v>1.361</v>
      </c>
      <c r="G5" s="4">
        <f t="shared" si="0"/>
        <v>0.16649469612696799</v>
      </c>
    </row>
    <row r="6" spans="1:7" x14ac:dyDescent="0.25">
      <c r="A6" s="6" t="s">
        <v>59</v>
      </c>
      <c r="B6" s="6" t="s">
        <v>59</v>
      </c>
      <c r="C6" s="6" t="s">
        <v>63</v>
      </c>
      <c r="D6" s="7">
        <v>250000</v>
      </c>
      <c r="E6" s="8">
        <v>1.194505303873032</v>
      </c>
      <c r="F6" s="11">
        <v>0.96399999999999997</v>
      </c>
      <c r="G6" s="4">
        <f t="shared" si="0"/>
        <v>-0.23050530387303203</v>
      </c>
    </row>
    <row r="7" spans="1:7" x14ac:dyDescent="0.25">
      <c r="A7" s="2" t="s">
        <v>10</v>
      </c>
      <c r="B7" s="2" t="s">
        <v>9</v>
      </c>
      <c r="C7" s="2" t="s">
        <v>11</v>
      </c>
      <c r="D7" s="3">
        <v>62331</v>
      </c>
      <c r="E7" s="5">
        <v>0.78791720762815609</v>
      </c>
      <c r="F7" s="5">
        <v>0.77</v>
      </c>
      <c r="G7" s="4">
        <f t="shared" si="0"/>
        <v>-1.7917207628156073E-2</v>
      </c>
    </row>
    <row r="8" spans="1:7" x14ac:dyDescent="0.25">
      <c r="A8" s="6" t="s">
        <v>10</v>
      </c>
      <c r="B8" s="6" t="s">
        <v>9</v>
      </c>
      <c r="C8" s="6" t="s">
        <v>12</v>
      </c>
      <c r="D8" s="7">
        <v>62331</v>
      </c>
      <c r="E8" s="8">
        <v>1.4532100920483779</v>
      </c>
      <c r="F8" s="8">
        <v>1.423</v>
      </c>
      <c r="G8" s="4">
        <f t="shared" si="0"/>
        <v>-3.0210092048377879E-2</v>
      </c>
    </row>
    <row r="9" spans="1:7" x14ac:dyDescent="0.25">
      <c r="A9" s="2" t="s">
        <v>10</v>
      </c>
      <c r="B9" s="2" t="s">
        <v>9</v>
      </c>
      <c r="C9" s="2" t="s">
        <v>13</v>
      </c>
      <c r="D9" s="3">
        <v>62331</v>
      </c>
      <c r="E9" s="5">
        <v>0.58943073964021842</v>
      </c>
      <c r="F9" s="5">
        <v>0.65630256646670104</v>
      </c>
      <c r="G9" s="4">
        <f t="shared" si="0"/>
        <v>6.6871826826482628E-2</v>
      </c>
    </row>
    <row r="10" spans="1:7" x14ac:dyDescent="0.25">
      <c r="A10" s="6" t="s">
        <v>10</v>
      </c>
      <c r="B10" s="6" t="s">
        <v>14</v>
      </c>
      <c r="C10" s="6" t="s">
        <v>15</v>
      </c>
      <c r="D10" s="7">
        <v>15823</v>
      </c>
      <c r="E10" s="8">
        <v>0.97978032386560943</v>
      </c>
      <c r="F10" s="8">
        <v>0.88759591484851696</v>
      </c>
      <c r="G10" s="4">
        <f t="shared" si="0"/>
        <v>-9.2184409017092461E-2</v>
      </c>
    </row>
    <row r="11" spans="1:7" x14ac:dyDescent="0.25">
      <c r="A11" s="2" t="s">
        <v>10</v>
      </c>
      <c r="B11" s="2" t="s">
        <v>14</v>
      </c>
      <c r="C11" s="2" t="s">
        <v>16</v>
      </c>
      <c r="D11" s="3">
        <v>15823</v>
      </c>
      <c r="E11" s="5">
        <v>1.0001184456962831</v>
      </c>
      <c r="F11" s="5">
        <v>1.0000973953997321</v>
      </c>
      <c r="G11" s="4">
        <f t="shared" si="0"/>
        <v>-2.1050296550972902E-5</v>
      </c>
    </row>
    <row r="12" spans="1:7" x14ac:dyDescent="0.25">
      <c r="A12" s="6" t="s">
        <v>10</v>
      </c>
      <c r="B12" s="6" t="s">
        <v>14</v>
      </c>
      <c r="C12" s="6" t="s">
        <v>17</v>
      </c>
      <c r="D12" s="7">
        <v>15823</v>
      </c>
      <c r="E12" s="8">
        <v>0.99986363775758824</v>
      </c>
      <c r="F12" s="8">
        <v>1.014</v>
      </c>
      <c r="G12" s="4">
        <f t="shared" si="0"/>
        <v>1.4136362242411771E-2</v>
      </c>
    </row>
    <row r="13" spans="1:7" x14ac:dyDescent="0.25">
      <c r="A13" s="2" t="s">
        <v>10</v>
      </c>
      <c r="B13" s="2" t="s">
        <v>14</v>
      </c>
      <c r="C13" s="2" t="s">
        <v>18</v>
      </c>
      <c r="D13" s="3">
        <v>15823</v>
      </c>
      <c r="E13" s="5">
        <v>1.1101939672870871</v>
      </c>
      <c r="F13" s="5">
        <v>1.167</v>
      </c>
      <c r="G13" s="4">
        <f t="shared" si="0"/>
        <v>5.6806032712912957E-2</v>
      </c>
    </row>
    <row r="14" spans="1:7" x14ac:dyDescent="0.25">
      <c r="A14" s="6" t="s">
        <v>10</v>
      </c>
      <c r="B14" s="6" t="s">
        <v>14</v>
      </c>
      <c r="C14" s="6" t="s">
        <v>19</v>
      </c>
      <c r="D14" s="7">
        <v>15823</v>
      </c>
      <c r="E14" s="8">
        <v>0.62047584909526032</v>
      </c>
      <c r="F14" s="8">
        <v>0.392526930805563</v>
      </c>
      <c r="G14" s="4">
        <f t="shared" si="0"/>
        <v>-0.22794891828969732</v>
      </c>
    </row>
    <row r="15" spans="1:7" x14ac:dyDescent="0.25">
      <c r="A15" s="2" t="s">
        <v>10</v>
      </c>
      <c r="B15" s="2" t="s">
        <v>20</v>
      </c>
      <c r="C15" s="2" t="s">
        <v>21</v>
      </c>
      <c r="D15" s="3">
        <v>19012</v>
      </c>
      <c r="E15" s="5">
        <v>0.9797969141258418</v>
      </c>
      <c r="F15" s="5">
        <v>0.893987820467806</v>
      </c>
      <c r="G15" s="4">
        <f t="shared" si="0"/>
        <v>-8.5809093658035795E-2</v>
      </c>
    </row>
    <row r="16" spans="1:7" x14ac:dyDescent="0.25">
      <c r="A16" s="6" t="s">
        <v>10</v>
      </c>
      <c r="B16" s="6" t="s">
        <v>20</v>
      </c>
      <c r="C16" s="6" t="s">
        <v>22</v>
      </c>
      <c r="D16" s="7">
        <v>19012</v>
      </c>
      <c r="E16" s="8">
        <v>1.031356637387876</v>
      </c>
      <c r="F16" s="8">
        <v>1.0109999999999999</v>
      </c>
      <c r="G16" s="4">
        <f t="shared" si="0"/>
        <v>-2.0356637387876075E-2</v>
      </c>
    </row>
    <row r="17" spans="1:7" x14ac:dyDescent="0.25">
      <c r="A17" s="2" t="s">
        <v>10</v>
      </c>
      <c r="B17" s="2" t="s">
        <v>20</v>
      </c>
      <c r="C17" s="2" t="s">
        <v>23</v>
      </c>
      <c r="D17" s="3">
        <v>19012</v>
      </c>
      <c r="E17" s="5">
        <v>0.93554043924404817</v>
      </c>
      <c r="F17" s="5">
        <v>0.91900000000000004</v>
      </c>
      <c r="G17" s="4">
        <f t="shared" si="0"/>
        <v>-1.6540439244048133E-2</v>
      </c>
    </row>
    <row r="18" spans="1:7" x14ac:dyDescent="0.25">
      <c r="A18" s="6" t="s">
        <v>10</v>
      </c>
      <c r="B18" s="6" t="s">
        <v>20</v>
      </c>
      <c r="C18" s="6" t="s">
        <v>24</v>
      </c>
      <c r="D18" s="7">
        <v>19012</v>
      </c>
      <c r="E18" s="8">
        <v>0.91087437801685334</v>
      </c>
      <c r="F18" s="8">
        <v>0.86543611129386899</v>
      </c>
      <c r="G18" s="4">
        <f t="shared" si="0"/>
        <v>-4.5438266722984344E-2</v>
      </c>
    </row>
    <row r="19" spans="1:7" x14ac:dyDescent="0.25">
      <c r="A19" s="2" t="s">
        <v>10</v>
      </c>
      <c r="B19" s="2" t="s">
        <v>20</v>
      </c>
      <c r="C19" s="2" t="s">
        <v>25</v>
      </c>
      <c r="D19" s="3">
        <v>19012</v>
      </c>
      <c r="E19" s="5">
        <v>1.0199397031365021</v>
      </c>
      <c r="F19" s="5">
        <v>1.056</v>
      </c>
      <c r="G19" s="4">
        <f t="shared" si="0"/>
        <v>3.6060296863497987E-2</v>
      </c>
    </row>
    <row r="20" spans="1:7" x14ac:dyDescent="0.25">
      <c r="A20" s="6" t="s">
        <v>10</v>
      </c>
      <c r="B20" s="6" t="s">
        <v>20</v>
      </c>
      <c r="C20" s="6" t="s">
        <v>26</v>
      </c>
      <c r="D20" s="7">
        <v>19012</v>
      </c>
      <c r="E20" s="8">
        <v>1.0199526079424901</v>
      </c>
      <c r="F20" s="8">
        <v>1.056</v>
      </c>
      <c r="G20" s="4">
        <f t="shared" si="0"/>
        <v>3.6047392057509953E-2</v>
      </c>
    </row>
    <row r="21" spans="1:7" x14ac:dyDescent="0.25">
      <c r="A21" s="2" t="s">
        <v>10</v>
      </c>
      <c r="B21" s="2" t="s">
        <v>20</v>
      </c>
      <c r="C21" s="2" t="s">
        <v>28</v>
      </c>
      <c r="D21" s="3">
        <v>19012</v>
      </c>
      <c r="E21" s="5">
        <v>1.1745636239788431</v>
      </c>
      <c r="F21" s="5">
        <v>1.1679999999999999</v>
      </c>
      <c r="G21" s="4">
        <f t="shared" si="0"/>
        <v>-6.5636239788431361E-3</v>
      </c>
    </row>
    <row r="22" spans="1:7" x14ac:dyDescent="0.25">
      <c r="A22" s="6" t="s">
        <v>10</v>
      </c>
      <c r="B22" s="6" t="s">
        <v>20</v>
      </c>
      <c r="C22" s="6" t="s">
        <v>29</v>
      </c>
      <c r="D22" s="7">
        <v>19012</v>
      </c>
      <c r="E22" s="8">
        <v>1.6240864380587079</v>
      </c>
      <c r="F22" s="14">
        <v>1.75</v>
      </c>
      <c r="G22" s="4">
        <f t="shared" si="0"/>
        <v>0.12591356194129211</v>
      </c>
    </row>
    <row r="23" spans="1:7" x14ac:dyDescent="0.25">
      <c r="A23" s="2" t="s">
        <v>10</v>
      </c>
      <c r="B23" s="2" t="s">
        <v>30</v>
      </c>
      <c r="C23" s="2" t="s">
        <v>31</v>
      </c>
      <c r="D23" s="3">
        <v>5118</v>
      </c>
      <c r="E23" s="5">
        <v>0.81268943647315883</v>
      </c>
      <c r="F23" s="5">
        <v>0.79100000000000004</v>
      </c>
      <c r="G23" s="4">
        <f t="shared" si="0"/>
        <v>-2.1689436473158796E-2</v>
      </c>
    </row>
    <row r="24" spans="1:7" x14ac:dyDescent="0.25">
      <c r="A24" s="6" t="s">
        <v>10</v>
      </c>
      <c r="B24" s="6" t="s">
        <v>30</v>
      </c>
      <c r="C24" s="6" t="s">
        <v>32</v>
      </c>
      <c r="D24" s="7">
        <v>5118</v>
      </c>
      <c r="E24" s="8">
        <v>0.58048435694307299</v>
      </c>
      <c r="F24" s="8">
        <v>0.54900000000000004</v>
      </c>
      <c r="G24" s="4">
        <f t="shared" si="0"/>
        <v>-3.1484356943072944E-2</v>
      </c>
    </row>
    <row r="25" spans="1:7" x14ac:dyDescent="0.25">
      <c r="A25" s="2" t="s">
        <v>10</v>
      </c>
      <c r="B25" s="2" t="s">
        <v>30</v>
      </c>
      <c r="C25" s="2" t="s">
        <v>33</v>
      </c>
      <c r="D25" s="3">
        <v>5118</v>
      </c>
      <c r="E25" s="5">
        <v>0.60431452922472229</v>
      </c>
      <c r="F25" s="5">
        <v>0.52800129474999102</v>
      </c>
      <c r="G25" s="4">
        <f t="shared" si="0"/>
        <v>-7.6313234474731262E-2</v>
      </c>
    </row>
    <row r="26" spans="1:7" x14ac:dyDescent="0.25">
      <c r="A26" s="6" t="s">
        <v>10</v>
      </c>
      <c r="B26" s="6" t="s">
        <v>30</v>
      </c>
      <c r="C26" s="6" t="s">
        <v>34</v>
      </c>
      <c r="D26" s="7">
        <v>5118</v>
      </c>
      <c r="E26" s="8">
        <v>1.0001396385907659</v>
      </c>
      <c r="F26" s="8">
        <v>0.92018693217569703</v>
      </c>
      <c r="G26" s="4">
        <f t="shared" si="0"/>
        <v>-7.9952706415068908E-2</v>
      </c>
    </row>
    <row r="27" spans="1:7" x14ac:dyDescent="0.25">
      <c r="A27" s="2" t="s">
        <v>10</v>
      </c>
      <c r="B27" s="2" t="s">
        <v>30</v>
      </c>
      <c r="C27" s="2" t="s">
        <v>36</v>
      </c>
      <c r="D27" s="3">
        <v>5118</v>
      </c>
      <c r="E27" s="5">
        <v>1.466468130908914</v>
      </c>
      <c r="F27" s="5">
        <v>1.3200041514365</v>
      </c>
      <c r="G27" s="4">
        <f t="shared" si="0"/>
        <v>-0.14646397947241407</v>
      </c>
    </row>
    <row r="28" spans="1:7" x14ac:dyDescent="0.25">
      <c r="A28" s="6" t="s">
        <v>10</v>
      </c>
      <c r="B28" s="6" t="s">
        <v>30</v>
      </c>
      <c r="C28" s="6" t="s">
        <v>37</v>
      </c>
      <c r="D28" s="7">
        <v>5118</v>
      </c>
      <c r="E28" s="8">
        <v>1.6370254731010681</v>
      </c>
      <c r="F28" s="14">
        <v>1.75</v>
      </c>
      <c r="G28" s="4">
        <f t="shared" si="0"/>
        <v>0.11297452689893195</v>
      </c>
    </row>
    <row r="29" spans="1:7" x14ac:dyDescent="0.25">
      <c r="A29" s="2" t="s">
        <v>10</v>
      </c>
      <c r="B29" s="2" t="s">
        <v>38</v>
      </c>
      <c r="C29" s="2" t="s">
        <v>39</v>
      </c>
      <c r="D29" s="3">
        <v>3716</v>
      </c>
      <c r="E29" s="5">
        <v>1.00001060047308</v>
      </c>
      <c r="F29" s="5">
        <v>0.93856868287683193</v>
      </c>
      <c r="G29" s="4">
        <f t="shared" si="0"/>
        <v>-6.1441917596248063E-2</v>
      </c>
    </row>
    <row r="30" spans="1:7" x14ac:dyDescent="0.25">
      <c r="A30" s="6" t="s">
        <v>10</v>
      </c>
      <c r="B30" s="6" t="s">
        <v>38</v>
      </c>
      <c r="C30" s="6" t="s">
        <v>41</v>
      </c>
      <c r="D30" s="7">
        <v>3716</v>
      </c>
      <c r="E30" s="8">
        <v>0.71883450621597023</v>
      </c>
      <c r="F30" s="5">
        <v>0.6999992586842948</v>
      </c>
      <c r="G30" s="4">
        <f t="shared" si="0"/>
        <v>-1.8835247531675425E-2</v>
      </c>
    </row>
    <row r="31" spans="1:7" x14ac:dyDescent="0.25">
      <c r="A31" s="2" t="s">
        <v>10</v>
      </c>
      <c r="B31" s="2" t="s">
        <v>38</v>
      </c>
      <c r="C31" s="2" t="s">
        <v>42</v>
      </c>
      <c r="D31" s="3">
        <v>3716</v>
      </c>
      <c r="E31" s="5">
        <v>1.000030224257074</v>
      </c>
      <c r="F31" s="8">
        <v>1.1386822916899089</v>
      </c>
      <c r="G31" s="4">
        <f t="shared" si="0"/>
        <v>0.13865206743283487</v>
      </c>
    </row>
    <row r="32" spans="1:7" x14ac:dyDescent="0.25">
      <c r="A32" s="6" t="s">
        <v>10</v>
      </c>
      <c r="B32" s="6" t="s">
        <v>43</v>
      </c>
      <c r="C32" s="6" t="s">
        <v>44</v>
      </c>
      <c r="D32" s="7">
        <v>762</v>
      </c>
      <c r="E32" s="8">
        <v>1</v>
      </c>
      <c r="F32" s="8">
        <v>0.76726095288401097</v>
      </c>
      <c r="G32" s="4">
        <f t="shared" si="0"/>
        <v>-0.23273904711598903</v>
      </c>
    </row>
  </sheetData>
  <autoFilter ref="A2:G32" xr:uid="{00000000-0009-0000-0000-000001000000}"/>
  <mergeCells count="1">
    <mergeCell ref="A1:G1"/>
  </mergeCells>
  <conditionalFormatting sqref="D4">
    <cfRule type="colorScale" priority="5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D5:D6">
    <cfRule type="colorScale" priority="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D7:D32 D3">
    <cfRule type="colorScale" priority="8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G3:G32">
    <cfRule type="colorScale" priority="7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tabSelected="1" zoomScale="130" zoomScaleNormal="130" workbookViewId="0">
      <pane ySplit="2" topLeftCell="A12" activePane="bottomLeft" state="frozen"/>
      <selection pane="bottomLeft" activeCell="I25" sqref="I25"/>
    </sheetView>
  </sheetViews>
  <sheetFormatPr defaultRowHeight="15" x14ac:dyDescent="0.25"/>
  <cols>
    <col min="1" max="1" width="23.7109375" bestFit="1" customWidth="1"/>
    <col min="2" max="2" width="11" bestFit="1" customWidth="1"/>
    <col min="3" max="4" width="14.42578125" bestFit="1" customWidth="1"/>
    <col min="5" max="5" width="16.7109375" bestFit="1" customWidth="1"/>
    <col min="6" max="6" width="18.5703125" customWidth="1"/>
    <col min="7" max="7" width="19.28515625" bestFit="1" customWidth="1"/>
  </cols>
  <sheetData>
    <row r="1" spans="1:7" x14ac:dyDescent="0.25">
      <c r="A1" s="15" t="s">
        <v>62</v>
      </c>
      <c r="B1" s="15"/>
      <c r="C1" s="15"/>
      <c r="D1" s="15"/>
      <c r="E1" s="15"/>
      <c r="F1" s="15"/>
      <c r="G1" s="16"/>
    </row>
    <row r="2" spans="1:7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64</v>
      </c>
      <c r="G2" s="1" t="s">
        <v>6</v>
      </c>
    </row>
    <row r="3" spans="1:7" x14ac:dyDescent="0.25">
      <c r="A3" s="2" t="s">
        <v>47</v>
      </c>
      <c r="B3" s="2" t="s">
        <v>46</v>
      </c>
      <c r="C3" t="s">
        <v>61</v>
      </c>
      <c r="D3" s="10">
        <v>23682</v>
      </c>
      <c r="E3" s="5">
        <v>1.46</v>
      </c>
      <c r="F3" s="14">
        <v>1.75</v>
      </c>
      <c r="G3" s="4">
        <f t="shared" ref="G3:G42" si="0">F3-E3</f>
        <v>0.29000000000000004</v>
      </c>
    </row>
    <row r="4" spans="1:7" x14ac:dyDescent="0.25">
      <c r="A4" s="2" t="s">
        <v>48</v>
      </c>
      <c r="B4" s="2" t="s">
        <v>46</v>
      </c>
      <c r="C4" t="s">
        <v>61</v>
      </c>
      <c r="D4" s="10">
        <v>3625</v>
      </c>
      <c r="E4" s="5">
        <v>1.35</v>
      </c>
      <c r="F4" s="14">
        <v>1.75</v>
      </c>
      <c r="G4" s="4">
        <f t="shared" si="0"/>
        <v>0.39999999999999991</v>
      </c>
    </row>
    <row r="5" spans="1:7" x14ac:dyDescent="0.25">
      <c r="A5" s="6" t="s">
        <v>49</v>
      </c>
      <c r="B5" s="6" t="s">
        <v>46</v>
      </c>
      <c r="C5" t="s">
        <v>61</v>
      </c>
      <c r="D5" s="9">
        <v>10415</v>
      </c>
      <c r="E5" s="8">
        <v>1.17</v>
      </c>
      <c r="F5" s="8">
        <v>1.5429749863728117</v>
      </c>
      <c r="G5" s="4">
        <f t="shared" si="0"/>
        <v>0.37297498637281179</v>
      </c>
    </row>
    <row r="6" spans="1:7" x14ac:dyDescent="0.25">
      <c r="A6" s="2" t="s">
        <v>50</v>
      </c>
      <c r="B6" s="2" t="s">
        <v>46</v>
      </c>
      <c r="C6" t="s">
        <v>61</v>
      </c>
      <c r="D6" s="10">
        <v>1865</v>
      </c>
      <c r="E6" s="5">
        <v>1.77</v>
      </c>
      <c r="F6" s="14">
        <v>1.75</v>
      </c>
      <c r="G6" s="4">
        <f t="shared" si="0"/>
        <v>-2.0000000000000018E-2</v>
      </c>
    </row>
    <row r="7" spans="1:7" x14ac:dyDescent="0.25">
      <c r="A7" s="6" t="s">
        <v>51</v>
      </c>
      <c r="B7" s="6" t="s">
        <v>46</v>
      </c>
      <c r="C7" t="s">
        <v>61</v>
      </c>
      <c r="D7" s="9">
        <v>50062</v>
      </c>
      <c r="E7" s="8">
        <v>1.05</v>
      </c>
      <c r="F7" s="8">
        <v>1.1723423661324466</v>
      </c>
      <c r="G7" s="4">
        <f t="shared" si="0"/>
        <v>0.12234236613244653</v>
      </c>
    </row>
    <row r="8" spans="1:7" x14ac:dyDescent="0.25">
      <c r="A8" s="2" t="s">
        <v>52</v>
      </c>
      <c r="B8" s="2" t="s">
        <v>46</v>
      </c>
      <c r="C8" t="s">
        <v>61</v>
      </c>
      <c r="D8" s="10">
        <v>11566</v>
      </c>
      <c r="E8" s="5">
        <v>1.34</v>
      </c>
      <c r="F8" s="14">
        <v>2</v>
      </c>
      <c r="G8" s="4">
        <f t="shared" si="0"/>
        <v>0.65999999999999992</v>
      </c>
    </row>
    <row r="9" spans="1:7" x14ac:dyDescent="0.25">
      <c r="A9" s="6" t="s">
        <v>53</v>
      </c>
      <c r="B9" s="6" t="s">
        <v>46</v>
      </c>
      <c r="C9" t="s">
        <v>61</v>
      </c>
      <c r="D9" s="9">
        <v>16188</v>
      </c>
      <c r="E9" s="8">
        <v>0.97</v>
      </c>
      <c r="F9" s="8">
        <v>1.0203679822336391</v>
      </c>
      <c r="G9" s="4">
        <f t="shared" si="0"/>
        <v>5.0367982233639141E-2</v>
      </c>
    </row>
    <row r="10" spans="1:7" x14ac:dyDescent="0.25">
      <c r="A10" s="2" t="s">
        <v>54</v>
      </c>
      <c r="B10" s="2" t="s">
        <v>46</v>
      </c>
      <c r="C10" t="s">
        <v>61</v>
      </c>
      <c r="D10" s="10">
        <v>20442</v>
      </c>
      <c r="E10" s="5">
        <v>1.1499999999999999</v>
      </c>
      <c r="F10" s="5">
        <v>1.5286165142488224</v>
      </c>
      <c r="G10" s="4">
        <f t="shared" si="0"/>
        <v>0.37861651424882248</v>
      </c>
    </row>
    <row r="11" spans="1:7" x14ac:dyDescent="0.25">
      <c r="A11" s="6" t="s">
        <v>55</v>
      </c>
      <c r="B11" s="6" t="s">
        <v>46</v>
      </c>
      <c r="C11" t="s">
        <v>61</v>
      </c>
      <c r="D11" s="9">
        <v>5255</v>
      </c>
      <c r="E11" s="8">
        <v>0.9</v>
      </c>
      <c r="F11" s="8">
        <v>1.235494837675347</v>
      </c>
      <c r="G11" s="4">
        <f t="shared" si="0"/>
        <v>0.33549483767534694</v>
      </c>
    </row>
    <row r="12" spans="1:7" x14ac:dyDescent="0.25">
      <c r="A12" s="2" t="s">
        <v>47</v>
      </c>
      <c r="B12" s="6" t="s">
        <v>46</v>
      </c>
      <c r="C12" s="2" t="s">
        <v>8</v>
      </c>
      <c r="D12" s="10">
        <v>23682</v>
      </c>
      <c r="E12" s="5">
        <v>1.1499999999999999</v>
      </c>
      <c r="F12" s="5">
        <v>1.1669628555435489</v>
      </c>
      <c r="G12" s="4">
        <f t="shared" si="0"/>
        <v>1.6962855543549038E-2</v>
      </c>
    </row>
    <row r="13" spans="1:7" x14ac:dyDescent="0.25">
      <c r="A13" s="6" t="s">
        <v>48</v>
      </c>
      <c r="B13" s="6" t="s">
        <v>46</v>
      </c>
      <c r="C13" s="6" t="s">
        <v>8</v>
      </c>
      <c r="D13" s="9">
        <v>3625</v>
      </c>
      <c r="E13" s="8">
        <v>1.32</v>
      </c>
      <c r="F13" s="8">
        <v>1.2422164313353015</v>
      </c>
      <c r="G13" s="4">
        <f t="shared" si="0"/>
        <v>-7.7783568664698599E-2</v>
      </c>
    </row>
    <row r="14" spans="1:7" x14ac:dyDescent="0.25">
      <c r="A14" s="2" t="s">
        <v>49</v>
      </c>
      <c r="B14" s="6" t="s">
        <v>46</v>
      </c>
      <c r="C14" s="2" t="s">
        <v>8</v>
      </c>
      <c r="D14" s="10">
        <v>10415</v>
      </c>
      <c r="E14" s="5">
        <v>1.24</v>
      </c>
      <c r="F14" s="5">
        <v>1.0878734295345482</v>
      </c>
      <c r="G14" s="4">
        <f t="shared" si="0"/>
        <v>-0.15212657046545175</v>
      </c>
    </row>
    <row r="15" spans="1:7" x14ac:dyDescent="0.25">
      <c r="A15" s="6" t="s">
        <v>50</v>
      </c>
      <c r="B15" s="6" t="s">
        <v>46</v>
      </c>
      <c r="C15" s="6" t="s">
        <v>8</v>
      </c>
      <c r="D15" s="9">
        <v>1865</v>
      </c>
      <c r="E15" s="8">
        <v>1.17</v>
      </c>
      <c r="F15" s="8">
        <v>1.0843300140348211</v>
      </c>
      <c r="G15" s="4">
        <f t="shared" si="0"/>
        <v>-8.566998596517883E-2</v>
      </c>
    </row>
    <row r="16" spans="1:7" x14ac:dyDescent="0.25">
      <c r="A16" s="2" t="s">
        <v>51</v>
      </c>
      <c r="B16" s="6" t="s">
        <v>46</v>
      </c>
      <c r="C16" s="2" t="s">
        <v>8</v>
      </c>
      <c r="D16" s="10">
        <v>50062</v>
      </c>
      <c r="E16" s="5">
        <v>1.24</v>
      </c>
      <c r="F16" s="5">
        <v>1.2095924767566302</v>
      </c>
      <c r="G16" s="4">
        <f t="shared" si="0"/>
        <v>-3.0407523243369816E-2</v>
      </c>
    </row>
    <row r="17" spans="1:7" x14ac:dyDescent="0.25">
      <c r="A17" s="6" t="s">
        <v>52</v>
      </c>
      <c r="B17" s="6" t="s">
        <v>46</v>
      </c>
      <c r="C17" s="6" t="s">
        <v>8</v>
      </c>
      <c r="D17" s="9">
        <v>11566</v>
      </c>
      <c r="E17" s="8">
        <v>0.93</v>
      </c>
      <c r="F17" s="8">
        <v>0.93914652849348201</v>
      </c>
      <c r="G17" s="4">
        <f t="shared" si="0"/>
        <v>9.1465284934819646E-3</v>
      </c>
    </row>
    <row r="18" spans="1:7" x14ac:dyDescent="0.25">
      <c r="A18" s="2" t="s">
        <v>53</v>
      </c>
      <c r="B18" s="6" t="s">
        <v>46</v>
      </c>
      <c r="C18" s="2" t="s">
        <v>8</v>
      </c>
      <c r="D18" s="10">
        <v>16188</v>
      </c>
      <c r="E18" s="5">
        <v>1.4</v>
      </c>
      <c r="F18" s="5">
        <v>1.350929273771875</v>
      </c>
      <c r="G18" s="4">
        <f t="shared" si="0"/>
        <v>-4.9070726228124917E-2</v>
      </c>
    </row>
    <row r="19" spans="1:7" x14ac:dyDescent="0.25">
      <c r="A19" s="6" t="s">
        <v>54</v>
      </c>
      <c r="B19" s="6" t="s">
        <v>46</v>
      </c>
      <c r="C19" s="6" t="s">
        <v>8</v>
      </c>
      <c r="D19" s="9">
        <v>20442</v>
      </c>
      <c r="E19" s="8">
        <v>1.52</v>
      </c>
      <c r="F19" s="8">
        <v>1.4233355426573264</v>
      </c>
      <c r="G19" s="4">
        <f t="shared" si="0"/>
        <v>-9.6664457342673593E-2</v>
      </c>
    </row>
    <row r="20" spans="1:7" x14ac:dyDescent="0.25">
      <c r="A20" s="2" t="s">
        <v>55</v>
      </c>
      <c r="B20" s="6" t="s">
        <v>46</v>
      </c>
      <c r="C20" s="2" t="s">
        <v>8</v>
      </c>
      <c r="D20" s="10">
        <v>5255</v>
      </c>
      <c r="E20" s="5">
        <v>1.19</v>
      </c>
      <c r="F20" s="5">
        <v>1.1061996645820804</v>
      </c>
      <c r="G20" s="4">
        <f t="shared" si="0"/>
        <v>-8.3800335417919536E-2</v>
      </c>
    </row>
    <row r="21" spans="1:7" x14ac:dyDescent="0.25">
      <c r="A21" s="6" t="s">
        <v>10</v>
      </c>
      <c r="B21" s="6" t="s">
        <v>9</v>
      </c>
      <c r="C21" s="6" t="s">
        <v>11</v>
      </c>
      <c r="D21" s="9">
        <v>3335</v>
      </c>
      <c r="E21" s="8">
        <v>0.85000307561054256</v>
      </c>
      <c r="F21" s="8">
        <v>0.87032221300000001</v>
      </c>
      <c r="G21" s="4">
        <f t="shared" si="0"/>
        <v>2.0319137389457453E-2</v>
      </c>
    </row>
    <row r="22" spans="1:7" x14ac:dyDescent="0.25">
      <c r="A22" s="2" t="s">
        <v>10</v>
      </c>
      <c r="B22" s="2" t="s">
        <v>9</v>
      </c>
      <c r="C22" s="2" t="s">
        <v>12</v>
      </c>
      <c r="D22" s="10">
        <v>3335</v>
      </c>
      <c r="E22" s="5">
        <v>1.140000396796113</v>
      </c>
      <c r="F22" s="5">
        <v>1</v>
      </c>
      <c r="G22" s="4">
        <f t="shared" si="0"/>
        <v>-0.14000039679611298</v>
      </c>
    </row>
    <row r="23" spans="1:7" x14ac:dyDescent="0.25">
      <c r="A23" s="6" t="s">
        <v>10</v>
      </c>
      <c r="B23" s="6" t="s">
        <v>9</v>
      </c>
      <c r="C23" s="6" t="s">
        <v>13</v>
      </c>
      <c r="D23" s="9">
        <v>3335</v>
      </c>
      <c r="E23" s="8">
        <v>1.0000030845747501</v>
      </c>
      <c r="F23" s="8">
        <v>1.13636363636363</v>
      </c>
      <c r="G23" s="4">
        <f t="shared" si="0"/>
        <v>0.13636055178887996</v>
      </c>
    </row>
    <row r="24" spans="1:7" x14ac:dyDescent="0.25">
      <c r="A24" s="2" t="s">
        <v>10</v>
      </c>
      <c r="B24" s="2" t="s">
        <v>14</v>
      </c>
      <c r="C24" s="2" t="s">
        <v>15</v>
      </c>
      <c r="D24" s="10">
        <v>1254</v>
      </c>
      <c r="E24" s="5">
        <v>0.99999960448344705</v>
      </c>
      <c r="F24" s="5">
        <v>0.93014062799999997</v>
      </c>
      <c r="G24" s="4">
        <f t="shared" si="0"/>
        <v>-6.9858976483447077E-2</v>
      </c>
    </row>
    <row r="25" spans="1:7" x14ac:dyDescent="0.25">
      <c r="A25" s="6" t="s">
        <v>10</v>
      </c>
      <c r="B25" s="6" t="s">
        <v>14</v>
      </c>
      <c r="C25" s="6" t="s">
        <v>16</v>
      </c>
      <c r="D25" s="9">
        <v>1254</v>
      </c>
      <c r="E25" s="8">
        <v>0.84000062842295409</v>
      </c>
      <c r="F25" s="8">
        <v>1.0006734828099859</v>
      </c>
      <c r="G25" s="4">
        <f t="shared" si="0"/>
        <v>0.16067285438703183</v>
      </c>
    </row>
    <row r="26" spans="1:7" x14ac:dyDescent="0.25">
      <c r="A26" s="2" t="s">
        <v>10</v>
      </c>
      <c r="B26" s="2" t="s">
        <v>14</v>
      </c>
      <c r="C26" s="2" t="s">
        <v>17</v>
      </c>
      <c r="D26" s="10">
        <v>1254</v>
      </c>
      <c r="E26" s="5">
        <v>0.99999964812812614</v>
      </c>
      <c r="F26" s="5">
        <v>0.85450305494614942</v>
      </c>
      <c r="G26" s="4">
        <f t="shared" si="0"/>
        <v>-0.14549659318197672</v>
      </c>
    </row>
    <row r="27" spans="1:7" x14ac:dyDescent="0.25">
      <c r="A27" s="6" t="s">
        <v>10</v>
      </c>
      <c r="B27" s="6" t="s">
        <v>14</v>
      </c>
      <c r="C27" s="6" t="s">
        <v>18</v>
      </c>
      <c r="D27" s="9">
        <v>1254</v>
      </c>
      <c r="E27" s="8">
        <v>0.99999967273384605</v>
      </c>
      <c r="F27" s="8">
        <v>1.2987776962568871</v>
      </c>
      <c r="G27" s="4">
        <f t="shared" si="0"/>
        <v>0.29877802352304106</v>
      </c>
    </row>
    <row r="28" spans="1:7" x14ac:dyDescent="0.25">
      <c r="A28" s="2" t="s">
        <v>10</v>
      </c>
      <c r="B28" s="2" t="s">
        <v>14</v>
      </c>
      <c r="C28" s="2" t="s">
        <v>19</v>
      </c>
      <c r="D28" s="10">
        <v>1254</v>
      </c>
      <c r="E28" s="5">
        <v>0.99999896728527271</v>
      </c>
      <c r="F28" s="5">
        <v>1</v>
      </c>
      <c r="G28" s="4">
        <f t="shared" si="0"/>
        <v>1.0327147272892745E-6</v>
      </c>
    </row>
    <row r="29" spans="1:7" x14ac:dyDescent="0.25">
      <c r="A29" s="6" t="s">
        <v>10</v>
      </c>
      <c r="B29" s="6" t="s">
        <v>20</v>
      </c>
      <c r="C29" s="6" t="s">
        <v>21</v>
      </c>
      <c r="D29" s="9">
        <v>1029</v>
      </c>
      <c r="E29" s="8">
        <v>1.0087302754317311</v>
      </c>
      <c r="F29" s="8">
        <v>1.09064438292682</v>
      </c>
      <c r="G29" s="4">
        <f t="shared" si="0"/>
        <v>8.1914107495088873E-2</v>
      </c>
    </row>
    <row r="30" spans="1:7" x14ac:dyDescent="0.25">
      <c r="A30" s="2" t="s">
        <v>10</v>
      </c>
      <c r="B30" s="2" t="s">
        <v>20</v>
      </c>
      <c r="C30" s="2" t="s">
        <v>22</v>
      </c>
      <c r="D30" s="10">
        <v>1029</v>
      </c>
      <c r="E30" s="5">
        <v>1.5947861280203559</v>
      </c>
      <c r="F30" s="5">
        <v>1.1651372000584399</v>
      </c>
      <c r="G30" s="4">
        <f t="shared" si="0"/>
        <v>-0.42964892796191601</v>
      </c>
    </row>
    <row r="31" spans="1:7" x14ac:dyDescent="0.25">
      <c r="A31" s="6" t="s">
        <v>10</v>
      </c>
      <c r="B31" s="6" t="s">
        <v>20</v>
      </c>
      <c r="C31" s="6" t="s">
        <v>23</v>
      </c>
      <c r="D31" s="9">
        <v>1029</v>
      </c>
      <c r="E31" s="8">
        <v>1.3152958851067931</v>
      </c>
      <c r="F31" s="8">
        <v>1.3456222354051699</v>
      </c>
      <c r="G31" s="4">
        <f t="shared" si="0"/>
        <v>3.0326350298376825E-2</v>
      </c>
    </row>
    <row r="32" spans="1:7" x14ac:dyDescent="0.25">
      <c r="A32" s="2" t="s">
        <v>10</v>
      </c>
      <c r="B32" s="2" t="s">
        <v>20</v>
      </c>
      <c r="C32" s="2" t="s">
        <v>24</v>
      </c>
      <c r="D32" s="10">
        <v>1029</v>
      </c>
      <c r="E32" s="5">
        <v>1.540662781470777</v>
      </c>
      <c r="F32" s="8">
        <v>1.86898239128154</v>
      </c>
      <c r="G32" s="4">
        <f t="shared" si="0"/>
        <v>0.32831960981076302</v>
      </c>
    </row>
    <row r="33" spans="1:7" x14ac:dyDescent="0.25">
      <c r="A33" s="6" t="s">
        <v>10</v>
      </c>
      <c r="B33" s="6" t="s">
        <v>20</v>
      </c>
      <c r="C33" s="6" t="s">
        <v>25</v>
      </c>
      <c r="D33" s="9">
        <v>1029</v>
      </c>
      <c r="E33" s="8">
        <v>0.74075833503750932</v>
      </c>
      <c r="F33" s="8">
        <v>0.73706281062687995</v>
      </c>
      <c r="G33" s="4">
        <f t="shared" si="0"/>
        <v>-3.6955244106293694E-3</v>
      </c>
    </row>
    <row r="34" spans="1:7" x14ac:dyDescent="0.25">
      <c r="A34" s="2" t="s">
        <v>10</v>
      </c>
      <c r="B34" s="2" t="s">
        <v>20</v>
      </c>
      <c r="C34" s="2" t="s">
        <v>26</v>
      </c>
      <c r="D34" s="10">
        <v>1029</v>
      </c>
      <c r="E34" s="5">
        <v>1.013286273165287</v>
      </c>
      <c r="F34" s="8">
        <v>0.73706281062687995</v>
      </c>
      <c r="G34" s="4">
        <f t="shared" si="0"/>
        <v>-0.27622346253840702</v>
      </c>
    </row>
    <row r="35" spans="1:7" x14ac:dyDescent="0.25">
      <c r="A35" s="6" t="s">
        <v>10</v>
      </c>
      <c r="B35" s="6" t="s">
        <v>20</v>
      </c>
      <c r="C35" s="6" t="s">
        <v>28</v>
      </c>
      <c r="D35" s="9">
        <v>1029</v>
      </c>
      <c r="E35" s="8">
        <v>1.001803448301279</v>
      </c>
      <c r="F35" s="8">
        <v>1.3359753183308014</v>
      </c>
      <c r="G35" s="4">
        <f t="shared" si="0"/>
        <v>0.33417187002952242</v>
      </c>
    </row>
    <row r="36" spans="1:7" x14ac:dyDescent="0.25">
      <c r="A36" s="2" t="s">
        <v>10</v>
      </c>
      <c r="B36" s="2" t="s">
        <v>20</v>
      </c>
      <c r="C36" s="2" t="s">
        <v>29</v>
      </c>
      <c r="D36" s="10">
        <v>1029</v>
      </c>
      <c r="E36" s="5">
        <v>0.35590806731908381</v>
      </c>
      <c r="F36" s="14">
        <v>0.25</v>
      </c>
      <c r="G36" s="4">
        <f t="shared" si="0"/>
        <v>-0.10590806731908381</v>
      </c>
    </row>
    <row r="37" spans="1:7" x14ac:dyDescent="0.25">
      <c r="A37" s="6" t="s">
        <v>10</v>
      </c>
      <c r="B37" s="6" t="s">
        <v>30</v>
      </c>
      <c r="C37" s="6" t="s">
        <v>31</v>
      </c>
      <c r="D37" s="9">
        <v>287</v>
      </c>
      <c r="E37" s="8">
        <v>0.44462048265946652</v>
      </c>
      <c r="F37" s="8">
        <v>0.25</v>
      </c>
      <c r="G37" s="4">
        <f t="shared" si="0"/>
        <v>-0.19462048265946652</v>
      </c>
    </row>
    <row r="38" spans="1:7" x14ac:dyDescent="0.25">
      <c r="A38" s="2" t="s">
        <v>10</v>
      </c>
      <c r="B38" s="2" t="s">
        <v>30</v>
      </c>
      <c r="C38" s="2" t="s">
        <v>32</v>
      </c>
      <c r="D38" s="10">
        <v>287</v>
      </c>
      <c r="E38" s="5">
        <v>0.98777793290015015</v>
      </c>
      <c r="F38" s="5">
        <v>0.49449930669672199</v>
      </c>
      <c r="G38" s="4">
        <f t="shared" si="0"/>
        <v>-0.49327862620342816</v>
      </c>
    </row>
    <row r="39" spans="1:7" x14ac:dyDescent="0.25">
      <c r="A39" s="6" t="s">
        <v>10</v>
      </c>
      <c r="B39" s="6" t="s">
        <v>30</v>
      </c>
      <c r="C39" s="6" t="s">
        <v>33</v>
      </c>
      <c r="D39" s="9">
        <v>287</v>
      </c>
      <c r="E39" s="8">
        <v>0.28616644412307951</v>
      </c>
      <c r="F39" s="14">
        <v>0.25</v>
      </c>
      <c r="G39" s="4">
        <f t="shared" si="0"/>
        <v>-3.6166444123079511E-2</v>
      </c>
    </row>
    <row r="40" spans="1:7" x14ac:dyDescent="0.25">
      <c r="A40" s="2" t="s">
        <v>10</v>
      </c>
      <c r="B40" s="2" t="s">
        <v>30</v>
      </c>
      <c r="C40" s="2" t="s">
        <v>34</v>
      </c>
      <c r="D40" s="10">
        <v>287</v>
      </c>
      <c r="E40" s="5">
        <v>1.084432142232894</v>
      </c>
      <c r="F40" s="5">
        <v>0.66700000000000004</v>
      </c>
      <c r="G40" s="4">
        <f t="shared" si="0"/>
        <v>-0.41743214223289393</v>
      </c>
    </row>
    <row r="41" spans="1:7" x14ac:dyDescent="0.25">
      <c r="A41" s="6" t="s">
        <v>10</v>
      </c>
      <c r="B41" s="6" t="s">
        <v>30</v>
      </c>
      <c r="C41" s="6" t="s">
        <v>36</v>
      </c>
      <c r="D41" s="9">
        <v>287</v>
      </c>
      <c r="E41" s="8">
        <v>1.0009148071180201</v>
      </c>
      <c r="F41" s="8">
        <v>1.0957770660791699</v>
      </c>
      <c r="G41" s="4">
        <f t="shared" si="0"/>
        <v>9.4862258961149859E-2</v>
      </c>
    </row>
    <row r="42" spans="1:7" x14ac:dyDescent="0.25">
      <c r="A42" s="2" t="s">
        <v>10</v>
      </c>
      <c r="B42" s="2" t="s">
        <v>30</v>
      </c>
      <c r="C42" s="2" t="s">
        <v>37</v>
      </c>
      <c r="D42" s="10">
        <v>287</v>
      </c>
      <c r="E42" s="5">
        <v>0.35328227106859889</v>
      </c>
      <c r="F42" s="14">
        <v>0.25</v>
      </c>
      <c r="G42" s="4">
        <f t="shared" si="0"/>
        <v>-0.10328227106859889</v>
      </c>
    </row>
  </sheetData>
  <autoFilter ref="A2:G42" xr:uid="{00000000-0009-0000-0000-000004000000}"/>
  <mergeCells count="1">
    <mergeCell ref="A1:G1"/>
  </mergeCells>
  <phoneticPr fontId="6" type="noConversion"/>
  <conditionalFormatting sqref="D3:D42">
    <cfRule type="colorScale" priority="15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G3:G42">
    <cfRule type="colorScale" priority="1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STACR</vt:lpstr>
      <vt:lpstr>CAS</vt:lpstr>
      <vt:lpstr>NONQM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Zeng</cp:lastModifiedBy>
  <dcterms:created xsi:type="dcterms:W3CDTF">2026-02-03T19:10:14Z</dcterms:created>
  <dcterms:modified xsi:type="dcterms:W3CDTF">2026-02-17T21:25:00Z</dcterms:modified>
</cp:coreProperties>
</file>